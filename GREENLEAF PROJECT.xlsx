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24226"/>
  <mc:AlternateContent xmlns:mc="http://schemas.openxmlformats.org/markup-compatibility/2006">
    <mc:Choice Requires="x15">
      <x15ac:absPath xmlns:x15ac="http://schemas.microsoft.com/office/spreadsheetml/2010/11/ac" url="https://ulster-my.sharepoint.com/personal/adebayo-ad_ulster_ac_uk/Documents/Desktop/10ANLYTICS MATERIALS/GREENLEAF/"/>
    </mc:Choice>
  </mc:AlternateContent>
  <xr:revisionPtr revIDLastSave="3" documentId="8_{3A799412-53DD-4B7E-B36B-409910F44180}" xr6:coauthVersionLast="47" xr6:coauthVersionMax="47" xr10:uidLastSave="{3B0D8F8E-986F-4237-AFB6-06365B22747E}"/>
  <bookViews>
    <workbookView xWindow="-120" yWindow="-120" windowWidth="29040" windowHeight="15840" activeTab="4" xr2:uid="{00000000-000D-0000-FFFF-FFFF00000000}"/>
  </bookViews>
  <sheets>
    <sheet name="Raw data" sheetId="2" r:id="rId1"/>
    <sheet name="Clean Data" sheetId="1" r:id="rId2"/>
    <sheet name="KPI summary" sheetId="3" r:id="rId3"/>
    <sheet name="Pivot table" sheetId="6" r:id="rId4"/>
    <sheet name="Dashboard" sheetId="5" r:id="rId5"/>
  </sheets>
  <definedNames>
    <definedName name="_xlnm._FilterDatabase" localSheetId="1" hidden="1">'Clean Data'!$A$1:$M$1001</definedName>
    <definedName name="_xlnm._FilterDatabase" localSheetId="0" hidden="1">'Raw data'!$A$1:$K$1001</definedName>
    <definedName name="_xlchart.v5.0" hidden="1">'Pivot table'!$U$3</definedName>
    <definedName name="_xlchart.v5.1" hidden="1">'Pivot table'!$U$4:$U$13</definedName>
    <definedName name="_xlchart.v5.2" hidden="1">'Pivot table'!$V$3</definedName>
    <definedName name="_xlchart.v5.3" hidden="1">'Pivot table'!$V$4:$V$13</definedName>
    <definedName name="Slicer_Delivery_Success_Rate">#N/A</definedName>
    <definedName name="Slicer_Month">#N/A</definedName>
    <definedName name="Slicer_Proper_Product_Name">#N/A</definedName>
    <definedName name="Slicer_State">#N/A</definedName>
  </definedNames>
  <calcPr calcId="191029"/>
  <pivotCaches>
    <pivotCache cacheId="8" r:id="rId6"/>
    <pivotCache cacheId="9" r:id="rId7"/>
    <pivotCache cacheId="10" r:id="rId8"/>
    <pivotCache cacheId="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3" l="1"/>
  <c r="K2" i="3"/>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N970" i="1"/>
  <c r="O4" i="1"/>
  <c r="B4" i="3"/>
  <c r="G1" i="5" a="1"/>
  <c r="G1" i="5" s="1"/>
  <c r="B2"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B12" i="3"/>
  <c r="B10" i="3"/>
  <c r="B9" i="3"/>
  <c r="B11" i="3"/>
  <c r="O2" i="1"/>
  <c r="O3"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P785" i="1" s="1"/>
  <c r="N786" i="1"/>
  <c r="P786" i="1" s="1"/>
  <c r="N787" i="1"/>
  <c r="P787" i="1" s="1"/>
  <c r="N788" i="1"/>
  <c r="P788" i="1" s="1"/>
  <c r="N789" i="1"/>
  <c r="P789" i="1" s="1"/>
  <c r="N790" i="1"/>
  <c r="P790" i="1" s="1"/>
  <c r="N791" i="1"/>
  <c r="N792" i="1"/>
  <c r="N793" i="1"/>
  <c r="P793" i="1" s="1"/>
  <c r="N794" i="1"/>
  <c r="P794" i="1" s="1"/>
  <c r="N795" i="1"/>
  <c r="P795" i="1" s="1"/>
  <c r="N796" i="1"/>
  <c r="P796" i="1" s="1"/>
  <c r="N797" i="1"/>
  <c r="P797" i="1" s="1"/>
  <c r="N798" i="1"/>
  <c r="P798" i="1" s="1"/>
  <c r="N799" i="1"/>
  <c r="N800" i="1"/>
  <c r="N801" i="1"/>
  <c r="P801" i="1" s="1"/>
  <c r="N802" i="1"/>
  <c r="P802" i="1" s="1"/>
  <c r="N803" i="1"/>
  <c r="P803" i="1" s="1"/>
  <c r="N804" i="1"/>
  <c r="P804" i="1" s="1"/>
  <c r="N805" i="1"/>
  <c r="P805" i="1" s="1"/>
  <c r="N806" i="1"/>
  <c r="P806" i="1" s="1"/>
  <c r="N807" i="1"/>
  <c r="N808" i="1"/>
  <c r="N809" i="1"/>
  <c r="P809" i="1" s="1"/>
  <c r="N810" i="1"/>
  <c r="P810" i="1" s="1"/>
  <c r="N811" i="1"/>
  <c r="P811" i="1" s="1"/>
  <c r="N812" i="1"/>
  <c r="P812" i="1" s="1"/>
  <c r="N813" i="1"/>
  <c r="P813" i="1" s="1"/>
  <c r="N814" i="1"/>
  <c r="P814" i="1" s="1"/>
  <c r="N815" i="1"/>
  <c r="N816" i="1"/>
  <c r="N817" i="1"/>
  <c r="P817" i="1" s="1"/>
  <c r="N818" i="1"/>
  <c r="P818" i="1" s="1"/>
  <c r="N819" i="1"/>
  <c r="P819" i="1" s="1"/>
  <c r="N820" i="1"/>
  <c r="P820" i="1" s="1"/>
  <c r="N821" i="1"/>
  <c r="P821" i="1" s="1"/>
  <c r="N822" i="1"/>
  <c r="P822" i="1" s="1"/>
  <c r="N823" i="1"/>
  <c r="N824" i="1"/>
  <c r="N825" i="1"/>
  <c r="P825" i="1" s="1"/>
  <c r="N826" i="1"/>
  <c r="P826" i="1" s="1"/>
  <c r="N827" i="1"/>
  <c r="P827" i="1" s="1"/>
  <c r="N828" i="1"/>
  <c r="P828" i="1" s="1"/>
  <c r="N829" i="1"/>
  <c r="P829" i="1" s="1"/>
  <c r="N830" i="1"/>
  <c r="P830" i="1" s="1"/>
  <c r="N831" i="1"/>
  <c r="N832" i="1"/>
  <c r="N833" i="1"/>
  <c r="P833" i="1" s="1"/>
  <c r="N834" i="1"/>
  <c r="P834" i="1" s="1"/>
  <c r="N835" i="1"/>
  <c r="P835" i="1" s="1"/>
  <c r="N836" i="1"/>
  <c r="P836" i="1" s="1"/>
  <c r="N837" i="1"/>
  <c r="P837" i="1" s="1"/>
  <c r="N838" i="1"/>
  <c r="P838" i="1" s="1"/>
  <c r="N839" i="1"/>
  <c r="N840" i="1"/>
  <c r="N841" i="1"/>
  <c r="P841" i="1" s="1"/>
  <c r="N842" i="1"/>
  <c r="P842" i="1" s="1"/>
  <c r="N843" i="1"/>
  <c r="P843" i="1" s="1"/>
  <c r="N844" i="1"/>
  <c r="P844" i="1" s="1"/>
  <c r="N845" i="1"/>
  <c r="P845" i="1" s="1"/>
  <c r="N846" i="1"/>
  <c r="P846" i="1" s="1"/>
  <c r="N847" i="1"/>
  <c r="N848" i="1"/>
  <c r="N849" i="1"/>
  <c r="P849" i="1" s="1"/>
  <c r="N850" i="1"/>
  <c r="P850" i="1" s="1"/>
  <c r="N851" i="1"/>
  <c r="P851" i="1" s="1"/>
  <c r="N852" i="1"/>
  <c r="P852" i="1" s="1"/>
  <c r="N853" i="1"/>
  <c r="P853" i="1" s="1"/>
  <c r="N854" i="1"/>
  <c r="P854" i="1" s="1"/>
  <c r="N855" i="1"/>
  <c r="N856" i="1"/>
  <c r="N857" i="1"/>
  <c r="P857" i="1" s="1"/>
  <c r="N858" i="1"/>
  <c r="P858" i="1" s="1"/>
  <c r="N859" i="1"/>
  <c r="P859" i="1" s="1"/>
  <c r="N860" i="1"/>
  <c r="P860" i="1" s="1"/>
  <c r="N861" i="1"/>
  <c r="P861" i="1" s="1"/>
  <c r="N862" i="1"/>
  <c r="P862" i="1" s="1"/>
  <c r="N863" i="1"/>
  <c r="N864" i="1"/>
  <c r="N865" i="1"/>
  <c r="P865" i="1" s="1"/>
  <c r="N866" i="1"/>
  <c r="P866" i="1" s="1"/>
  <c r="N867" i="1"/>
  <c r="P867" i="1" s="1"/>
  <c r="N868" i="1"/>
  <c r="P868" i="1" s="1"/>
  <c r="N869" i="1"/>
  <c r="P869" i="1" s="1"/>
  <c r="N870" i="1"/>
  <c r="P870" i="1" s="1"/>
  <c r="N871" i="1"/>
  <c r="N872" i="1"/>
  <c r="N873" i="1"/>
  <c r="P873" i="1" s="1"/>
  <c r="N874" i="1"/>
  <c r="P874" i="1" s="1"/>
  <c r="N875" i="1"/>
  <c r="P875" i="1" s="1"/>
  <c r="N876" i="1"/>
  <c r="P876" i="1" s="1"/>
  <c r="N877" i="1"/>
  <c r="P877" i="1" s="1"/>
  <c r="N878" i="1"/>
  <c r="P878" i="1" s="1"/>
  <c r="N879" i="1"/>
  <c r="N880" i="1"/>
  <c r="N881" i="1"/>
  <c r="P881" i="1" s="1"/>
  <c r="N882" i="1"/>
  <c r="P882" i="1" s="1"/>
  <c r="N883" i="1"/>
  <c r="P883" i="1" s="1"/>
  <c r="N884" i="1"/>
  <c r="P884" i="1" s="1"/>
  <c r="N885" i="1"/>
  <c r="P885" i="1" s="1"/>
  <c r="N886" i="1"/>
  <c r="P886" i="1" s="1"/>
  <c r="N887" i="1"/>
  <c r="N888" i="1"/>
  <c r="N889" i="1"/>
  <c r="P889" i="1" s="1"/>
  <c r="N890" i="1"/>
  <c r="P890" i="1" s="1"/>
  <c r="N891" i="1"/>
  <c r="P891" i="1" s="1"/>
  <c r="N892" i="1"/>
  <c r="P892" i="1" s="1"/>
  <c r="N893" i="1"/>
  <c r="P893" i="1" s="1"/>
  <c r="N894" i="1"/>
  <c r="P894" i="1" s="1"/>
  <c r="N895" i="1"/>
  <c r="N896" i="1"/>
  <c r="N897" i="1"/>
  <c r="P897" i="1" s="1"/>
  <c r="N898" i="1"/>
  <c r="P898" i="1" s="1"/>
  <c r="N899" i="1"/>
  <c r="P899" i="1" s="1"/>
  <c r="N900" i="1"/>
  <c r="P900" i="1" s="1"/>
  <c r="N901" i="1"/>
  <c r="P901" i="1" s="1"/>
  <c r="N902" i="1"/>
  <c r="P902" i="1" s="1"/>
  <c r="N903" i="1"/>
  <c r="N904" i="1"/>
  <c r="N905" i="1"/>
  <c r="P905" i="1" s="1"/>
  <c r="N906" i="1"/>
  <c r="P906" i="1" s="1"/>
  <c r="N907" i="1"/>
  <c r="P907" i="1" s="1"/>
  <c r="N908" i="1"/>
  <c r="P908" i="1" s="1"/>
  <c r="N909" i="1"/>
  <c r="P909" i="1" s="1"/>
  <c r="N910" i="1"/>
  <c r="P910" i="1" s="1"/>
  <c r="N911" i="1"/>
  <c r="N912" i="1"/>
  <c r="N913" i="1"/>
  <c r="P913" i="1" s="1"/>
  <c r="N914" i="1"/>
  <c r="P914" i="1" s="1"/>
  <c r="N915" i="1"/>
  <c r="P915" i="1" s="1"/>
  <c r="N916" i="1"/>
  <c r="P916" i="1" s="1"/>
  <c r="N917" i="1"/>
  <c r="P917" i="1" s="1"/>
  <c r="N918" i="1"/>
  <c r="P918" i="1" s="1"/>
  <c r="N919" i="1"/>
  <c r="N920" i="1"/>
  <c r="N921" i="1"/>
  <c r="P921" i="1" s="1"/>
  <c r="N922" i="1"/>
  <c r="P922" i="1" s="1"/>
  <c r="N923" i="1"/>
  <c r="P923" i="1" s="1"/>
  <c r="N924" i="1"/>
  <c r="P924" i="1" s="1"/>
  <c r="N925" i="1"/>
  <c r="P925" i="1" s="1"/>
  <c r="N926" i="1"/>
  <c r="P926" i="1" s="1"/>
  <c r="N927" i="1"/>
  <c r="N928" i="1"/>
  <c r="N929" i="1"/>
  <c r="P929" i="1" s="1"/>
  <c r="N930" i="1"/>
  <c r="P930" i="1" s="1"/>
  <c r="N931" i="1"/>
  <c r="P931" i="1" s="1"/>
  <c r="N932" i="1"/>
  <c r="P932" i="1" s="1"/>
  <c r="N933" i="1"/>
  <c r="P933" i="1" s="1"/>
  <c r="N934" i="1"/>
  <c r="P934" i="1" s="1"/>
  <c r="N935" i="1"/>
  <c r="N936" i="1"/>
  <c r="N937" i="1"/>
  <c r="P937" i="1" s="1"/>
  <c r="N938" i="1"/>
  <c r="P938" i="1" s="1"/>
  <c r="N939" i="1"/>
  <c r="P939" i="1" s="1"/>
  <c r="N940" i="1"/>
  <c r="P940" i="1" s="1"/>
  <c r="N941" i="1"/>
  <c r="P941" i="1" s="1"/>
  <c r="N942" i="1"/>
  <c r="P942" i="1" s="1"/>
  <c r="N943" i="1"/>
  <c r="N944" i="1"/>
  <c r="N945" i="1"/>
  <c r="P945" i="1" s="1"/>
  <c r="N946" i="1"/>
  <c r="P946" i="1" s="1"/>
  <c r="N947" i="1"/>
  <c r="P947" i="1" s="1"/>
  <c r="N948" i="1"/>
  <c r="P948" i="1" s="1"/>
  <c r="N949" i="1"/>
  <c r="P949" i="1" s="1"/>
  <c r="N950" i="1"/>
  <c r="P950" i="1" s="1"/>
  <c r="N951" i="1"/>
  <c r="N952" i="1"/>
  <c r="N953" i="1"/>
  <c r="P953" i="1" s="1"/>
  <c r="N954" i="1"/>
  <c r="P954" i="1" s="1"/>
  <c r="N955" i="1"/>
  <c r="P955" i="1" s="1"/>
  <c r="N956" i="1"/>
  <c r="P956" i="1" s="1"/>
  <c r="N957" i="1"/>
  <c r="P957" i="1" s="1"/>
  <c r="N958" i="1"/>
  <c r="P958" i="1" s="1"/>
  <c r="N959" i="1"/>
  <c r="N960" i="1"/>
  <c r="N961" i="1"/>
  <c r="P961" i="1" s="1"/>
  <c r="N962" i="1"/>
  <c r="P962" i="1" s="1"/>
  <c r="N963" i="1"/>
  <c r="P963" i="1" s="1"/>
  <c r="N964" i="1"/>
  <c r="P964" i="1" s="1"/>
  <c r="N965" i="1"/>
  <c r="P965" i="1" s="1"/>
  <c r="N966" i="1"/>
  <c r="P966" i="1" s="1"/>
  <c r="N967" i="1"/>
  <c r="N968" i="1"/>
  <c r="N969" i="1"/>
  <c r="P969" i="1" s="1"/>
  <c r="P970" i="1"/>
  <c r="N971" i="1"/>
  <c r="P971" i="1" s="1"/>
  <c r="N972" i="1"/>
  <c r="P972" i="1" s="1"/>
  <c r="N973" i="1"/>
  <c r="P973" i="1" s="1"/>
  <c r="N974" i="1"/>
  <c r="P974" i="1" s="1"/>
  <c r="N975" i="1"/>
  <c r="N976" i="1"/>
  <c r="N977" i="1"/>
  <c r="P977" i="1" s="1"/>
  <c r="N978" i="1"/>
  <c r="P978" i="1" s="1"/>
  <c r="N979" i="1"/>
  <c r="P979" i="1" s="1"/>
  <c r="N980" i="1"/>
  <c r="P980" i="1" s="1"/>
  <c r="N981" i="1"/>
  <c r="P981" i="1" s="1"/>
  <c r="N982" i="1"/>
  <c r="P982" i="1" s="1"/>
  <c r="N983" i="1"/>
  <c r="N984" i="1"/>
  <c r="N985" i="1"/>
  <c r="P985" i="1" s="1"/>
  <c r="N986" i="1"/>
  <c r="P986" i="1" s="1"/>
  <c r="N987" i="1"/>
  <c r="P987" i="1" s="1"/>
  <c r="N988" i="1"/>
  <c r="P988" i="1" s="1"/>
  <c r="N989" i="1"/>
  <c r="P989" i="1" s="1"/>
  <c r="N990" i="1"/>
  <c r="P990" i="1" s="1"/>
  <c r="N991" i="1"/>
  <c r="N992" i="1"/>
  <c r="N993" i="1"/>
  <c r="P993" i="1" s="1"/>
  <c r="N994" i="1"/>
  <c r="P994" i="1" s="1"/>
  <c r="N995" i="1"/>
  <c r="P995" i="1" s="1"/>
  <c r="N996" i="1"/>
  <c r="P996" i="1" s="1"/>
  <c r="N997" i="1"/>
  <c r="P997" i="1" s="1"/>
  <c r="N998" i="1"/>
  <c r="P998" i="1" s="1"/>
  <c r="N999" i="1"/>
  <c r="N1000" i="1"/>
  <c r="N1001" i="1"/>
  <c r="P1001" i="1" s="1"/>
  <c r="B3" i="3" l="1"/>
  <c r="B5" i="3"/>
  <c r="P3" i="1"/>
  <c r="P4" i="1"/>
  <c r="P10" i="1"/>
  <c r="P11" i="1"/>
  <c r="P12" i="1"/>
  <c r="P13" i="1"/>
  <c r="P18" i="1"/>
  <c r="P19" i="1"/>
  <c r="P20" i="1"/>
  <c r="P21" i="1"/>
  <c r="P26" i="1"/>
  <c r="P27" i="1"/>
  <c r="P28" i="1"/>
  <c r="P29" i="1"/>
  <c r="P34" i="1"/>
  <c r="P35" i="1"/>
  <c r="P36" i="1"/>
  <c r="P37" i="1"/>
  <c r="P42" i="1"/>
  <c r="P43" i="1"/>
  <c r="P45" i="1"/>
  <c r="P46" i="1"/>
  <c r="P50" i="1"/>
  <c r="P51" i="1"/>
  <c r="P52" i="1"/>
  <c r="P53" i="1"/>
  <c r="P58" i="1"/>
  <c r="P59" i="1"/>
  <c r="P60" i="1"/>
  <c r="P61" i="1"/>
  <c r="P66" i="1"/>
  <c r="P67" i="1"/>
  <c r="P68" i="1"/>
  <c r="P69" i="1"/>
  <c r="P74" i="1"/>
  <c r="P75" i="1"/>
  <c r="P76" i="1"/>
  <c r="P77" i="1"/>
  <c r="P82" i="1"/>
  <c r="P83" i="1"/>
  <c r="P84" i="1"/>
  <c r="P85" i="1"/>
  <c r="P90" i="1"/>
  <c r="P91" i="1"/>
  <c r="P92" i="1"/>
  <c r="P93" i="1"/>
  <c r="P98" i="1"/>
  <c r="P99" i="1"/>
  <c r="P100" i="1"/>
  <c r="P101" i="1"/>
  <c r="P106" i="1"/>
  <c r="P107" i="1"/>
  <c r="P108" i="1"/>
  <c r="P109" i="1"/>
  <c r="P114" i="1"/>
  <c r="P115" i="1"/>
  <c r="P116" i="1"/>
  <c r="P117" i="1"/>
  <c r="P122" i="1"/>
  <c r="P123" i="1"/>
  <c r="P124" i="1"/>
  <c r="P125" i="1"/>
  <c r="P130" i="1"/>
  <c r="P131" i="1"/>
  <c r="P132" i="1"/>
  <c r="P133" i="1"/>
  <c r="P138" i="1"/>
  <c r="P139" i="1"/>
  <c r="P140" i="1"/>
  <c r="P141" i="1"/>
  <c r="P146" i="1"/>
  <c r="P147" i="1"/>
  <c r="P148" i="1"/>
  <c r="P149" i="1"/>
  <c r="P154" i="1"/>
  <c r="P155" i="1"/>
  <c r="P156" i="1"/>
  <c r="P157" i="1"/>
  <c r="P162" i="1"/>
  <c r="P163" i="1"/>
  <c r="P164" i="1"/>
  <c r="P165" i="1"/>
  <c r="P170" i="1"/>
  <c r="P171" i="1"/>
  <c r="P172" i="1"/>
  <c r="P173" i="1"/>
  <c r="P178" i="1"/>
  <c r="P179" i="1"/>
  <c r="P180" i="1"/>
  <c r="P181" i="1"/>
  <c r="P186" i="1"/>
  <c r="P187" i="1"/>
  <c r="P188" i="1"/>
  <c r="P189" i="1"/>
  <c r="P194" i="1"/>
  <c r="P195" i="1"/>
  <c r="P196" i="1"/>
  <c r="P197" i="1"/>
  <c r="P202" i="1"/>
  <c r="P203" i="1"/>
  <c r="P204" i="1"/>
  <c r="P205" i="1"/>
  <c r="P210" i="1"/>
  <c r="P211" i="1"/>
  <c r="P212" i="1"/>
  <c r="P213" i="1"/>
  <c r="P218" i="1"/>
  <c r="P219" i="1"/>
  <c r="P220" i="1"/>
  <c r="P221" i="1"/>
  <c r="P226" i="1"/>
  <c r="P227" i="1"/>
  <c r="P228" i="1"/>
  <c r="P229" i="1"/>
  <c r="P234" i="1"/>
  <c r="P235" i="1"/>
  <c r="P236" i="1"/>
  <c r="P237" i="1"/>
  <c r="P242" i="1"/>
  <c r="P243" i="1"/>
  <c r="P244" i="1"/>
  <c r="P245" i="1"/>
  <c r="P250" i="1"/>
  <c r="P251" i="1"/>
  <c r="P252" i="1"/>
  <c r="P253" i="1"/>
  <c r="P259" i="1"/>
  <c r="P260" i="1"/>
  <c r="P261" i="1"/>
  <c r="P266" i="1"/>
  <c r="P267" i="1"/>
  <c r="P268" i="1"/>
  <c r="P269" i="1"/>
  <c r="P274" i="1"/>
  <c r="P275" i="1"/>
  <c r="P276" i="1"/>
  <c r="P277" i="1"/>
  <c r="P282" i="1"/>
  <c r="P283" i="1"/>
  <c r="P284" i="1"/>
  <c r="P285" i="1"/>
  <c r="P290" i="1"/>
  <c r="P291" i="1"/>
  <c r="P292" i="1"/>
  <c r="P293" i="1"/>
  <c r="P298" i="1"/>
  <c r="P299" i="1"/>
  <c r="P301" i="1"/>
  <c r="P306" i="1"/>
  <c r="P307" i="1"/>
  <c r="P308" i="1"/>
  <c r="P309" i="1"/>
  <c r="P314" i="1"/>
  <c r="P315" i="1"/>
  <c r="P317" i="1"/>
  <c r="P322" i="1"/>
  <c r="P323" i="1"/>
  <c r="P324" i="1"/>
  <c r="P325" i="1"/>
  <c r="P330" i="1"/>
  <c r="P331" i="1"/>
  <c r="P332" i="1"/>
  <c r="P333" i="1"/>
  <c r="P338" i="1"/>
  <c r="P339" i="1"/>
  <c r="P340" i="1"/>
  <c r="P341" i="1"/>
  <c r="P346" i="1"/>
  <c r="P347" i="1"/>
  <c r="P348" i="1"/>
  <c r="P349" i="1"/>
  <c r="P354" i="1"/>
  <c r="P355" i="1"/>
  <c r="P356" i="1"/>
  <c r="P357" i="1"/>
  <c r="P362" i="1"/>
  <c r="P363" i="1"/>
  <c r="P364" i="1"/>
  <c r="P365" i="1"/>
  <c r="P370" i="1"/>
  <c r="P371" i="1"/>
  <c r="P372" i="1"/>
  <c r="P373" i="1"/>
  <c r="P378" i="1"/>
  <c r="P379" i="1"/>
  <c r="P380" i="1"/>
  <c r="P381" i="1"/>
  <c r="P386" i="1"/>
  <c r="P387" i="1"/>
  <c r="P388" i="1"/>
  <c r="P389" i="1"/>
  <c r="P394" i="1"/>
  <c r="P395" i="1"/>
  <c r="P396" i="1"/>
  <c r="P397" i="1"/>
  <c r="P402" i="1"/>
  <c r="P403" i="1"/>
  <c r="P404" i="1"/>
  <c r="P405" i="1"/>
  <c r="P410" i="1"/>
  <c r="P411" i="1"/>
  <c r="P412" i="1"/>
  <c r="P413" i="1"/>
  <c r="P418" i="1"/>
  <c r="P419" i="1"/>
  <c r="P420" i="1"/>
  <c r="P421" i="1"/>
  <c r="P426" i="1"/>
  <c r="P427" i="1"/>
  <c r="P428" i="1"/>
  <c r="P429" i="1"/>
  <c r="P434" i="1"/>
  <c r="P435" i="1"/>
  <c r="P436" i="1"/>
  <c r="P437" i="1"/>
  <c r="P442" i="1"/>
  <c r="P443" i="1"/>
  <c r="P444" i="1"/>
  <c r="P445" i="1"/>
  <c r="P450" i="1"/>
  <c r="P451" i="1"/>
  <c r="P452" i="1"/>
  <c r="P453" i="1"/>
  <c r="P458" i="1"/>
  <c r="P459" i="1"/>
  <c r="P460" i="1"/>
  <c r="P461" i="1"/>
  <c r="P466" i="1"/>
  <c r="P467" i="1"/>
  <c r="P468" i="1"/>
  <c r="P469" i="1"/>
  <c r="P474" i="1"/>
  <c r="P475" i="1"/>
  <c r="P476" i="1"/>
  <c r="P477" i="1"/>
  <c r="P482" i="1"/>
  <c r="P483" i="1"/>
  <c r="P484" i="1"/>
  <c r="P485" i="1"/>
  <c r="P490" i="1"/>
  <c r="P491" i="1"/>
  <c r="P492" i="1"/>
  <c r="P493" i="1"/>
  <c r="P498" i="1"/>
  <c r="P499" i="1"/>
  <c r="P500" i="1"/>
  <c r="P501" i="1"/>
  <c r="P506" i="1"/>
  <c r="P507" i="1"/>
  <c r="P508" i="1"/>
  <c r="P509" i="1"/>
  <c r="P514" i="1"/>
  <c r="P515" i="1"/>
  <c r="P516" i="1"/>
  <c r="P517" i="1"/>
  <c r="P522" i="1"/>
  <c r="P523" i="1"/>
  <c r="P524" i="1"/>
  <c r="P525" i="1"/>
  <c r="P530" i="1"/>
  <c r="P531" i="1"/>
  <c r="P532" i="1"/>
  <c r="P533" i="1"/>
  <c r="P538" i="1"/>
  <c r="P539" i="1"/>
  <c r="P540" i="1"/>
  <c r="P541" i="1"/>
  <c r="P546" i="1"/>
  <c r="P547" i="1"/>
  <c r="P548" i="1"/>
  <c r="P549" i="1"/>
  <c r="P554" i="1"/>
  <c r="P555" i="1"/>
  <c r="P556" i="1"/>
  <c r="P557" i="1"/>
  <c r="P562" i="1"/>
  <c r="P563" i="1"/>
  <c r="P564" i="1"/>
  <c r="P570" i="1"/>
  <c r="P571" i="1"/>
  <c r="P572" i="1"/>
  <c r="P573" i="1"/>
  <c r="P578" i="1"/>
  <c r="P579" i="1"/>
  <c r="P580" i="1"/>
  <c r="P581" i="1"/>
  <c r="P586" i="1"/>
  <c r="P587" i="1"/>
  <c r="P588" i="1"/>
  <c r="P589" i="1"/>
  <c r="P594" i="1"/>
  <c r="P595" i="1"/>
  <c r="P596" i="1"/>
  <c r="P597" i="1"/>
  <c r="P602" i="1"/>
  <c r="P603" i="1"/>
  <c r="P604" i="1"/>
  <c r="P605" i="1"/>
  <c r="P610" i="1"/>
  <c r="P611" i="1"/>
  <c r="P612" i="1"/>
  <c r="P613" i="1"/>
  <c r="P614" i="1"/>
  <c r="P618" i="1"/>
  <c r="P619" i="1"/>
  <c r="P620" i="1"/>
  <c r="P621" i="1"/>
  <c r="P626" i="1"/>
  <c r="P627" i="1"/>
  <c r="P628" i="1"/>
  <c r="P629" i="1"/>
  <c r="P634" i="1"/>
  <c r="P635" i="1"/>
  <c r="P636" i="1"/>
  <c r="P637" i="1"/>
  <c r="P642" i="1"/>
  <c r="P643" i="1"/>
  <c r="P644" i="1"/>
  <c r="P645" i="1"/>
  <c r="P650" i="1"/>
  <c r="P651" i="1"/>
  <c r="P652" i="1"/>
  <c r="P653" i="1"/>
  <c r="P658" i="1"/>
  <c r="P659" i="1"/>
  <c r="P660" i="1"/>
  <c r="P661" i="1"/>
  <c r="P662" i="1"/>
  <c r="P666" i="1"/>
  <c r="P667" i="1"/>
  <c r="P668" i="1"/>
  <c r="P669" i="1"/>
  <c r="P670" i="1"/>
  <c r="P674" i="1"/>
  <c r="P675" i="1"/>
  <c r="P676" i="1"/>
  <c r="P677" i="1"/>
  <c r="P678" i="1"/>
  <c r="P682" i="1"/>
  <c r="P683" i="1"/>
  <c r="P684" i="1"/>
  <c r="P685" i="1"/>
  <c r="P686" i="1"/>
  <c r="P689" i="1"/>
  <c r="P690" i="1"/>
  <c r="P691" i="1"/>
  <c r="P692" i="1"/>
  <c r="P693" i="1"/>
  <c r="P694" i="1"/>
  <c r="P697" i="1"/>
  <c r="P698" i="1"/>
  <c r="P699" i="1"/>
  <c r="P700" i="1"/>
  <c r="P701" i="1"/>
  <c r="P702" i="1"/>
  <c r="P705" i="1"/>
  <c r="P706" i="1"/>
  <c r="P707" i="1"/>
  <c r="P708" i="1"/>
  <c r="P709" i="1"/>
  <c r="P710" i="1"/>
  <c r="P713" i="1"/>
  <c r="P714" i="1"/>
  <c r="P715" i="1"/>
  <c r="P716" i="1"/>
  <c r="P717" i="1"/>
  <c r="P718" i="1"/>
  <c r="P721" i="1"/>
  <c r="P722" i="1"/>
  <c r="P723" i="1"/>
  <c r="P724" i="1"/>
  <c r="P725" i="1"/>
  <c r="P726" i="1"/>
  <c r="P729" i="1"/>
  <c r="P730" i="1"/>
  <c r="P731" i="1"/>
  <c r="P732" i="1"/>
  <c r="P733" i="1"/>
  <c r="P734" i="1"/>
  <c r="P737" i="1"/>
  <c r="P738" i="1"/>
  <c r="P739" i="1"/>
  <c r="P740" i="1"/>
  <c r="P741" i="1"/>
  <c r="P742" i="1"/>
  <c r="P745" i="1"/>
  <c r="P746" i="1"/>
  <c r="P747" i="1"/>
  <c r="P748" i="1"/>
  <c r="P749" i="1"/>
  <c r="P750" i="1"/>
  <c r="P753" i="1"/>
  <c r="P754" i="1"/>
  <c r="P755" i="1"/>
  <c r="P756" i="1"/>
  <c r="P757" i="1"/>
  <c r="P758" i="1"/>
  <c r="P761" i="1"/>
  <c r="P762" i="1"/>
  <c r="P763" i="1"/>
  <c r="P764" i="1"/>
  <c r="P765" i="1"/>
  <c r="P766" i="1"/>
  <c r="P769" i="1"/>
  <c r="P770" i="1"/>
  <c r="P771" i="1"/>
  <c r="P772" i="1"/>
  <c r="P773" i="1"/>
  <c r="P774" i="1"/>
  <c r="P777" i="1"/>
  <c r="P778" i="1"/>
  <c r="P779" i="1"/>
  <c r="P780" i="1"/>
  <c r="P781" i="1"/>
  <c r="P782" i="1"/>
  <c r="F2" i="3"/>
  <c r="F3" i="3"/>
  <c r="F8" i="3"/>
  <c r="F9" i="3"/>
  <c r="F7" i="3"/>
  <c r="F6" i="3"/>
  <c r="F13" i="3"/>
  <c r="F5" i="3"/>
  <c r="F12" i="3"/>
  <c r="F4" i="3"/>
  <c r="F11" i="3"/>
  <c r="F10" i="3"/>
  <c r="P258" i="1"/>
  <c r="P316" i="1"/>
  <c r="P300" i="1"/>
  <c r="P44" i="1"/>
  <c r="P565" i="1"/>
  <c r="P5" i="1"/>
  <c r="P358" i="1"/>
  <c r="P999" i="1"/>
  <c r="P991" i="1"/>
  <c r="P983" i="1"/>
  <c r="P975" i="1"/>
  <c r="P967" i="1"/>
  <c r="P959" i="1"/>
  <c r="P951" i="1"/>
  <c r="P943" i="1"/>
  <c r="P935" i="1"/>
  <c r="P927" i="1"/>
  <c r="P919" i="1"/>
  <c r="P911" i="1"/>
  <c r="P903" i="1"/>
  <c r="P895" i="1"/>
  <c r="P887" i="1"/>
  <c r="P879" i="1"/>
  <c r="P871" i="1"/>
  <c r="P863" i="1"/>
  <c r="P855" i="1"/>
  <c r="P847" i="1"/>
  <c r="P839" i="1"/>
  <c r="P831" i="1"/>
  <c r="P823" i="1"/>
  <c r="P815" i="1"/>
  <c r="P807" i="1"/>
  <c r="P799" i="1"/>
  <c r="P791" i="1"/>
  <c r="P783" i="1"/>
  <c r="P775" i="1"/>
  <c r="P767" i="1"/>
  <c r="P759" i="1"/>
  <c r="P751" i="1"/>
  <c r="P743" i="1"/>
  <c r="P735" i="1"/>
  <c r="P727" i="1"/>
  <c r="P719" i="1"/>
  <c r="P711" i="1"/>
  <c r="P703" i="1"/>
  <c r="P695" i="1"/>
  <c r="P679" i="1"/>
  <c r="P431" i="1"/>
  <c r="P47" i="1"/>
  <c r="P344" i="1"/>
  <c r="P120" i="1"/>
  <c r="P687" i="1"/>
  <c r="P671" i="1"/>
  <c r="P663" i="1"/>
  <c r="P655" i="1"/>
  <c r="P647" i="1"/>
  <c r="P639" i="1"/>
  <c r="P631" i="1"/>
  <c r="P623" i="1"/>
  <c r="P615" i="1"/>
  <c r="P607" i="1"/>
  <c r="P599" i="1"/>
  <c r="P591" i="1"/>
  <c r="P583" i="1"/>
  <c r="P575" i="1"/>
  <c r="P567" i="1"/>
  <c r="P559" i="1"/>
  <c r="P551" i="1"/>
  <c r="P543" i="1"/>
  <c r="P535" i="1"/>
  <c r="P527" i="1"/>
  <c r="P519" i="1"/>
  <c r="P511" i="1"/>
  <c r="P503" i="1"/>
  <c r="P495" i="1"/>
  <c r="P487" i="1"/>
  <c r="P479" i="1"/>
  <c r="P471" i="1"/>
  <c r="P463" i="1"/>
  <c r="P455" i="1"/>
  <c r="P447" i="1"/>
  <c r="P439" i="1"/>
  <c r="P423" i="1"/>
  <c r="P415" i="1"/>
  <c r="P407" i="1"/>
  <c r="P399" i="1"/>
  <c r="P391" i="1"/>
  <c r="P383" i="1"/>
  <c r="P375" i="1"/>
  <c r="P367" i="1"/>
  <c r="P359" i="1"/>
  <c r="P351" i="1"/>
  <c r="P343" i="1"/>
  <c r="P335" i="1"/>
  <c r="P327" i="1"/>
  <c r="P319" i="1"/>
  <c r="P311" i="1"/>
  <c r="P303" i="1"/>
  <c r="P295" i="1"/>
  <c r="P287" i="1"/>
  <c r="P279" i="1"/>
  <c r="P271" i="1"/>
  <c r="P263" i="1"/>
  <c r="P255" i="1"/>
  <c r="P247" i="1"/>
  <c r="P239" i="1"/>
  <c r="P231" i="1"/>
  <c r="P223" i="1"/>
  <c r="P215" i="1"/>
  <c r="P207" i="1"/>
  <c r="P199" i="1"/>
  <c r="P191" i="1"/>
  <c r="P183" i="1"/>
  <c r="P175" i="1"/>
  <c r="P167" i="1"/>
  <c r="P159" i="1"/>
  <c r="P151" i="1"/>
  <c r="P143" i="1"/>
  <c r="P135" i="1"/>
  <c r="P127" i="1"/>
  <c r="P119" i="1"/>
  <c r="P111" i="1"/>
  <c r="P103" i="1"/>
  <c r="P95" i="1"/>
  <c r="P87" i="1"/>
  <c r="P79" i="1"/>
  <c r="P71" i="1"/>
  <c r="P63" i="1"/>
  <c r="P55" i="1"/>
  <c r="P39" i="1"/>
  <c r="P31" i="1"/>
  <c r="P23" i="1"/>
  <c r="P15" i="1"/>
  <c r="P7" i="1"/>
  <c r="P654" i="1"/>
  <c r="P646" i="1"/>
  <c r="P638" i="1"/>
  <c r="P630" i="1"/>
  <c r="P622" i="1"/>
  <c r="P606" i="1"/>
  <c r="P598" i="1"/>
  <c r="P590" i="1"/>
  <c r="P582" i="1"/>
  <c r="P574" i="1"/>
  <c r="P566" i="1"/>
  <c r="P558" i="1"/>
  <c r="P550" i="1"/>
  <c r="P542" i="1"/>
  <c r="P534" i="1"/>
  <c r="P526" i="1"/>
  <c r="P518" i="1"/>
  <c r="P510" i="1"/>
  <c r="P502" i="1"/>
  <c r="P494" i="1"/>
  <c r="P486" i="1"/>
  <c r="P478" i="1"/>
  <c r="P470" i="1"/>
  <c r="P462" i="1"/>
  <c r="P454" i="1"/>
  <c r="P446" i="1"/>
  <c r="P438" i="1"/>
  <c r="P430" i="1"/>
  <c r="P422" i="1"/>
  <c r="P414" i="1"/>
  <c r="P406" i="1"/>
  <c r="P398" i="1"/>
  <c r="P390" i="1"/>
  <c r="P382" i="1"/>
  <c r="P374" i="1"/>
  <c r="P366"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38" i="1"/>
  <c r="P30" i="1"/>
  <c r="P22" i="1"/>
  <c r="P14" i="1"/>
  <c r="P6" i="1"/>
  <c r="P1000" i="1"/>
  <c r="P992" i="1"/>
  <c r="P984" i="1"/>
  <c r="P976" i="1"/>
  <c r="P968" i="1"/>
  <c r="P960" i="1"/>
  <c r="P952" i="1"/>
  <c r="P944" i="1"/>
  <c r="P936" i="1"/>
  <c r="P928" i="1"/>
  <c r="P920" i="1"/>
  <c r="P912" i="1"/>
  <c r="P904" i="1"/>
  <c r="P896" i="1"/>
  <c r="P888" i="1"/>
  <c r="P880" i="1"/>
  <c r="P872" i="1"/>
  <c r="P864" i="1"/>
  <c r="P856" i="1"/>
  <c r="P848" i="1"/>
  <c r="P840" i="1"/>
  <c r="P832" i="1"/>
  <c r="P824" i="1"/>
  <c r="P816" i="1"/>
  <c r="P808" i="1"/>
  <c r="P800" i="1"/>
  <c r="P792" i="1"/>
  <c r="P784" i="1"/>
  <c r="P776" i="1"/>
  <c r="P768" i="1"/>
  <c r="P760" i="1"/>
  <c r="P752" i="1"/>
  <c r="P744" i="1"/>
  <c r="P736" i="1"/>
  <c r="P728" i="1"/>
  <c r="P720" i="1"/>
  <c r="P712" i="1"/>
  <c r="P704" i="1"/>
  <c r="P696" i="1"/>
  <c r="P688" i="1"/>
  <c r="P680" i="1"/>
  <c r="P632" i="1"/>
  <c r="P600" i="1"/>
  <c r="P504" i="1"/>
  <c r="P472" i="1"/>
  <c r="P376" i="1"/>
  <c r="P248" i="1"/>
  <c r="P216" i="1"/>
  <c r="P72" i="1"/>
  <c r="P672" i="1"/>
  <c r="P664" i="1"/>
  <c r="P656" i="1"/>
  <c r="P648" i="1"/>
  <c r="P640" i="1"/>
  <c r="P624" i="1"/>
  <c r="P616" i="1"/>
  <c r="P608" i="1"/>
  <c r="P592" i="1"/>
  <c r="P584" i="1"/>
  <c r="P576" i="1"/>
  <c r="P568" i="1"/>
  <c r="P560" i="1"/>
  <c r="P552" i="1"/>
  <c r="P544" i="1"/>
  <c r="P536" i="1"/>
  <c r="P528" i="1"/>
  <c r="P520" i="1"/>
  <c r="P512" i="1"/>
  <c r="P496" i="1"/>
  <c r="P488" i="1"/>
  <c r="P480" i="1"/>
  <c r="P464" i="1"/>
  <c r="P456" i="1"/>
  <c r="P448" i="1"/>
  <c r="P440" i="1"/>
  <c r="P432" i="1"/>
  <c r="P424" i="1"/>
  <c r="P416" i="1"/>
  <c r="P408" i="1"/>
  <c r="P400" i="1"/>
  <c r="P392" i="1"/>
  <c r="P384" i="1"/>
  <c r="P368" i="1"/>
  <c r="P360" i="1"/>
  <c r="P352" i="1"/>
  <c r="P336" i="1"/>
  <c r="P328" i="1"/>
  <c r="P320" i="1"/>
  <c r="P312" i="1"/>
  <c r="P304" i="1"/>
  <c r="P296" i="1"/>
  <c r="P288" i="1"/>
  <c r="P280" i="1"/>
  <c r="P272" i="1"/>
  <c r="P264" i="1"/>
  <c r="P256" i="1"/>
  <c r="P240" i="1"/>
  <c r="P232" i="1"/>
  <c r="P224" i="1"/>
  <c r="P208" i="1"/>
  <c r="P200" i="1"/>
  <c r="P192" i="1"/>
  <c r="P184" i="1"/>
  <c r="P176" i="1"/>
  <c r="P168" i="1"/>
  <c r="P160" i="1"/>
  <c r="P152" i="1"/>
  <c r="P144" i="1"/>
  <c r="P136" i="1"/>
  <c r="P128" i="1"/>
  <c r="P112" i="1"/>
  <c r="P104" i="1"/>
  <c r="P96" i="1"/>
  <c r="P88" i="1"/>
  <c r="P80" i="1"/>
  <c r="P64" i="1"/>
  <c r="P56" i="1"/>
  <c r="P48" i="1"/>
  <c r="P40" i="1"/>
  <c r="P32" i="1"/>
  <c r="P24" i="1"/>
  <c r="P16" i="1"/>
  <c r="P8" i="1"/>
  <c r="P2" i="1"/>
  <c r="P681" i="1"/>
  <c r="P673" i="1"/>
  <c r="P665" i="1"/>
  <c r="P657" i="1"/>
  <c r="P649" i="1"/>
  <c r="P641" i="1"/>
  <c r="P633" i="1"/>
  <c r="P625" i="1"/>
  <c r="P617" i="1"/>
  <c r="P609" i="1"/>
  <c r="P601" i="1"/>
  <c r="P593" i="1"/>
  <c r="P585" i="1"/>
  <c r="P577" i="1"/>
  <c r="P569" i="1"/>
  <c r="P561" i="1"/>
  <c r="P553" i="1"/>
  <c r="P545" i="1"/>
  <c r="P537" i="1"/>
  <c r="P529" i="1"/>
  <c r="P521" i="1"/>
  <c r="P513" i="1"/>
  <c r="P505" i="1"/>
  <c r="P497" i="1"/>
  <c r="P489" i="1"/>
  <c r="P481" i="1"/>
  <c r="P473" i="1"/>
  <c r="P465" i="1"/>
  <c r="P457" i="1"/>
  <c r="P449" i="1"/>
  <c r="P441" i="1"/>
  <c r="P433" i="1"/>
  <c r="P425" i="1"/>
  <c r="P417" i="1"/>
  <c r="P409" i="1"/>
  <c r="P401" i="1"/>
  <c r="P393" i="1"/>
  <c r="P385" i="1"/>
  <c r="P377" i="1"/>
  <c r="P369" i="1"/>
  <c r="P361" i="1"/>
  <c r="P353" i="1"/>
  <c r="P345" i="1"/>
  <c r="P337" i="1"/>
  <c r="P329" i="1"/>
  <c r="P321" i="1"/>
  <c r="P313" i="1"/>
  <c r="P305" i="1"/>
  <c r="P297" i="1"/>
  <c r="P289" i="1"/>
  <c r="P281" i="1"/>
  <c r="P273" i="1"/>
  <c r="P265" i="1"/>
  <c r="P257" i="1"/>
  <c r="P249" i="1"/>
  <c r="P241" i="1"/>
  <c r="P233" i="1"/>
  <c r="P225" i="1"/>
  <c r="P217" i="1"/>
  <c r="P209" i="1"/>
  <c r="P201" i="1"/>
  <c r="P193" i="1"/>
  <c r="P185" i="1"/>
  <c r="P177" i="1"/>
  <c r="P169" i="1"/>
  <c r="P161" i="1"/>
  <c r="P153" i="1"/>
  <c r="P145" i="1"/>
  <c r="P137" i="1"/>
  <c r="P129" i="1"/>
  <c r="P121" i="1"/>
  <c r="P113" i="1"/>
  <c r="P105" i="1"/>
  <c r="P97" i="1"/>
  <c r="P89" i="1"/>
  <c r="P81" i="1"/>
  <c r="P73" i="1"/>
  <c r="P65" i="1"/>
  <c r="P57" i="1"/>
  <c r="P49" i="1"/>
  <c r="P41" i="1"/>
  <c r="P33" i="1"/>
  <c r="P25" i="1"/>
  <c r="P17" i="1"/>
  <c r="P9" i="1"/>
  <c r="B6"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<sst xmlns="http://schemas.openxmlformats.org/spreadsheetml/2006/main" count="14131" uniqueCount="2599">
  <si>
    <t>Order ID</t>
  </si>
  <si>
    <t>Order Date</t>
  </si>
  <si>
    <t>Product Name</t>
  </si>
  <si>
    <t>Product Category</t>
  </si>
  <si>
    <t>Quantity Sold</t>
  </si>
  <si>
    <t>Unit Price</t>
  </si>
  <si>
    <t>Unit Cost</t>
  </si>
  <si>
    <t>Customer ID</t>
  </si>
  <si>
    <t>Customer Name</t>
  </si>
  <si>
    <t>Shipment Status</t>
  </si>
  <si>
    <t>State</t>
  </si>
  <si>
    <t>comPosTaBLe pLANt poTS</t>
  </si>
  <si>
    <t>CompostabLE PLaNt POTS</t>
  </si>
  <si>
    <t>sOLAr LeD laNtERN</t>
  </si>
  <si>
    <t>eCo CANVaS tOte BAg</t>
  </si>
  <si>
    <t>Eco CANvAS TOtE BAg</t>
  </si>
  <si>
    <t>rEUSabLE bamBoo utEnSIl SeT</t>
  </si>
  <si>
    <t>ReuSaBlE BaMBoo uTENsiL sEt</t>
  </si>
  <si>
    <t>EcO Canvas tOte BaG</t>
  </si>
  <si>
    <t>ReuSAble baMbOO uTENSIL SeT</t>
  </si>
  <si>
    <t>solaR LeD LANtern</t>
  </si>
  <si>
    <t>eCo CAnvaS tote BAg</t>
  </si>
  <si>
    <t>SolaR Led LANTERN</t>
  </si>
  <si>
    <t>SOLar Led LaNtErN</t>
  </si>
  <si>
    <t>ecO cANVAs tote bAg</t>
  </si>
  <si>
    <t>biOdEgradabLE CleANing clOTh</t>
  </si>
  <si>
    <t>BIoDeGrAdABlE cleaniNg ClOTh</t>
  </si>
  <si>
    <t>sOlAR lEd LanTERn</t>
  </si>
  <si>
    <t>REuSaBLE BamBOo UTEnsil Set</t>
  </si>
  <si>
    <t>ECO CanVAS TOte Bag</t>
  </si>
  <si>
    <t>cOmPOsTAbLE PlanT pOts</t>
  </si>
  <si>
    <t>REuSable BAMboo UTENSIl seT</t>
  </si>
  <si>
    <t>soLAR LEd lAntERn</t>
  </si>
  <si>
    <t>CoMpOstaBLE plANt PotS</t>
  </si>
  <si>
    <t>sOlar lED lANTeRn</t>
  </si>
  <si>
    <t>comPOSTable PLaNt pOTS</t>
  </si>
  <si>
    <t>ReuSaBLe BAMBoo uTensil Set</t>
  </si>
  <si>
    <t>coMPoStable PLaNT PoTs</t>
  </si>
  <si>
    <t>bIOdEgRadabLE ClEaNIng CLOTh</t>
  </si>
  <si>
    <t>bIODeGradAbLE CleAnINg clOtH</t>
  </si>
  <si>
    <t>reUsabLe bAmBoO UTENSiL sET</t>
  </si>
  <si>
    <t>COmpostabLe PLANt poTs</t>
  </si>
  <si>
    <t>ecO cANVAS ToTe bAG</t>
  </si>
  <si>
    <t>cOmPoSTablE PlANt potS</t>
  </si>
  <si>
    <t>eco canvas TOTe BaG</t>
  </si>
  <si>
    <t>SOlaR lEd lAntERN</t>
  </si>
  <si>
    <t>BIoDEgrADAble CLeAniNg cLotH</t>
  </si>
  <si>
    <t>ReUSAbLE BaMBoo uteNSiL SET</t>
  </si>
  <si>
    <t>eCo CanvAS TOtE bAG</t>
  </si>
  <si>
    <t>SOLaR LeD lanTeRn</t>
  </si>
  <si>
    <t>SolAR leD LANtErn</t>
  </si>
  <si>
    <t>comPosTable pLANt POts</t>
  </si>
  <si>
    <t>ecO cAnVAs tOTe BAg</t>
  </si>
  <si>
    <t>rEUSAble bAMBOo utENsiL SeT</t>
  </si>
  <si>
    <t>compOstaBlE PlANt pOtS</t>
  </si>
  <si>
    <t>bIoDEgRADaBLE cLEANiNG cloth</t>
  </si>
  <si>
    <t>reUsaBlE bAMBoO utEnSil sEt</t>
  </si>
  <si>
    <t>SOLAr leD LaNTerN</t>
  </si>
  <si>
    <t>rEUSAblE bamboo uTeNSil seT</t>
  </si>
  <si>
    <t>cOMPoStable planT POTs</t>
  </si>
  <si>
    <t>ReUSaBLe BAmbOO UTensil SEt</t>
  </si>
  <si>
    <t>COmpostAbLE plaNt pOts</t>
  </si>
  <si>
    <t>SOlaR LeD lanTERN</t>
  </si>
  <si>
    <t>eCO CANvaS TOTE bAg</t>
  </si>
  <si>
    <t>REusAbLE bAMBoo UTeNSil sET</t>
  </si>
  <si>
    <t>ECo CAnVaS ToTe BAg</t>
  </si>
  <si>
    <t>ECo canVAs ToTe baG</t>
  </si>
  <si>
    <t>ECo canVaS tOtE BaG</t>
  </si>
  <si>
    <t>REUSABlE BambOo UTEnSiL seT</t>
  </si>
  <si>
    <t>COMpOSTAbLe pLANt Pots</t>
  </si>
  <si>
    <t>COmpostaBLe PlAnT pOtS</t>
  </si>
  <si>
    <t>ecO CAnvAs tOtE bag</t>
  </si>
  <si>
    <t>SoLaR LED lANterN</t>
  </si>
  <si>
    <t>reUSaBle BAMboo UtensIl SeT</t>
  </si>
  <si>
    <t>EcO CANVaS Tote bAG</t>
  </si>
  <si>
    <t>rEuSAbLe bAMboo UteNsIl SET</t>
  </si>
  <si>
    <t>bioDEgradAbLe ClEAniNG ClOTh</t>
  </si>
  <si>
    <t>COmPoSTaBLE PLant poTS</t>
  </si>
  <si>
    <t>COMPoStAblE plANT PoTs</t>
  </si>
  <si>
    <t>solAr Led LAntERn</t>
  </si>
  <si>
    <t>solaR lED lANTErn</t>
  </si>
  <si>
    <t>reUSABle bAmbOO UTENSil seT</t>
  </si>
  <si>
    <t>soLaR led LANtERN</t>
  </si>
  <si>
    <t>bIODeGRaDabLE cleAnIng ClotH</t>
  </si>
  <si>
    <t>solar led LaNTERn</t>
  </si>
  <si>
    <t>bIODegRadaBLe cLEAning ClOth</t>
  </si>
  <si>
    <t>cOMpoSTaBle pLAnt poTs</t>
  </si>
  <si>
    <t>rEUSaBlE bambOO UTenSIl Set</t>
  </si>
  <si>
    <t>eCO canVaS tOTE bag</t>
  </si>
  <si>
    <t>coMPOsTAbLE pLant POtS</t>
  </si>
  <si>
    <t>sOLAr lEd laNTeRn</t>
  </si>
  <si>
    <t>CoMpOstabLE plAnT poTS</t>
  </si>
  <si>
    <t>BiOdeGRadaBLE CLEaninG cloth</t>
  </si>
  <si>
    <t>rEUsAbLE bamboo UtENsil sET</t>
  </si>
  <si>
    <t>ReusAble bAMbOo uteNSil sET</t>
  </si>
  <si>
    <t>COmPoStAble planT poTs</t>
  </si>
  <si>
    <t>bIODegRadaBLE clEaNiNG CLOth</t>
  </si>
  <si>
    <t>rEUSable BamboO UtensIL set</t>
  </si>
  <si>
    <t>EcO CANVaS toTe BAG</t>
  </si>
  <si>
    <t>REUsABLe bAmboo UTeNsil seT</t>
  </si>
  <si>
    <t>SOlAR lED LanTeRN</t>
  </si>
  <si>
    <t>reusABLe BamboO utEnsIL sEt</t>
  </si>
  <si>
    <t>ECO caNvas ToTe bAG</t>
  </si>
  <si>
    <t>REuSaBLE BAmBoO UTeNSIl seT</t>
  </si>
  <si>
    <t>BIoDeGrAdABLE CLeANING clOTH</t>
  </si>
  <si>
    <t>eCo cANVAS ToTe BAG</t>
  </si>
  <si>
    <t>eco CANVAS TOTe bAg</t>
  </si>
  <si>
    <t>SOlaR LEd laNtErn</t>
  </si>
  <si>
    <t>soLaR LED laNterN</t>
  </si>
  <si>
    <t>EcO cAnvaS tOTE BAg</t>
  </si>
  <si>
    <t>SolAr leD laNterN</t>
  </si>
  <si>
    <t>reuSabLE BaMBoO utensIL set</t>
  </si>
  <si>
    <t>sOLaR lEd LAnTErN</t>
  </si>
  <si>
    <t>solAr LED lantern</t>
  </si>
  <si>
    <t>bIOdegRAdABLE CLeAninG CloTh</t>
  </si>
  <si>
    <t>SolAR led laNtERN</t>
  </si>
  <si>
    <t>REuSABlE BamBoo utenSil seT</t>
  </si>
  <si>
    <t>sOLAR leD LAnteRn</t>
  </si>
  <si>
    <t>Solar LED laNteRn</t>
  </si>
  <si>
    <t>biodEgRaDABle cLEaninG cLOTH</t>
  </si>
  <si>
    <t>BiODEgradaBLE CLEanING clotH</t>
  </si>
  <si>
    <t>BIODEGrADABlE CleANING ClOTh</t>
  </si>
  <si>
    <t>BIOdegRADABLE CLEAniNg ClotH</t>
  </si>
  <si>
    <t>eco CanVas toTe bAG</t>
  </si>
  <si>
    <t>reUSAblE BaMbOo Utensil set</t>
  </si>
  <si>
    <t>ECO cANvaS TOte bag</t>
  </si>
  <si>
    <t>reusabLE bAmbOo uTensIL set</t>
  </si>
  <si>
    <t>ReuSabLe bamBOO uTEnSiL sEt</t>
  </si>
  <si>
    <t>reusAbLE baMboo uTEnsIl SET</t>
  </si>
  <si>
    <t>reusAble BAMbOo uTEnsIL set</t>
  </si>
  <si>
    <t>BiOdEGRADAble cLEAnINg CLoTH</t>
  </si>
  <si>
    <t>rEUSAblE BambOo UTENsil Set</t>
  </si>
  <si>
    <t>bioDEGRadabLE cLeanINg ClotH</t>
  </si>
  <si>
    <t>SOlAr leD LaNTeRn</t>
  </si>
  <si>
    <t>solAr leD laNteRN</t>
  </si>
  <si>
    <t>eCO caNVaS Tote BAG</t>
  </si>
  <si>
    <t>eCo cANvaS TotE bAg</t>
  </si>
  <si>
    <t>REUsAblE bamboO UtEnsiL seT</t>
  </si>
  <si>
    <t>solar leD LANTERN</t>
  </si>
  <si>
    <t>solaR LeD lANtERN</t>
  </si>
  <si>
    <t>BioDeGRAdablE CleANIng ClOth</t>
  </si>
  <si>
    <t>soLAr leD LaNtern</t>
  </si>
  <si>
    <t>ecO caNVaS toTe BAg</t>
  </si>
  <si>
    <t>reUsablE BaMBoO utensil SET</t>
  </si>
  <si>
    <t>REusable bAMBOO UTENsIL SEt</t>
  </si>
  <si>
    <t>soLaR leD LAnterN</t>
  </si>
  <si>
    <t>ReuSablE bamBOo uteNSil set</t>
  </si>
  <si>
    <t>rEUSAbLe bAMBOo uTENSil SET</t>
  </si>
  <si>
    <t>ECo CANVAS ToTe bAG</t>
  </si>
  <si>
    <t>eco CanvaS tOTe bag</t>
  </si>
  <si>
    <t>biOdEgRADable cLeAniNg cLoTH</t>
  </si>
  <si>
    <t>BIodEGRaDabLE clEANinG cLOth</t>
  </si>
  <si>
    <t>EcO cANvaS ToTe bAg</t>
  </si>
  <si>
    <t>solaR Led LAntERn</t>
  </si>
  <si>
    <t>COmpostaBLE PlaNT POtS</t>
  </si>
  <si>
    <t>SOlar lEd LanTerN</t>
  </si>
  <si>
    <t>REUSaBLE bAMbOo UtEnsIl set</t>
  </si>
  <si>
    <t>ReuSAbLE baMbOo utENSIL sEt</t>
  </si>
  <si>
    <t>EcO CanvAS tOTe BAg</t>
  </si>
  <si>
    <t>comPoSTAbLe PlaNt potS</t>
  </si>
  <si>
    <t>rEUSablE BaMboo UTEnsIl SEt</t>
  </si>
  <si>
    <t>sOlaR LeD lANTERN</t>
  </si>
  <si>
    <t>reUsAble BambOO utenSiL SET</t>
  </si>
  <si>
    <t>ReuSabLE BaMbOO UtENSIl SET</t>
  </si>
  <si>
    <t>reuSaBLe baMbOo UTENSIL set</t>
  </si>
  <si>
    <t>soLAr led LANTerN</t>
  </si>
  <si>
    <t>solar LeD LANTeRN</t>
  </si>
  <si>
    <t>SOlAR LED lAnTERN</t>
  </si>
  <si>
    <t>ECO CANvAs toTe BaG</t>
  </si>
  <si>
    <t>biODEgRaDAbLe ClEAning cloth</t>
  </si>
  <si>
    <t>eCo canVas TOte BAg</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</si>
  <si>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</si>
  <si>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</si>
  <si>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</si>
  <si>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</si>
  <si>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</si>
  <si>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</si>
  <si>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</si>
  <si>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</si>
  <si>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</si>
  <si>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cOMpOstAbLe PlAnt POTS</t>
  </si>
  <si>
    <t>biODeGRAdaBle clEAniNG CLotH</t>
  </si>
  <si>
    <t>ECO CANvas TOtE bag</t>
  </si>
  <si>
    <t>Solar lEd LaNTern</t>
  </si>
  <si>
    <t>SOLAR led lantErN</t>
  </si>
  <si>
    <t>coMpoSTaBlE plAnT POTs</t>
  </si>
  <si>
    <t>eco caNVaS TotE bAG</t>
  </si>
  <si>
    <t>eCO cANvAS TOTe bAG</t>
  </si>
  <si>
    <t>ecO CaNVAS tote bag</t>
  </si>
  <si>
    <t>reUSabLE bAmboo UtEnSil seT</t>
  </si>
  <si>
    <t>BIODeGraDaBlE CLEAnINg cLotH</t>
  </si>
  <si>
    <t>CompoSTaBlE PlANt poTs</t>
  </si>
  <si>
    <t>ECo caNvAs ToTE bAg</t>
  </si>
  <si>
    <t>BIODEgraDAble cleAniNg ClOth</t>
  </si>
  <si>
    <t>ECo CanVAS tOTE bAg</t>
  </si>
  <si>
    <t>Solar LED LaNTerN</t>
  </si>
  <si>
    <t>EcO cAnvAS TOTE bAG</t>
  </si>
  <si>
    <t>reUsABlE bAmboO UTENSiL Set</t>
  </si>
  <si>
    <t>ecO cANVaS ToTe bAG</t>
  </si>
  <si>
    <t>reuSAbLE BaMBOo UtenSIL sEt</t>
  </si>
  <si>
    <t>REUsaBlE bAmboo uTeNsil SET</t>
  </si>
  <si>
    <t>SolAr LEd LAnTERN</t>
  </si>
  <si>
    <t>BiODegradABlE CleAnIng cLOtH</t>
  </si>
  <si>
    <t>eCo CaNvas toTe baG</t>
  </si>
  <si>
    <t>eCO caNVAs Tote bag</t>
  </si>
  <si>
    <t>REusAble bAmBOO uTeNsIl SET</t>
  </si>
  <si>
    <t>REUsabLE baMbOo utensIl SET</t>
  </si>
  <si>
    <t>Solar LED lantErN</t>
  </si>
  <si>
    <t>REuSAble BAMBoo utEnSil SeT</t>
  </si>
  <si>
    <t>COmpostABLE PlanT pOTS</t>
  </si>
  <si>
    <t>BIODEgraDaBle CLeAnInG clOtH</t>
  </si>
  <si>
    <t>sOlAr lED lAnTeRN</t>
  </si>
  <si>
    <t>SOLAr LED LANtERN</t>
  </si>
  <si>
    <t>cOmpoSTAbLE PlAnT POTs</t>
  </si>
  <si>
    <t>rEUSAblE BaMBOO uTeNsil set</t>
  </si>
  <si>
    <t>eCo cANvaS tOTe bag</t>
  </si>
  <si>
    <t>soLaR LED LANteRN</t>
  </si>
  <si>
    <t>eCO CANVaS tOTE BAG</t>
  </si>
  <si>
    <t>eCo canVaS TOTE bag</t>
  </si>
  <si>
    <t>eCo CaNVaS tote BAg</t>
  </si>
  <si>
    <t>eCO CAnVAS tOTe BaG</t>
  </si>
  <si>
    <t>biODegRADabLe ClEANING cLoth</t>
  </si>
  <si>
    <t>ECo CAnVaS tOtE bag</t>
  </si>
  <si>
    <t>SOlAr leD lanTern</t>
  </si>
  <si>
    <t>Eco cANvaS totE BAg</t>
  </si>
  <si>
    <t>eCo CAnVAs tOte BAG</t>
  </si>
  <si>
    <t>Eco canVaS Tote Bag</t>
  </si>
  <si>
    <t>cOMPOstABlE pLanT PoTS</t>
  </si>
  <si>
    <t>SoLAR lEd Lantern</t>
  </si>
  <si>
    <t>sOLar leD LANtErN</t>
  </si>
  <si>
    <t>ecO cAnvas tOte baG</t>
  </si>
  <si>
    <t>coMpOsTaBlE PlaNt POTs</t>
  </si>
  <si>
    <t>SOLAr Led LAnTErn</t>
  </si>
  <si>
    <t>rEUSabLE baMbOo uTeNSil sET</t>
  </si>
  <si>
    <t>biODeGRADABlE ClEANIng CLoth</t>
  </si>
  <si>
    <t>bIoDEgradabLe CleAnINg cloTH</t>
  </si>
  <si>
    <t>bIoDEgRaDabLE cLEAnIng cLOTh</t>
  </si>
  <si>
    <t>bIOdEGraDaBLe ClEaning CloTh</t>
  </si>
  <si>
    <t>COMPOSTabLE PlANt POtS</t>
  </si>
  <si>
    <t>cOMpOstABle plANt PoTS</t>
  </si>
  <si>
    <t>SoLaR leD LAnteRn</t>
  </si>
  <si>
    <t>ReUSABlE BamboO utENsil set</t>
  </si>
  <si>
    <t>eco CANVAS tOTE Bag</t>
  </si>
  <si>
    <t>eco CAnvAS TOTe BAg</t>
  </si>
  <si>
    <t>reUsAbLE bAMBOO utensil sEt</t>
  </si>
  <si>
    <t>rEUsABle BamBOO UteNsil set</t>
  </si>
  <si>
    <t>soLAr lEd lanTeRn</t>
  </si>
  <si>
    <t>sOLaR lED LAnTeRN</t>
  </si>
  <si>
    <t>reuSabLE BaMboO uTenSIl set</t>
  </si>
  <si>
    <t>SOlAr lEd lAntERN</t>
  </si>
  <si>
    <t>sOLAR lED laNtERN</t>
  </si>
  <si>
    <t>SolAR leD laNtERN</t>
  </si>
  <si>
    <t>solAr led lanTErn</t>
  </si>
  <si>
    <t>rEusaBLe baMBOo uTensIl sEt</t>
  </si>
  <si>
    <t>REUSABle BAMBoo UtENSil SeT</t>
  </si>
  <si>
    <t>soLAR LED LANTerN</t>
  </si>
  <si>
    <t>eco CanvAS tOTe BaG</t>
  </si>
  <si>
    <t>eCO cANvaS totE BAG</t>
  </si>
  <si>
    <t>SOlAr lEd LAnTern</t>
  </si>
  <si>
    <t>eCo caNvaS tOte baG</t>
  </si>
  <si>
    <t>REUSABlE BamBoO uTENsIl Set</t>
  </si>
  <si>
    <t>COmposTABLe PlANT pOTs</t>
  </si>
  <si>
    <t>biOdegRADaBlE ClEanINg cLOth</t>
  </si>
  <si>
    <t>sOLAr LEd lAnterN</t>
  </si>
  <si>
    <t>rEuSabLe BamBoO uteNSIL SET</t>
  </si>
  <si>
    <t>reUsABlE bAMBOo uTenSIl set</t>
  </si>
  <si>
    <t>ECO cAnVAs TOtE bag</t>
  </si>
  <si>
    <t>sOLar LeD lAntERN</t>
  </si>
  <si>
    <t>BIodEgRAdABLe cLEAnING cloTh</t>
  </si>
  <si>
    <t>COMpostablE PLAnt poTs</t>
  </si>
  <si>
    <t>compoSTABle PlaNT potS</t>
  </si>
  <si>
    <t>BIODEGRAdAbLe cLeaNIng cLOtH</t>
  </si>
  <si>
    <t>comPoStAbLE PLaNT pOtS</t>
  </si>
  <si>
    <t>SoLAR leD lAnTern</t>
  </si>
  <si>
    <t>soLaR leD lAnteRN</t>
  </si>
  <si>
    <t>biodegRadAbLe cLEANiNG cLotH</t>
  </si>
  <si>
    <t>eCo cANVAS toTE bAG</t>
  </si>
  <si>
    <t>REuSABLe bamBoo UTensil Set</t>
  </si>
  <si>
    <t>sOlAR Led LanTERN</t>
  </si>
  <si>
    <t>SOlar lED lAnTern</t>
  </si>
  <si>
    <t>SoLAR LEd LanTeRn</t>
  </si>
  <si>
    <t>bIOdEgradAbLE CleANiNG CLOth</t>
  </si>
  <si>
    <t>BIodegradABLE cLeANing CLOTH</t>
  </si>
  <si>
    <t>REusablE bamboo UTEnSil sEt</t>
  </si>
  <si>
    <t>Eco CAnvAS tOte bAg</t>
  </si>
  <si>
    <t>reuSaBLe BAMBoO uTeNsIL sEt</t>
  </si>
  <si>
    <t>EcO cAnVaS totE bAg</t>
  </si>
  <si>
    <t>REUsaBLe BaMboO UteNSiL set</t>
  </si>
  <si>
    <t>EcO canVas ToTe BAG</t>
  </si>
  <si>
    <t>BiODegraDAblE CLeaninG cloth</t>
  </si>
  <si>
    <t>solAR lED lANtErn</t>
  </si>
  <si>
    <t>BIODeGRAdAbLe clEaniNG ClOth</t>
  </si>
  <si>
    <t>bIODEgraDaBLE CLEanIng cLoth</t>
  </si>
  <si>
    <t>CoMpOsTAbLe PlanT poTs</t>
  </si>
  <si>
    <t>ecO CanVas toTE baG</t>
  </si>
  <si>
    <t>BiodEgraDAbLe CLEANing cLoTH</t>
  </si>
  <si>
    <t>CompoSTaBlE plANt PotS</t>
  </si>
  <si>
    <t>rEUsAble BAMBoO utensiL set</t>
  </si>
  <si>
    <t>soLAr LEd lantERN</t>
  </si>
  <si>
    <t>SoLaR lED lANterN</t>
  </si>
  <si>
    <t>bIodegrADabLe CLeaniNG CLoTh</t>
  </si>
  <si>
    <t>cOMpoSTaBlE PLAnt pOTs</t>
  </si>
  <si>
    <t>SOLar Led LanTerN</t>
  </si>
  <si>
    <t>ReUSablE bAmBoO uTensil seT</t>
  </si>
  <si>
    <t>bIodegRADablE ClEAning cLoth</t>
  </si>
  <si>
    <t>rEuSABlE bamBOO UtEnSiL sET</t>
  </si>
  <si>
    <t>SOlaR LEd LANteRN</t>
  </si>
  <si>
    <t>ECo CaNvAs tote bag</t>
  </si>
  <si>
    <t>bIOdEgraDABle clEANINg clOtH</t>
  </si>
  <si>
    <t>CompoStablE plant poTs</t>
  </si>
  <si>
    <t>Eco CanvaS toTE Bag</t>
  </si>
  <si>
    <t>SolAR led lAnTErn</t>
  </si>
  <si>
    <t>eco CAnvaS toTe bAg</t>
  </si>
  <si>
    <t>sOLaR Led lANTERN</t>
  </si>
  <si>
    <t>sOlAR leD lAnTERn</t>
  </si>
  <si>
    <t>SoLAR lED LAnTerN</t>
  </si>
  <si>
    <t>ReUsAbLe bamBOo UTENSIl seT</t>
  </si>
  <si>
    <t>SOlar led laNTerN</t>
  </si>
  <si>
    <t>COMPoSTAble pLANT POTs</t>
  </si>
  <si>
    <t>BiODeGrADABlE cLEaninG clotH</t>
  </si>
  <si>
    <t>SOLAR LEd LANtErn</t>
  </si>
  <si>
    <t>biODeGRADABLE cLeanIng cloTh</t>
  </si>
  <si>
    <t>SolAr LED lANtErn</t>
  </si>
  <si>
    <t>SOLAR LEd LaNTERN</t>
  </si>
  <si>
    <t>solaR LEd LANtERn</t>
  </si>
  <si>
    <t>sOLaR lEd LAnTerN</t>
  </si>
  <si>
    <t>sOlAR lEd LanTerN</t>
  </si>
  <si>
    <t>soLAr led lANTeRn</t>
  </si>
  <si>
    <t>coMPOSTAble plaNt POTS</t>
  </si>
  <si>
    <t>bIodEgraDAble cLeaNinG cloTh</t>
  </si>
  <si>
    <t>EcO CanVaS TOte bag</t>
  </si>
  <si>
    <t>CoMpOSTaBlE PLaNT pOTs</t>
  </si>
  <si>
    <t>compostaBle PlANT pOTs</t>
  </si>
  <si>
    <t>comPOStAblE pLanT pOtS</t>
  </si>
  <si>
    <t>SoLAr LEd LANTErN</t>
  </si>
  <si>
    <t>sOlAR lEd lANteRN</t>
  </si>
  <si>
    <t>BIOdEGRADablE CLEaNInG cLoTH</t>
  </si>
  <si>
    <t>BiODEgRAdablE cLeANiNg cLoTH</t>
  </si>
  <si>
    <t>ecO Canvas tOtE bag</t>
  </si>
  <si>
    <t>REuSaBLE bAmBoO UTEnSIl SeT</t>
  </si>
  <si>
    <t>ReUsAblE BAmboO uTensiL sEt</t>
  </si>
  <si>
    <t>REuSAbLe bambOO UTeNSIl SET</t>
  </si>
  <si>
    <t>soLaR LeD LanTerN</t>
  </si>
  <si>
    <t>ecO CAnVAs TOtE baG</t>
  </si>
  <si>
    <t>SOLAR led LanterN</t>
  </si>
  <si>
    <t>BiOdeGRadAbLe cleaning cloTH</t>
  </si>
  <si>
    <t>solAr lEd lANTeRn</t>
  </si>
  <si>
    <t>eCo CanvAS tOTE BAG</t>
  </si>
  <si>
    <t>BiodegRadABLE ClEanING CLOth</t>
  </si>
  <si>
    <t>CoMposTaBLE pLANt PotS</t>
  </si>
  <si>
    <t>cOmpOSTable PlaNt POTs</t>
  </si>
  <si>
    <t>solar leD laNtErN</t>
  </si>
  <si>
    <t>REUSABlE baMBOO UTENSiL SEt</t>
  </si>
  <si>
    <t>ecO CANVAs TOTE bAG</t>
  </si>
  <si>
    <t>soLAr LED laNtErN</t>
  </si>
  <si>
    <t>reusable bAMBOo utensil Set</t>
  </si>
  <si>
    <t>BiODEGRAdaBle CleAniNG cloTh</t>
  </si>
  <si>
    <t>EcO cAnVas TOte Bag</t>
  </si>
  <si>
    <t>eco cANvAS toTe bAg</t>
  </si>
  <si>
    <t>eCo cANVas Tote BAG</t>
  </si>
  <si>
    <t>ecO cANvAS TotE bAg</t>
  </si>
  <si>
    <t>BIoDEGradAblE clEaNinG ClOTH</t>
  </si>
  <si>
    <t>BioDegRadABLe ClEANING CLOTH</t>
  </si>
  <si>
    <t>coMpOSTABLe pLaNt POts</t>
  </si>
  <si>
    <t>eco caNvaS TOtE BaG</t>
  </si>
  <si>
    <t>BIoDEGrAdable cleANING ClOth</t>
  </si>
  <si>
    <t>ecO cAnVAs toTE bAG</t>
  </si>
  <si>
    <t>rEUSAblE bambOO UtenSiL SEt</t>
  </si>
  <si>
    <t>SOlaR leD lAnteRn</t>
  </si>
  <si>
    <t>comPoStablE pLaNT pOtS</t>
  </si>
  <si>
    <t>Eco canvAs TOtE BAg</t>
  </si>
  <si>
    <t>ECO CaNVAS toTe bAg</t>
  </si>
  <si>
    <t>CoMposTablE plAnT PotS</t>
  </si>
  <si>
    <t>BiOdegRaDABLe CleaNiNg clOTh</t>
  </si>
  <si>
    <t>sOLaR LeD laNtERN</t>
  </si>
  <si>
    <t>bIoDegRadaBLE cleANING CLoth</t>
  </si>
  <si>
    <t>REUsAbLe BAmBoO UtENsil SEt</t>
  </si>
  <si>
    <t>EcO CanVas tOte Bag</t>
  </si>
  <si>
    <t>cOMpoStAbLE Plant pots</t>
  </si>
  <si>
    <t>ComPosTable plANt Pots</t>
  </si>
  <si>
    <t>BioDeGRaDAbLe CleaniNg cLotH</t>
  </si>
  <si>
    <t>bIoDegRadabLE ClEANiNg ClOTH</t>
  </si>
  <si>
    <t>Eco CAnVAs TOTe BAG</t>
  </si>
  <si>
    <t>REusabLE BambOo UtEnsil set</t>
  </si>
  <si>
    <t>SOlar LeD lANTeRn</t>
  </si>
  <si>
    <t>reuSable BAMBoo UTENSiL sEt</t>
  </si>
  <si>
    <t>COMPOstaBLE PLAnT poTS</t>
  </si>
  <si>
    <t>COmPOStABLe pLaNT POTs</t>
  </si>
  <si>
    <t>composTaBLE plAnt poTs</t>
  </si>
  <si>
    <t>ComPOSTable plAnT POTS</t>
  </si>
  <si>
    <t>comPoStaBlE PLaNT pOts</t>
  </si>
  <si>
    <t>CompOSTable PLAnt POTs</t>
  </si>
  <si>
    <t>cOMPOStaBLe pLAnt pots</t>
  </si>
  <si>
    <t>ECo canvaS tOTE BaG</t>
  </si>
  <si>
    <t>bIODeGrAdabLe CleAnIng CloTh</t>
  </si>
  <si>
    <t>REUSAblE BAmBOO utENSil SET</t>
  </si>
  <si>
    <t>bIoDEgrADaBlE cLeaning CloTH</t>
  </si>
  <si>
    <t>rEUSablE baMbOo uTeNsIL seT</t>
  </si>
  <si>
    <t>biODEgrAdaBLE clEAnINg clOTh</t>
  </si>
  <si>
    <t>cOmPostAblE PlanT Pots</t>
  </si>
  <si>
    <t>COMpOsTaBLe PlAnT POts</t>
  </si>
  <si>
    <t>eCO cAnvaS TOtE bAG</t>
  </si>
  <si>
    <t>Eco cAnvAs tOtE BAG</t>
  </si>
  <si>
    <t>BiodEgRADaBLe cleANInG cLoth</t>
  </si>
  <si>
    <t>COmpoSTaBle PLAnT pOts</t>
  </si>
  <si>
    <t>SOlaR LEd LantERN</t>
  </si>
  <si>
    <t>reUsAblE bAMBOO uTensIl SEt</t>
  </si>
  <si>
    <t>ECO CaNvAS ToTe Bag</t>
  </si>
  <si>
    <t>cOMpOsTABLE PLANt PoTS</t>
  </si>
  <si>
    <t>SOLar led LAntERn</t>
  </si>
  <si>
    <t>ReuSaBlE bAmBoO utEnSil sEt</t>
  </si>
  <si>
    <t>ECo cAnvaS TOte BaG</t>
  </si>
  <si>
    <t>BiODEgradAblE cLEaNing clOtH</t>
  </si>
  <si>
    <t>sOLaR LEd LaNtErn</t>
  </si>
  <si>
    <t>COmpOStAblE PlAnt pOTS</t>
  </si>
  <si>
    <t>ECO caNvAS TOte BAG</t>
  </si>
  <si>
    <t>REUSaBlE bamBOo UtensIL set</t>
  </si>
  <si>
    <t>Eco CANVAS TOtE baG</t>
  </si>
  <si>
    <t>ReUsAblE bAMBOO UtENSIl seT</t>
  </si>
  <si>
    <t>biODEgraDABlE clEanING cLoth</t>
  </si>
  <si>
    <t>ReUsAblE bAmBOo uTEnsiL SET</t>
  </si>
  <si>
    <t>ComPosTAbLE pLANT pOts</t>
  </si>
  <si>
    <t>cOMpoStAble plaNT PotS</t>
  </si>
  <si>
    <t>solaR LeD laNtErN</t>
  </si>
  <si>
    <t>BioDeGRADAblE CLEAnINg CLoTH</t>
  </si>
  <si>
    <t>reUSABLE baMBOO utensIl Set</t>
  </si>
  <si>
    <t>rEuSAble BaMBOO UTensil SeT</t>
  </si>
  <si>
    <t>rEusabLE BaMBOO uteNSiL SeT</t>
  </si>
  <si>
    <t>SoLar LEd LANtErN</t>
  </si>
  <si>
    <t>SOLaR Led LaNteRN</t>
  </si>
  <si>
    <t>compOsTabLE PlAnT POTS</t>
  </si>
  <si>
    <t>SoLaR lEd LaNTerN</t>
  </si>
  <si>
    <t>bIOdeGRadAblE cleANIng CLotH</t>
  </si>
  <si>
    <t>bIODeGRAdabLE cLEANiNG cLoTh</t>
  </si>
  <si>
    <t>ComPOsTabLe plaNT PotS</t>
  </si>
  <si>
    <t>sOLAr leD LAnTERn</t>
  </si>
  <si>
    <t>SoLAR LED LAnTeRn</t>
  </si>
  <si>
    <t>reuSAbLE bAMboo UtEnSil Set</t>
  </si>
  <si>
    <t>COMpoStabLe PLAnt pOtS</t>
  </si>
  <si>
    <t>reUsaBlE bAmBOO UteNSil seT</t>
  </si>
  <si>
    <t>CompOsTabLE PlANt pOts</t>
  </si>
  <si>
    <t>cOmPoSTable PLant Pots</t>
  </si>
  <si>
    <t>EcO CaNvAS ToTe bag</t>
  </si>
  <si>
    <t>bioDegrADabLE clEANinG ClOth</t>
  </si>
  <si>
    <t>COmpOSTablE plaNt poTS</t>
  </si>
  <si>
    <t>reUSAbLe BaMboO utEnsIL SeT</t>
  </si>
  <si>
    <t>BIoDEgRAdAblE CLeAniNG cLOth</t>
  </si>
  <si>
    <t>comPOstable plANt PotS</t>
  </si>
  <si>
    <t>ECO CanVAS toTE BAg</t>
  </si>
  <si>
    <t>SoLar leD LaNteRN</t>
  </si>
  <si>
    <t>ECO CaNVaS Tote Bag</t>
  </si>
  <si>
    <t>SOlar led LaNTeRN</t>
  </si>
  <si>
    <t>rEUsAbLE BAmBOO UTENsIL sEt</t>
  </si>
  <si>
    <t>Eco cAnvaS toTE bag</t>
  </si>
  <si>
    <t>REuSABlE bAMboO UTENSil SET</t>
  </si>
  <si>
    <t>coMpoSTaBLE plAnT PoTs</t>
  </si>
  <si>
    <t>EcO cAnvAS TotE bAG</t>
  </si>
  <si>
    <t>reuSABLE baMBOO UtEnsIL SeT</t>
  </si>
  <si>
    <t>BIoDEGrAdAbLe CleANIng CLOtH</t>
  </si>
  <si>
    <t>eCo canvAS tOTE bAg</t>
  </si>
  <si>
    <t>EcO cAnVAS Tote BAg</t>
  </si>
  <si>
    <t>compOstable PlaNT poTS</t>
  </si>
  <si>
    <t>SOlar lEd LAntERN</t>
  </si>
  <si>
    <t>sOLAr lED lantErN</t>
  </si>
  <si>
    <t>composTABLe PlAnt poTS</t>
  </si>
  <si>
    <t>ReusaBle BAMboo uTEnSIl sET</t>
  </si>
  <si>
    <t>bioDEGraDablE cLEAniNg cLOTh</t>
  </si>
  <si>
    <t>CoMPoStABLe pLANt POtS</t>
  </si>
  <si>
    <t>cOMPoStABle PLAnt potS</t>
  </si>
  <si>
    <t>bIODeGraDABle cLeanInG CLoTh</t>
  </si>
  <si>
    <t>BiodEgrAdAble CleAninG cLOtH</t>
  </si>
  <si>
    <t>sOLAr LEd lanTeRn</t>
  </si>
  <si>
    <t>eCO CANvaS TOTe Bag</t>
  </si>
  <si>
    <t>BIodEGraDabLe CLeANinG cLoth</t>
  </si>
  <si>
    <t>solAr led lantERN</t>
  </si>
  <si>
    <t>eCo CaNvAS TotE BAg</t>
  </si>
  <si>
    <t>cOmpOStable plAnt POts</t>
  </si>
  <si>
    <t>soLAR LEd laNTern</t>
  </si>
  <si>
    <t>rEUSABlE bamboO UtENSIl Set</t>
  </si>
  <si>
    <t>reusABLE bAmbOo UtENSIL sEt</t>
  </si>
  <si>
    <t>sOlaR LED lanTErn</t>
  </si>
  <si>
    <t>REUSablE baMBoO UTEnSIl SET</t>
  </si>
  <si>
    <t>SoLaR LeD LAnterN</t>
  </si>
  <si>
    <t>bIOdEgRaDAbLE cleaNIng ClOth</t>
  </si>
  <si>
    <t>sOlAR lED LANtErN</t>
  </si>
  <si>
    <t>ECO CANVAS Tote BAG</t>
  </si>
  <si>
    <t>REuSabLe BamBOO utENsil SET</t>
  </si>
  <si>
    <t>reusaBlE bamboO UtenSIL Set</t>
  </si>
  <si>
    <t>ReUsaBlE bAmbOO UteNsIl Set</t>
  </si>
  <si>
    <t>REusaBlE BAmBOo utEnsil Set</t>
  </si>
  <si>
    <t>BiOdeGRAdaBlE clEAning clOTH</t>
  </si>
  <si>
    <t>rEusaBlE BamBOo UTEnSIl SET</t>
  </si>
  <si>
    <t>SOlAR lED LAnTeRN</t>
  </si>
  <si>
    <t>ECo caNVas totE baG</t>
  </si>
  <si>
    <t>ReUsABLE bAMboO UteNsil sEt</t>
  </si>
  <si>
    <t>Eco cAnVas TOte bag</t>
  </si>
  <si>
    <t>ECO caNVas TOTE baG</t>
  </si>
  <si>
    <t>SOLAr Led LANTErn</t>
  </si>
  <si>
    <t>ReUsABle bAmbOo uTEnSil SET</t>
  </si>
  <si>
    <t>ECo CANvAs ToTE Bag</t>
  </si>
  <si>
    <t>REusABle BamboO utENSil SET</t>
  </si>
  <si>
    <t>eCO CanvAs tOte BAG</t>
  </si>
  <si>
    <t>rEuSAblE BAMboo UTensil SET</t>
  </si>
  <si>
    <t>eCO canVAs tOTE BAg</t>
  </si>
  <si>
    <t>ECO CaNvAs ToTe Bag</t>
  </si>
  <si>
    <t>rEuSAbLe bamBOO uTENSIl SET</t>
  </si>
  <si>
    <t>COmpOSTABLE pLANT poTS</t>
  </si>
  <si>
    <t>sOlar LEd lanteRN</t>
  </si>
  <si>
    <t>SolaR LED LaNteRN</t>
  </si>
  <si>
    <t>reusabLe bAMboo utenSil SeT</t>
  </si>
  <si>
    <t>SOLaR LEd lAnTern</t>
  </si>
  <si>
    <t>SoLAr leD lANteRn</t>
  </si>
  <si>
    <t>ECo cAnvas tote baG</t>
  </si>
  <si>
    <t>sOlAr LEd lANteRn</t>
  </si>
  <si>
    <t>solAR Led LaNtErN</t>
  </si>
  <si>
    <t>EcO caNVas tOTE Bag</t>
  </si>
  <si>
    <t>coMPosTable PLaNT poTS</t>
  </si>
  <si>
    <t>EcO cANvAs TotE BAg</t>
  </si>
  <si>
    <t>SoLAR LeD LANterN</t>
  </si>
  <si>
    <t>SoLar LED lANTErn</t>
  </si>
  <si>
    <t>ecO CanVAs TotE BaG</t>
  </si>
  <si>
    <t>COmpostaBle PLANT POTs</t>
  </si>
  <si>
    <t>Eco cAnVaS ToTE Bag</t>
  </si>
  <si>
    <t>cOmPOSTaBlE pLant potS</t>
  </si>
  <si>
    <t>reUSable BaMboo UTeNSIl sET</t>
  </si>
  <si>
    <t>BIOdegraDaBLE clEANIng cloth</t>
  </si>
  <si>
    <t>ReusABlE BAMBOO Utensil sET</t>
  </si>
  <si>
    <t>solar LeD laNteRN</t>
  </si>
  <si>
    <t>soLar LeD LaNTerN</t>
  </si>
  <si>
    <t>ecO canvas tOte bAg</t>
  </si>
  <si>
    <t>COmposTablE PLAnt pOtS</t>
  </si>
  <si>
    <t>EcO canVas toTE BAG</t>
  </si>
  <si>
    <t>COMPoSTABle plAnt PoTS</t>
  </si>
  <si>
    <t>SOLAr LeD lANTERn</t>
  </si>
  <si>
    <t>eco CaNvaS Tote baG</t>
  </si>
  <si>
    <t>REusabLe BAMBOO UTEnsIL SET</t>
  </si>
  <si>
    <t>soLar led LAntERN</t>
  </si>
  <si>
    <t>ECo CAnvAS tOTE BaG</t>
  </si>
  <si>
    <t>reusaBLe baMbOo uTENsIl set</t>
  </si>
  <si>
    <t>COMPOSTAbLE pLAnT pOTS</t>
  </si>
  <si>
    <t>cOmPOSTablE pLANt POTs</t>
  </si>
  <si>
    <t>ECO canVas TotE Bag</t>
  </si>
  <si>
    <t>soLar Led lAnterN</t>
  </si>
  <si>
    <t>COMPoSTaBLe PLAnt PoTs</t>
  </si>
  <si>
    <t>sOlaR LED LANtERN</t>
  </si>
  <si>
    <t>CoMpostaBLE pLant POtS</t>
  </si>
  <si>
    <t>eco canVaS tOTE BAG</t>
  </si>
  <si>
    <t>BIodEGraDabLE CLEAninG CLOtH</t>
  </si>
  <si>
    <t>BiOdEGRaDaBLE clEanING cLOth</t>
  </si>
  <si>
    <t>sOLar LED LANTERn</t>
  </si>
  <si>
    <t>reusABle BAmBOO utEnSil set</t>
  </si>
  <si>
    <t>solaR LEd LaNteRn</t>
  </si>
  <si>
    <t>CompOstaBle PLant pots</t>
  </si>
  <si>
    <t>sOlar lEd LantERn</t>
  </si>
  <si>
    <t>reuSABle BAMBOo uTenSil SEt</t>
  </si>
  <si>
    <t>SoLAr lEd lantErN</t>
  </si>
  <si>
    <t>ecO CanvaS tote baG</t>
  </si>
  <si>
    <t>coMpoSTABLe PlaNt pots</t>
  </si>
  <si>
    <t>BIODeGrADablE CLEAnING cLOth</t>
  </si>
  <si>
    <t>bioDEgRaDaBlE clEaNInG clOth</t>
  </si>
  <si>
    <t>eco cAnvaS tOTe bAG</t>
  </si>
  <si>
    <t>ECo cANvAs TOte bAg</t>
  </si>
  <si>
    <t>eCO canVas tOte BaG</t>
  </si>
  <si>
    <t>solAR LEd LANtERN</t>
  </si>
  <si>
    <t>biodegRadabLE CLEanINg cLoTh</t>
  </si>
  <si>
    <t>ecO CANVAS tOTE Bag</t>
  </si>
  <si>
    <t>Eco caNvaS tOtE BaG</t>
  </si>
  <si>
    <t>COMPosTabLE PLaNT poTS</t>
  </si>
  <si>
    <t>cOmpOsTAblE pLANt pOts</t>
  </si>
  <si>
    <t>cOmpOStaBlE PlaNt Pots</t>
  </si>
  <si>
    <t>BiODEgrAdablE CLEANiNG CloTh</t>
  </si>
  <si>
    <t>bIOdEGrAdablE CleaniNG cLoTh</t>
  </si>
  <si>
    <t>reUSaBLe bamBOO uteNsIL SEt</t>
  </si>
  <si>
    <t>eCo CAnVAS Tote Bag</t>
  </si>
  <si>
    <t>COmpOSTabLE plAnT poTS</t>
  </si>
  <si>
    <t>rEUsABLE bamBoO uTEnsIL SEt</t>
  </si>
  <si>
    <t>eCO canVAS TOtE bAg</t>
  </si>
  <si>
    <t>ReUsAblE BAmboo uTENsIl sEt</t>
  </si>
  <si>
    <t>eCO CAnVAs TOte bAg</t>
  </si>
  <si>
    <t>REusAblE bambOo UTENsIL set</t>
  </si>
  <si>
    <t>sOLar lED LANteRN</t>
  </si>
  <si>
    <t>SOlAr led LANtern</t>
  </si>
  <si>
    <t>SOlaR LED LaNterN</t>
  </si>
  <si>
    <t>rEuSABlE BaMboO UteNsil SET</t>
  </si>
  <si>
    <t>SOLaR LeD laNtERN</t>
  </si>
  <si>
    <t>biOdegradablE CLEaNING CloTH</t>
  </si>
  <si>
    <t>BiOdEgrADabLE CLEAnINg CloTh</t>
  </si>
  <si>
    <t>biODEGRAdABLE ClEaNINg Cloth</t>
  </si>
  <si>
    <t>SoLAr Led LAnTErn</t>
  </si>
  <si>
    <t>SolAR LEd laNtern</t>
  </si>
  <si>
    <t>solar LED LAnTern</t>
  </si>
  <si>
    <t>biODEGradaBle CleaNINg CLoTH</t>
  </si>
  <si>
    <t>COmpOstaBlE PLANt PoTS</t>
  </si>
  <si>
    <t>SOlAR LED LANtERN</t>
  </si>
  <si>
    <t>EcO cANvAs tOte bAG</t>
  </si>
  <si>
    <t>ReUsAbLe BaMbOo UtENSil sET</t>
  </si>
  <si>
    <t>ReUsabLE baMBOo UTeNsil set</t>
  </si>
  <si>
    <t>ReUSaBLe BaMBoO UtEnSiL SEt</t>
  </si>
  <si>
    <t>SOlAR LeD lanteRN</t>
  </si>
  <si>
    <t>ReusaBle baMboO UtenSIL sEt</t>
  </si>
  <si>
    <t>EcO canvas tOTe bAG</t>
  </si>
  <si>
    <t>SoLAR leD LanTern</t>
  </si>
  <si>
    <t>cOmPoStablE plANt PoTs</t>
  </si>
  <si>
    <t>cOmPosTABle pLaNT PoTs</t>
  </si>
  <si>
    <t>biOdegradAbLE cLEaNiNg CLOTH</t>
  </si>
  <si>
    <t>CoMpOStAbLe pLAnT pOTS</t>
  </si>
  <si>
    <t>ReUsabLE BAmbOO uTeNsIL SET</t>
  </si>
  <si>
    <t>SolaR LEd lANteRN</t>
  </si>
  <si>
    <t>COMpOsTabLE planT PotS</t>
  </si>
  <si>
    <t>reUsablE BAMBOO UteNSil SET</t>
  </si>
  <si>
    <t>BIOdegRADablE clEANINg cLoTH</t>
  </si>
  <si>
    <t>ecO CanvaS TOTe BAg</t>
  </si>
  <si>
    <t>eCO cANVas TOte bAg</t>
  </si>
  <si>
    <t>SOLaR LED laNtERN</t>
  </si>
  <si>
    <t>BIODeGRadaBle clEANIng CLoth</t>
  </si>
  <si>
    <t>ecO CAnvas TotE bag</t>
  </si>
  <si>
    <t>Eco caNvAS ToTE baG</t>
  </si>
  <si>
    <t>REUSaBlE BamBoO utEnsIl SET</t>
  </si>
  <si>
    <t>REUsABLE bAMBoO uTEnsIl seT</t>
  </si>
  <si>
    <t>eCO CaNVas toTE BAg</t>
  </si>
  <si>
    <t>BIOdegrADaBle cleAnIng CloTh</t>
  </si>
  <si>
    <t>COmPOStAble PlANt poTs</t>
  </si>
  <si>
    <t>BiOdEgrADabLE cLeaniNG cLoTH</t>
  </si>
  <si>
    <t>biOdEgraDaBle cleaniNg cLotH</t>
  </si>
  <si>
    <t>sOLAr Led lAnteRn</t>
  </si>
  <si>
    <t>ECo cANvaS TOte bAG</t>
  </si>
  <si>
    <t>ComPoStAblE pLaNT pOts</t>
  </si>
  <si>
    <t>ECO CAnVAS tOTe BAg</t>
  </si>
  <si>
    <t>BioDEGRADabLE cleAnINg CLotH</t>
  </si>
  <si>
    <t>EcO cAnvaS tOTe BAg</t>
  </si>
  <si>
    <t>ecO CANVAs tOTe bag</t>
  </si>
  <si>
    <t>ComPOsTaBlE plaNT POTS</t>
  </si>
  <si>
    <t>biOdeGradABLE ClEaNiNG CloTH</t>
  </si>
  <si>
    <t>coMPoStaBlE pLanT poTS</t>
  </si>
  <si>
    <t>coMpostABLE Plant POts</t>
  </si>
  <si>
    <t>BiODeGRadaBle CleANIng cloTh</t>
  </si>
  <si>
    <t>BIoDEGRAdABLE cLeaNInG cLOtH</t>
  </si>
  <si>
    <t>Eco cANvAs TOTe Bag</t>
  </si>
  <si>
    <t>SOlaR Led LantErn</t>
  </si>
  <si>
    <t>BiodEGrADAble CLeanING cLOtH</t>
  </si>
  <si>
    <t>COmPOsTAbLe plaNt pOts</t>
  </si>
  <si>
    <t>soLAr lEd LaNterN</t>
  </si>
  <si>
    <t>bIOdegradABlE cLEaNINg cLoTH</t>
  </si>
  <si>
    <t>ecO CanvAs TotE Bag</t>
  </si>
  <si>
    <t>ECO caNVas tOTE BaG</t>
  </si>
  <si>
    <t>reuSaBlE BAmBoo UTeNsIl set</t>
  </si>
  <si>
    <t>EcO cAnVas toTe Bag</t>
  </si>
  <si>
    <t>BIodeGRadAbLe CleAnInG CloTH</t>
  </si>
  <si>
    <t>ECo CanVAs toTE bAG</t>
  </si>
  <si>
    <t>solaR led lANTERn</t>
  </si>
  <si>
    <t>sOLaR leD laNTeRn</t>
  </si>
  <si>
    <t>ecO CaNvaS tOTE BAg</t>
  </si>
  <si>
    <t>rEUsaBLE bamBoo UTenSil Set</t>
  </si>
  <si>
    <t>COmpostAblE PlaNt POTS</t>
  </si>
  <si>
    <t>cOMPostABLe PlanT PotS</t>
  </si>
  <si>
    <t>ECO CAnVAs TOte Bag</t>
  </si>
  <si>
    <t>BiodEgRadaBLE CLeaNING CLoth</t>
  </si>
  <si>
    <t>reusAbLE BAmBoo uTeNSil Set</t>
  </si>
  <si>
    <t>eco cAnVAS tOte bAg</t>
  </si>
  <si>
    <t>ComPosTabLe PlanT POts</t>
  </si>
  <si>
    <t>ReusAbLE BamBOO utENsil SET</t>
  </si>
  <si>
    <t>cOmPoSTable plAnt poTS</t>
  </si>
  <si>
    <t>REuSabLE bamboo utensil SEt</t>
  </si>
  <si>
    <t>cOmPoStable PLant poTS</t>
  </si>
  <si>
    <t>ecO cANvAS tOTe BAg</t>
  </si>
  <si>
    <t>ReUsAble baMbOO utEnsIl set</t>
  </si>
  <si>
    <t>eCo CaNVas TOTe baG</t>
  </si>
  <si>
    <t>solar LeD lANTErn</t>
  </si>
  <si>
    <t>EcO caNvas TOtE baG</t>
  </si>
  <si>
    <t>rEuSable BaMBOo UtEnSIL sET</t>
  </si>
  <si>
    <t>compoStable PLaNt pOts</t>
  </si>
  <si>
    <t>SoLar LED laNTErN</t>
  </si>
  <si>
    <t>COmPOStAblE PlANt PoTS</t>
  </si>
  <si>
    <t>ReUsable BambOo UTENSil Set</t>
  </si>
  <si>
    <t>eco caNVAs toTE BaG</t>
  </si>
  <si>
    <t>COmpoSTAble plant Pots</t>
  </si>
  <si>
    <t>SOlar LEd LaNTERn</t>
  </si>
  <si>
    <t>eCo CanVas tOte bag</t>
  </si>
  <si>
    <t>reUsAbLe BAMBoO UTensiL Set</t>
  </si>
  <si>
    <t>sOLAR lEd LAnterN</t>
  </si>
  <si>
    <t>ecO CANVAS TOTe Bag</t>
  </si>
  <si>
    <t>BiodEgrADABlE cleanInG cLoTh</t>
  </si>
  <si>
    <t>bIOdegrAdABLe CleANing cLOTH</t>
  </si>
  <si>
    <t>SolaR lED lanTERN</t>
  </si>
  <si>
    <t>REuSABlE bAMbOO UtenSIL SeT</t>
  </si>
  <si>
    <t>bIoDEgRADabLE cLEANINg cLoTH</t>
  </si>
  <si>
    <t>ReUsaBLE bAMBOO uTEnSIL Set</t>
  </si>
  <si>
    <t>ReuSABLE bAmBOO utensIL Set</t>
  </si>
  <si>
    <t>sOlAR Led LanTeRn</t>
  </si>
  <si>
    <t>bIodeGrADablE clEAniNg clotH</t>
  </si>
  <si>
    <t>cOMpOstAbLe PLanT poTs</t>
  </si>
  <si>
    <t>SoLar LeD LANtErN</t>
  </si>
  <si>
    <t>SOLar LEd LANTerN</t>
  </si>
  <si>
    <t>BIodegRADaBlE clEANing CloTh</t>
  </si>
  <si>
    <t>ReUSaBlE BAMboO utEnSiL SET</t>
  </si>
  <si>
    <t>rEuSABlE BamBoO UTeNSIl seT</t>
  </si>
  <si>
    <t>rEUsABle BaMBOO UTenSIL SET</t>
  </si>
  <si>
    <t>Reusable BAMBoo uTeNSIL sET</t>
  </si>
  <si>
    <t>SoLar lEd laNTErn</t>
  </si>
  <si>
    <t>compoSTAbLe plaNt pOTs</t>
  </si>
  <si>
    <t>BioDeGRAdaBLE cLeAnING cLoTh</t>
  </si>
  <si>
    <t>rEUSABLE bAmboO utENsIL sET</t>
  </si>
  <si>
    <t>rEusABLE bAmbOo UTENSiL sEt</t>
  </si>
  <si>
    <t>biodeGRADABlE cLEaNING cLoTh</t>
  </si>
  <si>
    <t>BiODegRadAbLe CleanINg clOTh</t>
  </si>
  <si>
    <t>BIoDEgRadAble clEaNiNG cLOtH</t>
  </si>
  <si>
    <t>eCo canVaS tOTe baG</t>
  </si>
  <si>
    <t>coMPOsTaBLe PlaNT POts</t>
  </si>
  <si>
    <t>COmPOstAbLe PlANT POts</t>
  </si>
  <si>
    <t>COMpOstABLE PlaNt Pots</t>
  </si>
  <si>
    <t>SOLar LED laNtern</t>
  </si>
  <si>
    <t>bIODegradaBlE cLEANIng cLOTH</t>
  </si>
  <si>
    <t>soLaR LEd lANTern</t>
  </si>
  <si>
    <t>BIODEgrADABLE cleaNIng cLoth</t>
  </si>
  <si>
    <t>ReUsaBle BamBoO uTensIL set</t>
  </si>
  <si>
    <t>cOMposTAblE PlAnt pOTS</t>
  </si>
  <si>
    <t>eCo caNVAS toTE Bag</t>
  </si>
  <si>
    <t>biOdEgRaDABLE cLEAnINg Cloth</t>
  </si>
  <si>
    <t>ECO CANvaS tOTE baG</t>
  </si>
  <si>
    <t>ReUsablE bamBOO utENsIL Set</t>
  </si>
  <si>
    <t>REusABlE BAmboo UtENsIl set</t>
  </si>
  <si>
    <t>bioDegrADABlE ClEaNIng cLOth</t>
  </si>
  <si>
    <t>SoLaR LeD lAnterN</t>
  </si>
  <si>
    <t>CoMpoSTablE plant POTS</t>
  </si>
  <si>
    <t>ComPoSTaBle PLAnT pOTs</t>
  </si>
  <si>
    <t>SOlAr leD LAnTERN</t>
  </si>
  <si>
    <t>Eco cAnVaS tote bag</t>
  </si>
  <si>
    <t>bIOdEGrAdaBlE CLEaNInG clOtH</t>
  </si>
  <si>
    <t>REuSaBLE baMboo UTenSil SEt</t>
  </si>
  <si>
    <t>sOLAR lEd lANtern</t>
  </si>
  <si>
    <t>REUsABle bAMboO uTeNSIL sEt</t>
  </si>
  <si>
    <t>REUSaBLe BAmbOo UTEnSil SEt</t>
  </si>
  <si>
    <t>eCo canVaS TOtE Bag</t>
  </si>
  <si>
    <t>CoMpOstaBLe plAnt POtS</t>
  </si>
  <si>
    <t>SolAR led LAntErn</t>
  </si>
  <si>
    <t>reUsABle baMboo uTEnSiL sEt</t>
  </si>
  <si>
    <t>COmpoStABle PlANT pOts</t>
  </si>
  <si>
    <t>COMPOsTAbLe PLanT POTs</t>
  </si>
  <si>
    <t>rEUSaBle bamBoo utEnsil seT</t>
  </si>
  <si>
    <t>BioDegradAbLe clEanIng cLOTh</t>
  </si>
  <si>
    <t>eCo CanVaS tOtE bag</t>
  </si>
  <si>
    <t>Eco cAnvaS TOtE bAg</t>
  </si>
  <si>
    <t>EcO CANvaS toTE BAG</t>
  </si>
  <si>
    <t>BioDeGRadABle cLeaNINg Cloth</t>
  </si>
  <si>
    <t>SOlaR led LAnterN</t>
  </si>
  <si>
    <t>ComPOStABlE PlAnt poTs</t>
  </si>
  <si>
    <t>ECO CAnvAs TOtE baG</t>
  </si>
  <si>
    <t>solar LEd LanTERn</t>
  </si>
  <si>
    <t>ecO cAnVAs toTe BAg</t>
  </si>
  <si>
    <t>COMPoStaBle PLaNt Pots</t>
  </si>
  <si>
    <t>biODEGRaDaBLe CLeaniNG cLOth</t>
  </si>
  <si>
    <t>SOLAR LED LANteRN</t>
  </si>
  <si>
    <t>BIODEgRaDaBLE ClEaning CLOtH</t>
  </si>
  <si>
    <t>SoLar lED lAnTERn</t>
  </si>
  <si>
    <t>solAR leD laNtErN</t>
  </si>
  <si>
    <t>COmpoStABle PLAnt pots</t>
  </si>
  <si>
    <t>sOlAR LeD laNterN</t>
  </si>
  <si>
    <t>ReUSAbLe bAMbOO UtEnsIl SeT</t>
  </si>
  <si>
    <t>ECo CANVAs Tote bag</t>
  </si>
  <si>
    <t>biodEGRaDaBle ClEANing ClOth</t>
  </si>
  <si>
    <t>EcO CANvAs tOTE BAg</t>
  </si>
  <si>
    <t>BIoDEgRadabLe CLEanING cLotH</t>
  </si>
  <si>
    <t>biODEGrADaBle CLeaNIng CLOth</t>
  </si>
  <si>
    <t>biOdEGRadAbLe CLEAnIng cLOtH</t>
  </si>
  <si>
    <t>eCO cANVas TOTe bAg</t>
  </si>
  <si>
    <t>BiOdegrADaBle ClEaniNG cLotH</t>
  </si>
  <si>
    <t>eCO CanvaS TOTe bag</t>
  </si>
  <si>
    <t>rEUSABlE BaMboO utENsIL Set</t>
  </si>
  <si>
    <t>reuSaBLe baMboO UtEnsiL set</t>
  </si>
  <si>
    <t>SOLAr LeD lantern</t>
  </si>
  <si>
    <t>COmpOSTAblE plant PoTs</t>
  </si>
  <si>
    <t>EcO caNvaS toTe bAG</t>
  </si>
  <si>
    <t>ecO CAnVAs tOte bAg</t>
  </si>
  <si>
    <t>bIODEGRadaBLE cLeaninG cloTH</t>
  </si>
  <si>
    <t>comPOSTABLe pLaNt Pots</t>
  </si>
  <si>
    <t>eco canvas TotE Bag</t>
  </si>
  <si>
    <t>solAr Led lAnteRn</t>
  </si>
  <si>
    <t>COMpOstabLE plAnt PoTS</t>
  </si>
  <si>
    <t>bIODEGradABle CLeAning cloth</t>
  </si>
  <si>
    <t>solAR Led lANtERN</t>
  </si>
  <si>
    <t>biOdEGRaDaBLE cLeaniNG cloTh</t>
  </si>
  <si>
    <t>bIODEgRaDable cLEANiNG CloTh</t>
  </si>
  <si>
    <t>cOMposTaBLe pLant POTS</t>
  </si>
  <si>
    <t>Eco cANvAS tOTE BaG</t>
  </si>
  <si>
    <t>ECo cANVaS TOte baG</t>
  </si>
  <si>
    <t>biodeGradABLE clEAniNG cLotH</t>
  </si>
  <si>
    <t>BIoDeGRAdabLe CLEanING CLotH</t>
  </si>
  <si>
    <t>reusAbLe BaMboO uTEnSiL SET</t>
  </si>
  <si>
    <t>sOLaR led LAnterN</t>
  </si>
  <si>
    <t>bIODeGrADABLE CleanING ClOth</t>
  </si>
  <si>
    <t>reUsAblE bAmbOO UTenSil seT</t>
  </si>
  <si>
    <t>ECO CANvAS tote baG</t>
  </si>
  <si>
    <t>comPOStABle pLant POts</t>
  </si>
  <si>
    <t>compOstabLe pLant POTs</t>
  </si>
  <si>
    <t>reUSaBLe bAmboO uTENsIL sET</t>
  </si>
  <si>
    <t>sOlar lEd LaNtern</t>
  </si>
  <si>
    <t>BIOdegRaDABle CLeaniNG cLotH</t>
  </si>
  <si>
    <t>SolAR led LAntErN</t>
  </si>
  <si>
    <t>eco canvaS Tote BaG</t>
  </si>
  <si>
    <t>ECo caNvAs totE BAG</t>
  </si>
  <si>
    <t>Eco Canvas TOte bAg</t>
  </si>
  <si>
    <t>Eco Canvas toTE BAg</t>
  </si>
  <si>
    <t>rEuSablE baMbOo uTEnsil SeT</t>
  </si>
  <si>
    <t>REuSablE bAmbOo UtEnsiL Set</t>
  </si>
  <si>
    <t>rEuSABlE BaMBOO UTenSil seT</t>
  </si>
  <si>
    <t>BIODeGradAbLE ClEanINg CLOTH</t>
  </si>
  <si>
    <t>ReUsable bamBOo utENSiL seT</t>
  </si>
  <si>
    <t>COmpoStaBle PLAnT PotS</t>
  </si>
  <si>
    <t>Eco caNVas TOte bAg</t>
  </si>
  <si>
    <t>SOlaR LeD LAntern</t>
  </si>
  <si>
    <t>BIodEgRAdAbLe CLeANiNg CloTH</t>
  </si>
  <si>
    <t>BiODEGrAdabLE ClEaNINg cLoTh</t>
  </si>
  <si>
    <t>REuSABLE bamBOo UteNsIL set</t>
  </si>
  <si>
    <t>BioDeGRadaBle clEAniNg cLOtH</t>
  </si>
  <si>
    <t>soLAr Led LAntErn</t>
  </si>
  <si>
    <t>biODEGradable cleAnINg cloTH</t>
  </si>
  <si>
    <t>reUsABLe Bamboo UTeNsIl SeT</t>
  </si>
  <si>
    <t>cOMPoStABLE PLANt pOtS</t>
  </si>
  <si>
    <t>cOMpostAbLE PlANt pots</t>
  </si>
  <si>
    <t>BiodEGrAdabLe CleanING CLOTH</t>
  </si>
  <si>
    <t>sOLar lED LantERn</t>
  </si>
  <si>
    <t>CoMPoSTAble PLANT pots</t>
  </si>
  <si>
    <t>biOdeGRaDable CLeAninG CloTH</t>
  </si>
  <si>
    <t>biODEgrAdaBlE cLEaniNG cLOTH</t>
  </si>
  <si>
    <t>eCo caNVas TOtE BaG</t>
  </si>
  <si>
    <t>ecO CaNvAS Tote bag</t>
  </si>
  <si>
    <t>bioDegrAdabLE CLeAnIng CLOtH</t>
  </si>
  <si>
    <t>BioDEgrADAbLE cLEaNiNG cLOth</t>
  </si>
  <si>
    <t>rEUSable BAmboo UtENSIl seT</t>
  </si>
  <si>
    <t>COmposTabLe PlanT POTs</t>
  </si>
  <si>
    <t>bIOdEgRadABlE CleANING cLotH</t>
  </si>
  <si>
    <t>biOdEgRADAbLe cLEANiNG Cloth</t>
  </si>
  <si>
    <t>Eco cANVas ToTE BAG</t>
  </si>
  <si>
    <t>BiOdegraDabLE clEAnInG clOtH</t>
  </si>
  <si>
    <t>BIodegraDaBLe CLEANinG CLoTH</t>
  </si>
  <si>
    <t>CompOstAbLe pLanT PoTs</t>
  </si>
  <si>
    <t>EcO caNvAS Tote bag</t>
  </si>
  <si>
    <t>ComposTabLE plaNt pOtS</t>
  </si>
  <si>
    <t>REusabLE baMBOO utENsIl sET</t>
  </si>
  <si>
    <t>BIodEGRadaBlE cLeANInG CLOTh</t>
  </si>
  <si>
    <t>BiodegrAdAbLe ClEaniNG CLOTH</t>
  </si>
  <si>
    <t>BiOdEGRaDablE CLEaninG ClOtH</t>
  </si>
  <si>
    <t>BIODeGraDABlE CleANING clOtH</t>
  </si>
  <si>
    <t>bIODEgrAdabLe CLeAnING CLoTh</t>
  </si>
  <si>
    <t>reuSabLe baMboO UTEnsil sET</t>
  </si>
  <si>
    <t>BIOdegrADABLe CLeaNInG ClotH</t>
  </si>
  <si>
    <t>REUsablE bAmBoo Utensil seT</t>
  </si>
  <si>
    <t>sOLar led LAnTERn</t>
  </si>
  <si>
    <t>REusaBle baMBOo utENSiL SeT</t>
  </si>
  <si>
    <t>eco cAnvAS TotE bAG</t>
  </si>
  <si>
    <t>eco cANvAS toTe baG</t>
  </si>
  <si>
    <t>SoLaR led LaNTern</t>
  </si>
  <si>
    <t>eCo CanVAs ToTE BAG</t>
  </si>
  <si>
    <t>ecO CANVAS tOte BAG</t>
  </si>
  <si>
    <t>eco CANVAS tOTe Bag</t>
  </si>
  <si>
    <t>ecO CaNvAs toTE BAG</t>
  </si>
  <si>
    <t>ReUsabLE Bamboo utENSiL Set</t>
  </si>
  <si>
    <t>biOdEgrADaBLE cLeANiNg CLOTh</t>
  </si>
  <si>
    <t>coMpOstabLE plANT PotS</t>
  </si>
  <si>
    <t>REusABLE BamBOO uTeNSIL SET</t>
  </si>
  <si>
    <t>BIOdEGRaDaBle cLeaNinG cloTH</t>
  </si>
  <si>
    <t>cOMpOSTABlE PLAnT POTs</t>
  </si>
  <si>
    <t>CoMPOstABle plANT pots</t>
  </si>
  <si>
    <t>ReusABlE baMbOO uTEnSiL sET</t>
  </si>
  <si>
    <t>ECo canVas totE BaG</t>
  </si>
  <si>
    <t>cOmpOsTABle PLanT PoTs</t>
  </si>
  <si>
    <t>bIOdegradaBLE CLeaniNg cLOtH</t>
  </si>
  <si>
    <t>ReUSABLe BAMboo UTEnsiL SeT</t>
  </si>
  <si>
    <t>ecO cAnVas TOTe bag</t>
  </si>
  <si>
    <t>ReuSaBle BambOo uTeNsIl set</t>
  </si>
  <si>
    <t>soLaR LEd lanTErN</t>
  </si>
  <si>
    <t>ecO CanVaS TOTe BAg</t>
  </si>
  <si>
    <t>SoLAR Led LantERn</t>
  </si>
  <si>
    <t>rEusABle bambOO UTEnSil seT</t>
  </si>
  <si>
    <t>solaR led laNTeRn</t>
  </si>
  <si>
    <t>Eco CanVAS toTe BAG</t>
  </si>
  <si>
    <t>SolAR LED LAntErn</t>
  </si>
  <si>
    <t>ECO cANVaS tOTE BAG</t>
  </si>
  <si>
    <t>reusaBLE BAMBOO Utensil set</t>
  </si>
  <si>
    <t>SolAr Led lanTeRn</t>
  </si>
  <si>
    <t>eCo cANVaS tOtE bAg</t>
  </si>
  <si>
    <t>COMpostaBLe PLaNt poTs</t>
  </si>
  <si>
    <t>rEUsAblE BAmbOO uTeNSil seT</t>
  </si>
  <si>
    <t>COmPOstABLe PlanT POTS</t>
  </si>
  <si>
    <t>biOdegraDaBle ClEanInG cLoTH</t>
  </si>
  <si>
    <t>soLaR leD lAnteRn</t>
  </si>
  <si>
    <t>SoLar leD LAntErN</t>
  </si>
  <si>
    <t>cOmposTABLe PLAnT POTS</t>
  </si>
  <si>
    <t>biOdEGRadable ClEAnIng CLotH</t>
  </si>
  <si>
    <t>Compostable plANt POTs</t>
  </si>
  <si>
    <t>ReuSABLe baMboo UtenSIL sEt</t>
  </si>
  <si>
    <t>REusABLE BaMbOo uteNSIL SEt</t>
  </si>
  <si>
    <t>Solar lEd laNTERn</t>
  </si>
  <si>
    <t>Solar Led lANTERN</t>
  </si>
  <si>
    <t>ECo caNvas toTe baG</t>
  </si>
  <si>
    <t>SOlAR led LanTERn</t>
  </si>
  <si>
    <t>coMPOsTABle pLaNT pots</t>
  </si>
  <si>
    <t>SoLAr Led laNterN</t>
  </si>
  <si>
    <t>sOLAR Led laNTeRN</t>
  </si>
  <si>
    <t>sOlaR LED LANTERn</t>
  </si>
  <si>
    <t>CoMPOStABle plaNT pOtS</t>
  </si>
  <si>
    <t>compostAblE PLaNt pOTs</t>
  </si>
  <si>
    <t>SOlaR LEd lantERN</t>
  </si>
  <si>
    <t>SOLaR lED LanTERn</t>
  </si>
  <si>
    <t>ReUsabLE baMBOO utENSIL Set</t>
  </si>
  <si>
    <t>eco CaNvAS TOTE BAG</t>
  </si>
  <si>
    <t>COmposTABLE PLAnt PoTS</t>
  </si>
  <si>
    <t>rEUSABle bAMBOO UtensIl set</t>
  </si>
  <si>
    <t>SOLaR lED LANteRN</t>
  </si>
  <si>
    <t>ReusabLE BaMBoO UTeNsIl SET</t>
  </si>
  <si>
    <t>bIODegRaDAbLe cleANInG cLOth</t>
  </si>
  <si>
    <t>ECO cAnvas tote bAg</t>
  </si>
  <si>
    <t>bIodeGRadaBLE cLeaNInG CLotH</t>
  </si>
  <si>
    <t>CoMpostablE PlaNt PoTS</t>
  </si>
  <si>
    <t>comPOSTABlE pLAnt POtS</t>
  </si>
  <si>
    <t>bIOdEGraDABLe CLeanIng ClOth</t>
  </si>
  <si>
    <t>biodeGRadaBle CLEaNiNg cloTH</t>
  </si>
  <si>
    <t>soLAR lEd LanteRN</t>
  </si>
  <si>
    <t>cOmPOstABLe planT POts</t>
  </si>
  <si>
    <t>COmPoSTaBLe Plant POTS</t>
  </si>
  <si>
    <t>eCO canvAS TOtE bAG</t>
  </si>
  <si>
    <t>ecO caNVas TotE baG</t>
  </si>
  <si>
    <t>CoMPoStaBLE PLanT pots</t>
  </si>
  <si>
    <t>soLar leD LanterN</t>
  </si>
  <si>
    <t>SoLAR led laNTERn</t>
  </si>
  <si>
    <t>cOMpostaBLe pLAnT pOTS</t>
  </si>
  <si>
    <t>SOlAR LEd LANTeRN</t>
  </si>
  <si>
    <t>SoLAR LEd lANteRn</t>
  </si>
  <si>
    <t>reuSable bAMboO UteNsIL Set</t>
  </si>
  <si>
    <t>COmpOSTaBLE planT PoTs</t>
  </si>
  <si>
    <t>Solar leD lANTeRn</t>
  </si>
  <si>
    <t>SolAr led Lantern</t>
  </si>
  <si>
    <t>ECO CanVAs tOTE bag</t>
  </si>
  <si>
    <t>COMposTaBLe plAnt pOts</t>
  </si>
  <si>
    <t>soLAr lEd lantERn</t>
  </si>
  <si>
    <t>reusABle bAMboO uTenSIl sET</t>
  </si>
  <si>
    <t>SoLaR led LANteRN</t>
  </si>
  <si>
    <t>solAr Led lantERn</t>
  </si>
  <si>
    <t>solAR lEd LAnTerN</t>
  </si>
  <si>
    <t>coMPOSTAble PlAnT POts</t>
  </si>
  <si>
    <t>coMpoStABlE PlAnT POTS</t>
  </si>
  <si>
    <t>cOMPoStable plAnt POtS</t>
  </si>
  <si>
    <t>soLAR lED LANTERN</t>
  </si>
  <si>
    <t>rEUSablE bAmBoo uTENSIL SEt</t>
  </si>
  <si>
    <t>SOlAr Led lanTeRn</t>
  </si>
  <si>
    <t>sOlAr LeD LAntern</t>
  </si>
  <si>
    <t>sOlAR led lAnterN</t>
  </si>
  <si>
    <t>ReuSabLE BamboO uteNsil SEt</t>
  </si>
  <si>
    <t>BIoDegRAdabLe ClEaNInG CLOTh</t>
  </si>
  <si>
    <t>BIODEGRAdaBLe cLeAnIng cLOTH</t>
  </si>
  <si>
    <t>COMPoStAble Plant pOtS</t>
  </si>
  <si>
    <t>eco CaNvAS TOtE bag</t>
  </si>
  <si>
    <t>biodegRAdablE CleANIng ClOtH</t>
  </si>
  <si>
    <t>BIODeGradAble clEANiNG CLOth</t>
  </si>
  <si>
    <t>eCo canvAS tOTE Bag</t>
  </si>
  <si>
    <t>COMPOSTAblE PlaNT Pots</t>
  </si>
  <si>
    <t>solaR leD LANTERn</t>
  </si>
  <si>
    <t>BIODegrADablE cLEANinG cLOth</t>
  </si>
  <si>
    <t>SoLaR lED lanteRN</t>
  </si>
  <si>
    <t>eco canvas tOte BaG</t>
  </si>
  <si>
    <t>cOmpOSTAblE PLANT PotS</t>
  </si>
  <si>
    <t>EcO CaNvas tOte Bag</t>
  </si>
  <si>
    <t>rEUSAbLe BAMboo uteNsil Set</t>
  </si>
  <si>
    <t>SOlAr leD laNtern</t>
  </si>
  <si>
    <t>eCO canvas tote bAg</t>
  </si>
  <si>
    <t>BIoDeGraDAble clEAninG ClOTH</t>
  </si>
  <si>
    <t>eco cAnVaS tOtE BAg</t>
  </si>
  <si>
    <t>ComPOstable pLANT PotS</t>
  </si>
  <si>
    <t>REUSabLe bAmboo uTENSiL sEt</t>
  </si>
  <si>
    <t>eCo cANvAs totE BAG</t>
  </si>
  <si>
    <t>REusablE BambOo uTEnsIL sEt</t>
  </si>
  <si>
    <t>cOMPostAble plAnT POTs</t>
  </si>
  <si>
    <t>reusabLe BAMBoo UtEnSIl SET</t>
  </si>
  <si>
    <t>COmposTABlE pLAnT POTs</t>
  </si>
  <si>
    <t>ECO CAnVAS tote bag</t>
  </si>
  <si>
    <t>bIOdEGrADAblE ClEaninG cLOTH</t>
  </si>
  <si>
    <t>coMpOstAbLE plaNT Pots</t>
  </si>
  <si>
    <t>COMPostable plAnt POtS</t>
  </si>
  <si>
    <t>ReUsable baMboO uteNSil sET</t>
  </si>
  <si>
    <t>REuSablE baMBoO UTensiL set</t>
  </si>
  <si>
    <t>Eco cAnVaS tOtE bAg</t>
  </si>
  <si>
    <t>COmpOSTaBlE PlaNT PoTS</t>
  </si>
  <si>
    <t>EcO CANVaS Tote bag</t>
  </si>
  <si>
    <t>BIoDegradAble clEAninG cLoth</t>
  </si>
  <si>
    <t>bIoDEgradaBLe ClEaning CLOTH</t>
  </si>
  <si>
    <t>SOlaR LEd lanTErn</t>
  </si>
  <si>
    <t>solAR lED lanteRn</t>
  </si>
  <si>
    <t>ecO CaNVas tOtE BaG</t>
  </si>
  <si>
    <t>sOLAr LEd LAnteRN</t>
  </si>
  <si>
    <t>ECo CaNVaS Tote baG</t>
  </si>
  <si>
    <t>SOlAr LeD laNTErN</t>
  </si>
  <si>
    <t>soLaR lED lANTerN</t>
  </si>
  <si>
    <t>EcO caNvAs totE bAG</t>
  </si>
  <si>
    <t>REusaBlE bAMBOO uTENsIL Set</t>
  </si>
  <si>
    <t>SolAR LED LanterN</t>
  </si>
  <si>
    <t>BiODEGradABlE CleanInG cLotH</t>
  </si>
  <si>
    <t>bIODeGRAdAble cleaNiNg CLOTh</t>
  </si>
  <si>
    <t>EcO caNvaS totE Bag</t>
  </si>
  <si>
    <t>bIOdegRAdABlE cLEaNING CLoTH</t>
  </si>
  <si>
    <t>Eco caNVas tOTE bag</t>
  </si>
  <si>
    <t>SOLAr Led laNtERn</t>
  </si>
  <si>
    <t>SoLAR led laNterN</t>
  </si>
  <si>
    <t>BIODEgraDAblE cLEaNING cLOth</t>
  </si>
  <si>
    <t>ecO CANvas TOTE Bag</t>
  </si>
  <si>
    <t>Eco cANvas tote Bag</t>
  </si>
  <si>
    <t>BIOdegRAdABlE cleanInG ClotH</t>
  </si>
  <si>
    <t>coMPOStAble plANT PoTS</t>
  </si>
  <si>
    <t>eCO caNVas tOTe BaG</t>
  </si>
  <si>
    <t>ECo cANVaS ToTe bag</t>
  </si>
  <si>
    <t>ReUSABle bAmBOo UTENsIl sEt</t>
  </si>
  <si>
    <t>bIODEgraDAbLe cLeAniNG ClOTH</t>
  </si>
  <si>
    <t>Gardening</t>
  </si>
  <si>
    <t>Lighting</t>
  </si>
  <si>
    <t>Bags</t>
  </si>
  <si>
    <t>Kitchenware</t>
  </si>
  <si>
    <t>Cleaning</t>
  </si>
  <si>
    <t>C0165</t>
  </si>
  <si>
    <t>C0189</t>
  </si>
  <si>
    <t>C0123</t>
  </si>
  <si>
    <t>C0144</t>
  </si>
  <si>
    <t>C0023</t>
  </si>
  <si>
    <t>C0088</t>
  </si>
  <si>
    <t>C0154</t>
  </si>
  <si>
    <t>C0069</t>
  </si>
  <si>
    <t>C0187</t>
  </si>
  <si>
    <t>C0122</t>
  </si>
  <si>
    <t>C0051</t>
  </si>
  <si>
    <t>C0055</t>
  </si>
  <si>
    <t>C0102</t>
  </si>
  <si>
    <t>C0039</t>
  </si>
  <si>
    <t>C0110</t>
  </si>
  <si>
    <t>C0104</t>
  </si>
  <si>
    <t>C0003</t>
  </si>
  <si>
    <t>C0029</t>
  </si>
  <si>
    <t>C0103</t>
  </si>
  <si>
    <t>C0012</t>
  </si>
  <si>
    <t>C0058</t>
  </si>
  <si>
    <t>C0049</t>
  </si>
  <si>
    <t>C0142</t>
  </si>
  <si>
    <t>C0076</t>
  </si>
  <si>
    <t>C0034</t>
  </si>
  <si>
    <t>C0008</t>
  </si>
  <si>
    <t>C0050</t>
  </si>
  <si>
    <t>C0162</t>
  </si>
  <si>
    <t>C0145</t>
  </si>
  <si>
    <t>C0089</t>
  </si>
  <si>
    <t>C0147</t>
  </si>
  <si>
    <t>C0052</t>
  </si>
  <si>
    <t>C0195</t>
  </si>
  <si>
    <t>C0150</t>
  </si>
  <si>
    <t>C0014</t>
  </si>
  <si>
    <t>C0133</t>
  </si>
  <si>
    <t>C0030</t>
  </si>
  <si>
    <t>C0072</t>
  </si>
  <si>
    <t>C0096</t>
  </si>
  <si>
    <t>C0125</t>
  </si>
  <si>
    <t>C0038</t>
  </si>
  <si>
    <t>C0025</t>
  </si>
  <si>
    <t>C0137</t>
  </si>
  <si>
    <t>C0116</t>
  </si>
  <si>
    <t>C0164</t>
  </si>
  <si>
    <t>C0188</t>
  </si>
  <si>
    <t>C0083</t>
  </si>
  <si>
    <t>C0019</t>
  </si>
  <si>
    <t>C0036</t>
  </si>
  <si>
    <t>C0198</t>
  </si>
  <si>
    <t>C0191</t>
  </si>
  <si>
    <t>C0114</t>
  </si>
  <si>
    <t>C0141</t>
  </si>
  <si>
    <t>C0183</t>
  </si>
  <si>
    <t>C0139</t>
  </si>
  <si>
    <t>C0157</t>
  </si>
  <si>
    <t>C0152</t>
  </si>
  <si>
    <t>C0001</t>
  </si>
  <si>
    <t>C0158</t>
  </si>
  <si>
    <t>C0078</t>
  </si>
  <si>
    <t>C0120</t>
  </si>
  <si>
    <t>C0197</t>
  </si>
  <si>
    <t>C0131</t>
  </si>
  <si>
    <t>C0185</t>
  </si>
  <si>
    <t>C0200</t>
  </si>
  <si>
    <t>C0075</t>
  </si>
  <si>
    <t>C0168</t>
  </si>
  <si>
    <t>C0169</t>
  </si>
  <si>
    <t>C0180</t>
  </si>
  <si>
    <t>C0092</t>
  </si>
  <si>
    <t>C0138</t>
  </si>
  <si>
    <t>C0045</t>
  </si>
  <si>
    <t>C0026</t>
  </si>
  <si>
    <t>C0146</t>
  </si>
  <si>
    <t>C0084</t>
  </si>
  <si>
    <t>C0005</t>
  </si>
  <si>
    <t>C0015</t>
  </si>
  <si>
    <t>C0182</t>
  </si>
  <si>
    <t>C0044</t>
  </si>
  <si>
    <t>C0057</t>
  </si>
  <si>
    <t>C0107</t>
  </si>
  <si>
    <t>C0048</t>
  </si>
  <si>
    <t>C0127</t>
  </si>
  <si>
    <t>C0081</t>
  </si>
  <si>
    <t>C0196</t>
  </si>
  <si>
    <t>C0155</t>
  </si>
  <si>
    <t>C0004</t>
  </si>
  <si>
    <t>C0065</t>
  </si>
  <si>
    <t>C0073</t>
  </si>
  <si>
    <t>C0136</t>
  </si>
  <si>
    <t>C0163</t>
  </si>
  <si>
    <t>C0017</t>
  </si>
  <si>
    <t>C0175</t>
  </si>
  <si>
    <t>C0126</t>
  </si>
  <si>
    <t>C0064</t>
  </si>
  <si>
    <t>C0161</t>
  </si>
  <si>
    <t>C0033</t>
  </si>
  <si>
    <t>C0112</t>
  </si>
  <si>
    <t>C0128</t>
  </si>
  <si>
    <t>C0194</t>
  </si>
  <si>
    <t>C0013</t>
  </si>
  <si>
    <t>C0186</t>
  </si>
  <si>
    <t>C0042</t>
  </si>
  <si>
    <t>C0091</t>
  </si>
  <si>
    <t>C0184</t>
  </si>
  <si>
    <t>C0190</t>
  </si>
  <si>
    <t>C0031</t>
  </si>
  <si>
    <t>C0059</t>
  </si>
  <si>
    <t>C0111</t>
  </si>
  <si>
    <t>C0018</t>
  </si>
  <si>
    <t>C0085</t>
  </si>
  <si>
    <t>C0077</t>
  </si>
  <si>
    <t>C0009</t>
  </si>
  <si>
    <t>C0007</t>
  </si>
  <si>
    <t>C0070</t>
  </si>
  <si>
    <t>C0063</t>
  </si>
  <si>
    <t>C0021</t>
  </si>
  <si>
    <t>C0156</t>
  </si>
  <si>
    <t>C0071</t>
  </si>
  <si>
    <t>C0093</t>
  </si>
  <si>
    <t>C0100</t>
  </si>
  <si>
    <t>C0124</t>
  </si>
  <si>
    <t>C0166</t>
  </si>
  <si>
    <t>C0176</t>
  </si>
  <si>
    <t>C0006</t>
  </si>
  <si>
    <t>C0074</t>
  </si>
  <si>
    <t>C0178</t>
  </si>
  <si>
    <t>C0193</t>
  </si>
  <si>
    <t>C0037</t>
  </si>
  <si>
    <t>C0020</t>
  </si>
  <si>
    <t>C0118</t>
  </si>
  <si>
    <t>C0082</t>
  </si>
  <si>
    <t>C0179</t>
  </si>
  <si>
    <t>C0086</t>
  </si>
  <si>
    <t>C0171</t>
  </si>
  <si>
    <t>C0098</t>
  </si>
  <si>
    <t>C0109</t>
  </si>
  <si>
    <t>C0068</t>
  </si>
  <si>
    <t>C0199</t>
  </si>
  <si>
    <t>C0032</t>
  </si>
  <si>
    <t>C0174</t>
  </si>
  <si>
    <t>C0119</t>
  </si>
  <si>
    <t>C0134</t>
  </si>
  <si>
    <t>C0149</t>
  </si>
  <si>
    <t>C0087</t>
  </si>
  <si>
    <t>C0105</t>
  </si>
  <si>
    <t>C0097</t>
  </si>
  <si>
    <t>C0130</t>
  </si>
  <si>
    <t>C0132</t>
  </si>
  <si>
    <t>C0041</t>
  </si>
  <si>
    <t>C0181</t>
  </si>
  <si>
    <t>C0094</t>
  </si>
  <si>
    <t>C0108</t>
  </si>
  <si>
    <t>C0121</t>
  </si>
  <si>
    <t>C0167</t>
  </si>
  <si>
    <t>C0148</t>
  </si>
  <si>
    <t>C0022</t>
  </si>
  <si>
    <t>C0027</t>
  </si>
  <si>
    <t>C0090</t>
  </si>
  <si>
    <t>C0170</t>
  </si>
  <si>
    <t>C0002</t>
  </si>
  <si>
    <t>C0151</t>
  </si>
  <si>
    <t>C0028</t>
  </si>
  <si>
    <t>C0079</t>
  </si>
  <si>
    <t>C0040</t>
  </si>
  <si>
    <t>C0192</t>
  </si>
  <si>
    <t>C0177</t>
  </si>
  <si>
    <t>C0043</t>
  </si>
  <si>
    <t>C0099</t>
  </si>
  <si>
    <t>C0160</t>
  </si>
  <si>
    <t>C0106</t>
  </si>
  <si>
    <t>C0060</t>
  </si>
  <si>
    <t>C0053</t>
  </si>
  <si>
    <t>C0101</t>
  </si>
  <si>
    <t>C0066</t>
  </si>
  <si>
    <t>C0024</t>
  </si>
  <si>
    <t>C0173</t>
  </si>
  <si>
    <t>C0135</t>
  </si>
  <si>
    <t>C0011</t>
  </si>
  <si>
    <t>C0115</t>
  </si>
  <si>
    <t>C0061</t>
  </si>
  <si>
    <t>C0067</t>
  </si>
  <si>
    <t>C0047</t>
  </si>
  <si>
    <t>C0016</t>
  </si>
  <si>
    <t>C0143</t>
  </si>
  <si>
    <t>C0113</t>
  </si>
  <si>
    <t>C0140</t>
  </si>
  <si>
    <t>C0080</t>
  </si>
  <si>
    <t>C0095</t>
  </si>
  <si>
    <t>C0172</t>
  </si>
  <si>
    <t>C0054</t>
  </si>
  <si>
    <t>C0159</t>
  </si>
  <si>
    <t>C0035</t>
  </si>
  <si>
    <t>C0046</t>
  </si>
  <si>
    <t>C0129</t>
  </si>
  <si>
    <t>C0062</t>
  </si>
  <si>
    <t>C0117</t>
  </si>
  <si>
    <t>C0056</t>
  </si>
  <si>
    <t>C0010</t>
  </si>
  <si>
    <t>haRper dAVIs</t>
  </si>
  <si>
    <t>mIa milLeR</t>
  </si>
  <si>
    <t>olIvIa DAVis</t>
  </si>
  <si>
    <t>lIAM jOneS</t>
  </si>
  <si>
    <t>nOAH gARciA</t>
  </si>
  <si>
    <t>lIAm GaRciA</t>
  </si>
  <si>
    <t>lIAm jOhnsOn</t>
  </si>
  <si>
    <t>LiaM GarCia</t>
  </si>
  <si>
    <t>avA rODRIgUeZ</t>
  </si>
  <si>
    <t>aIDeN DAVIS</t>
  </si>
  <si>
    <t>EvELyn MarTinez</t>
  </si>
  <si>
    <t>lucaS RoDRIguez</t>
  </si>
  <si>
    <t>Liam bROwn</t>
  </si>
  <si>
    <t>mAsoN joHnSon</t>
  </si>
  <si>
    <t>olIVIa garCIa</t>
  </si>
  <si>
    <t>mAsOn roDRiguez</t>
  </si>
  <si>
    <t>SOpHia GaRcIa</t>
  </si>
  <si>
    <t>hARpER MARtIneZ</t>
  </si>
  <si>
    <t>lIam garCia</t>
  </si>
  <si>
    <t>OLIVIA MaRTinEZ</t>
  </si>
  <si>
    <t>aMElIA johNson</t>
  </si>
  <si>
    <t>AmElIA jOHNSon</t>
  </si>
  <si>
    <t>haRpeR GArCiA</t>
  </si>
  <si>
    <t>mIa JONeS</t>
  </si>
  <si>
    <t>EtHan RodrIgUEz</t>
  </si>
  <si>
    <t>NoAh wiLLiaMs</t>
  </si>
  <si>
    <t>amelia JohnSON</t>
  </si>
  <si>
    <t>Ethan mILLeR</t>
  </si>
  <si>
    <t>SoPHiA brown</t>
  </si>
  <si>
    <t>LiAM DavIs</t>
  </si>
  <si>
    <t>LuCaS williAmS</t>
  </si>
  <si>
    <t>Mia joHnSon</t>
  </si>
  <si>
    <t>MASoN dAVis</t>
  </si>
  <si>
    <t>NOAh roDrigUEz</t>
  </si>
  <si>
    <t>CHARlOtTe GArCIA</t>
  </si>
  <si>
    <t>HarPER Jones</t>
  </si>
  <si>
    <t>cHARLoTTe DAvIs</t>
  </si>
  <si>
    <t>EVeLYn GarcIa</t>
  </si>
  <si>
    <t>EthAn joHnSoN</t>
  </si>
  <si>
    <t>lucas BrowN</t>
  </si>
  <si>
    <t>Noah MARtINez</t>
  </si>
  <si>
    <t>isABeLlA garcIa</t>
  </si>
  <si>
    <t>loGAn smitH</t>
  </si>
  <si>
    <t>liAM jONes</t>
  </si>
  <si>
    <t>ChArLotTE daviS</t>
  </si>
  <si>
    <t>LUCAS wiLlIaMS</t>
  </si>
  <si>
    <t>jAmEs bRown</t>
  </si>
  <si>
    <t>AIDeN MArtIneZ</t>
  </si>
  <si>
    <t>iSaBElLA MILLER</t>
  </si>
  <si>
    <t>ELiJAH jOneS</t>
  </si>
  <si>
    <t>lIaM roDrIGUEZ</t>
  </si>
  <si>
    <t>cHARlottE Jones</t>
  </si>
  <si>
    <t>eVeLYn mARtiNez</t>
  </si>
  <si>
    <t>AIDEN davIS</t>
  </si>
  <si>
    <t>AmELIa GARCIa</t>
  </si>
  <si>
    <t>oLivIa jOHNsON</t>
  </si>
  <si>
    <t>ETHAn GArCIa</t>
  </si>
  <si>
    <t>nOAH SmITH</t>
  </si>
  <si>
    <t>isABElla jOneS</t>
  </si>
  <si>
    <t>olIvEr jOHnson</t>
  </si>
  <si>
    <t>HARper SmiTh</t>
  </si>
  <si>
    <t>noah wIlliaMS</t>
  </si>
  <si>
    <t>eliJaH MarTIneZ</t>
  </si>
  <si>
    <t>haRper sMITH</t>
  </si>
  <si>
    <t>mASON JOhNSoN</t>
  </si>
  <si>
    <t>jaMes brOwn</t>
  </si>
  <si>
    <t>mIa broWn</t>
  </si>
  <si>
    <t>MaSOn DaVIs</t>
  </si>
  <si>
    <t>lUCAS BROwN</t>
  </si>
  <si>
    <t>HarPEr GARCIa</t>
  </si>
  <si>
    <t>jAMeS WIlliaMS</t>
  </si>
  <si>
    <t>lIaM smith</t>
  </si>
  <si>
    <t>eVeLYn BroWn</t>
  </si>
  <si>
    <t>isAbeLla GARCia</t>
  </si>
  <si>
    <t>EtHaN jOnES</t>
  </si>
  <si>
    <t>eLiJAH garCiA</t>
  </si>
  <si>
    <t>Emma bROwN</t>
  </si>
  <si>
    <t>AVA MilLEr</t>
  </si>
  <si>
    <t>soPHiA DaVIs</t>
  </si>
  <si>
    <t>EvElyn MiLLeR</t>
  </si>
  <si>
    <t>MAson DAVIs</t>
  </si>
  <si>
    <t>ELIJah bROwn</t>
  </si>
  <si>
    <t>NOAH MArtiNEZ</t>
  </si>
  <si>
    <t>MasoN mILLeR</t>
  </si>
  <si>
    <t>mia MILLER</t>
  </si>
  <si>
    <t>jAmEs MIlLeR</t>
  </si>
  <si>
    <t>AIDEn GArcia</t>
  </si>
  <si>
    <t>avA rodRiGUEz</t>
  </si>
  <si>
    <t>HarPEr bRowN</t>
  </si>
  <si>
    <t>luCAS smITH</t>
  </si>
  <si>
    <t>aidEN sMIth</t>
  </si>
  <si>
    <t>LIAM rODRIgueZ</t>
  </si>
  <si>
    <t>Aiden RoDrIGUEz</t>
  </si>
  <si>
    <t>lUcas SMitH</t>
  </si>
  <si>
    <t>sOPHia mARtinEZ</t>
  </si>
  <si>
    <t>CHARlOttE gArCiA</t>
  </si>
  <si>
    <t>miA roDriGuez</t>
  </si>
  <si>
    <t>eLijAh wIlLIAMs</t>
  </si>
  <si>
    <t>jamEs wILLIAmS</t>
  </si>
  <si>
    <t>NoaH bROWn</t>
  </si>
  <si>
    <t>eVelYN martiNEZ</t>
  </si>
  <si>
    <t>ISabellA bRoWN</t>
  </si>
  <si>
    <t>jamES BrOwn</t>
  </si>
  <si>
    <t>aIDen WIlliAMs</t>
  </si>
  <si>
    <t>IsAbELla JohNSoN</t>
  </si>
  <si>
    <t>mASON WILliaMS</t>
  </si>
  <si>
    <t>harpEr rOdrIguEz</t>
  </si>
  <si>
    <t>LOGaN rODrIgUEz</t>
  </si>
  <si>
    <t>emMA dAVIs</t>
  </si>
  <si>
    <t>miA brOWn</t>
  </si>
  <si>
    <t>eThan mARTIneZ</t>
  </si>
  <si>
    <t>MaSon WillIAMs</t>
  </si>
  <si>
    <t>eThAN WIlLIamS</t>
  </si>
  <si>
    <t>ava BRoWN</t>
  </si>
  <si>
    <t>sOPHIa JOHNSOn</t>
  </si>
  <si>
    <t>oliVer MilLeR</t>
  </si>
  <si>
    <t>isABelLA RoDriGUEZ</t>
  </si>
  <si>
    <t>cHARlottE GArciA</t>
  </si>
  <si>
    <t>AvA mARTINeZ</t>
  </si>
  <si>
    <t>NoAh RODrIguEz</t>
  </si>
  <si>
    <t>logAn sMItH</t>
  </si>
  <si>
    <t>hArper MIllEr</t>
  </si>
  <si>
    <t>NOAh wIlLIamS</t>
  </si>
  <si>
    <t>oLiver Miller</t>
  </si>
  <si>
    <t>oliVEr smiTh</t>
  </si>
  <si>
    <t>EMMa garcIA</t>
  </si>
  <si>
    <t>LucAS gARCia</t>
  </si>
  <si>
    <t>aVA SmIth</t>
  </si>
  <si>
    <t>AVa dAVIs</t>
  </si>
  <si>
    <t>JAmES joNeS</t>
  </si>
  <si>
    <t>loGAn martInEZ</t>
  </si>
  <si>
    <t>avA joNEs</t>
  </si>
  <si>
    <t>OLiViA mIlLEr</t>
  </si>
  <si>
    <t>OlIVER johnsOn</t>
  </si>
  <si>
    <t>MiA DAvis</t>
  </si>
  <si>
    <t>IsAbElLA brOWn</t>
  </si>
  <si>
    <t>amEliA jOHNSOn</t>
  </si>
  <si>
    <t>LOGan jOhNson</t>
  </si>
  <si>
    <t>oLIvIA MILLEr</t>
  </si>
  <si>
    <t>olIVER JONes</t>
  </si>
  <si>
    <t>mASOn JOHNSon</t>
  </si>
  <si>
    <t>mAson ROdrigUEz</t>
  </si>
  <si>
    <t>JAmeS BROWn</t>
  </si>
  <si>
    <t>soPhiA rODriGuEZ</t>
  </si>
  <si>
    <t>emmA DaviS</t>
  </si>
  <si>
    <t>elIjah DavIS</t>
  </si>
  <si>
    <t>OlIVIa GarCIA</t>
  </si>
  <si>
    <t>avA rOdrIGueZ</t>
  </si>
  <si>
    <t>amEliA JonEs</t>
  </si>
  <si>
    <t>Elijah DAVis</t>
  </si>
  <si>
    <t>OlIvIA GARcia</t>
  </si>
  <si>
    <t>aIDen jones</t>
  </si>
  <si>
    <t>HarpEr MILLeR</t>
  </si>
  <si>
    <t>aideN jOneS</t>
  </si>
  <si>
    <t>aidEN bROWn</t>
  </si>
  <si>
    <t>aVA RODrIGUEZ</t>
  </si>
  <si>
    <t>jAmES sMiTH</t>
  </si>
  <si>
    <t>harpER jOneS</t>
  </si>
  <si>
    <t>masOn jOnes</t>
  </si>
  <si>
    <t>avA rOdRIguEZ</t>
  </si>
  <si>
    <t>SOpHia BrowN</t>
  </si>
  <si>
    <t>Emma SMITh</t>
  </si>
  <si>
    <t>Lucas JoNEs</t>
  </si>
  <si>
    <t>OlIVIA willIams</t>
  </si>
  <si>
    <t>amELia milLer</t>
  </si>
  <si>
    <t>charLoTtE jOhnsON</t>
  </si>
  <si>
    <t>MIa MaRtInez</t>
  </si>
  <si>
    <t>logan roDRIgUEZ</t>
  </si>
  <si>
    <t>AIDen rOdRIgUEz</t>
  </si>
  <si>
    <t>LucAs gaRcia</t>
  </si>
  <si>
    <t>aVA MartINez</t>
  </si>
  <si>
    <t>liaM jONES</t>
  </si>
  <si>
    <t>mIa JOhnsON</t>
  </si>
  <si>
    <t>lIam GArCiA</t>
  </si>
  <si>
    <t>JaMeS garcIA</t>
  </si>
  <si>
    <t>IsAbELla WILLiamS</t>
  </si>
  <si>
    <t>aMEliA MaRTiNez</t>
  </si>
  <si>
    <t>HArPeR DavIs</t>
  </si>
  <si>
    <t>jaMEs wilLIAMs</t>
  </si>
  <si>
    <t>AvA GarCIA</t>
  </si>
  <si>
    <t>AiDEn miLleR</t>
  </si>
  <si>
    <t>lOGan SMITh</t>
  </si>
  <si>
    <t>oLiver jOHNSoN</t>
  </si>
  <si>
    <t>charLOtTE jONeS</t>
  </si>
  <si>
    <t>jAmEs mIllER</t>
  </si>
  <si>
    <t>EVElYn smitH</t>
  </si>
  <si>
    <t>AIdeN SMiTh</t>
  </si>
  <si>
    <t>EVELYN martinEZ</t>
  </si>
  <si>
    <t>hARPeR rODrIGueZ</t>
  </si>
  <si>
    <t>loGAN mIlLeR</t>
  </si>
  <si>
    <t>IsabELLA RoDRIgUEz</t>
  </si>
  <si>
    <t>LoGAn martineZ</t>
  </si>
  <si>
    <t>EVeLyN marTinez</t>
  </si>
  <si>
    <t>elIJah SMItH</t>
  </si>
  <si>
    <t>lIaM mIller</t>
  </si>
  <si>
    <t>emma dAviS</t>
  </si>
  <si>
    <t>lOGan JoNEs</t>
  </si>
  <si>
    <t>olIvia jonES</t>
  </si>
  <si>
    <t>nOAH GaRCIa</t>
  </si>
  <si>
    <t>Delivered</t>
  </si>
  <si>
    <t>Pending</t>
  </si>
  <si>
    <t>Shipped</t>
  </si>
  <si>
    <t>Returned</t>
  </si>
  <si>
    <t>Michigan</t>
  </si>
  <si>
    <t>Florida</t>
  </si>
  <si>
    <t>North Carolina</t>
  </si>
  <si>
    <t>Pennsylvania</t>
  </si>
  <si>
    <t>Ohio</t>
  </si>
  <si>
    <t>New York</t>
  </si>
  <si>
    <t>Texas</t>
  </si>
  <si>
    <t>Illinois</t>
  </si>
  <si>
    <t>Georgia</t>
  </si>
  <si>
    <t>California</t>
  </si>
  <si>
    <t>OR0001</t>
  </si>
  <si>
    <t>OR0002</t>
  </si>
  <si>
    <t>OR0003</t>
  </si>
  <si>
    <t>OR0004</t>
  </si>
  <si>
    <t>OR0005</t>
  </si>
  <si>
    <t>OR0006</t>
  </si>
  <si>
    <t>OR0007</t>
  </si>
  <si>
    <t>OR0008</t>
  </si>
  <si>
    <t>OR0009</t>
  </si>
  <si>
    <t>OR0010</t>
  </si>
  <si>
    <t>OR0011</t>
  </si>
  <si>
    <t>OR0012</t>
  </si>
  <si>
    <t>OR0013</t>
  </si>
  <si>
    <t>OR0014</t>
  </si>
  <si>
    <t>OR0015</t>
  </si>
  <si>
    <t>OR0016</t>
  </si>
  <si>
    <t>OR0017</t>
  </si>
  <si>
    <t>OR0018</t>
  </si>
  <si>
    <t>OR0019</t>
  </si>
  <si>
    <t>OR0020</t>
  </si>
  <si>
    <t>OR0021</t>
  </si>
  <si>
    <t>OR0022</t>
  </si>
  <si>
    <t>OR0023</t>
  </si>
  <si>
    <t>OR0024</t>
  </si>
  <si>
    <t>OR0025</t>
  </si>
  <si>
    <t>OR0026</t>
  </si>
  <si>
    <t>OR0027</t>
  </si>
  <si>
    <t>OR0028</t>
  </si>
  <si>
    <t>OR0029</t>
  </si>
  <si>
    <t>OR0030</t>
  </si>
  <si>
    <t>OR0031</t>
  </si>
  <si>
    <t>OR0032</t>
  </si>
  <si>
    <t>OR0033</t>
  </si>
  <si>
    <t>OR0034</t>
  </si>
  <si>
    <t>OR0035</t>
  </si>
  <si>
    <t>OR0036</t>
  </si>
  <si>
    <t>OR0037</t>
  </si>
  <si>
    <t>OR0038</t>
  </si>
  <si>
    <t>OR0039</t>
  </si>
  <si>
    <t>OR0040</t>
  </si>
  <si>
    <t>OR0041</t>
  </si>
  <si>
    <t>OR0042</t>
  </si>
  <si>
    <t>OR0043</t>
  </si>
  <si>
    <t>OR0044</t>
  </si>
  <si>
    <t>OR0045</t>
  </si>
  <si>
    <t>OR0046</t>
  </si>
  <si>
    <t>OR0047</t>
  </si>
  <si>
    <t>OR0048</t>
  </si>
  <si>
    <t>OR0049</t>
  </si>
  <si>
    <t>OR0050</t>
  </si>
  <si>
    <t>OR0051</t>
  </si>
  <si>
    <t>OR0052</t>
  </si>
  <si>
    <t>OR0053</t>
  </si>
  <si>
    <t>OR0054</t>
  </si>
  <si>
    <t>OR0055</t>
  </si>
  <si>
    <t>OR0056</t>
  </si>
  <si>
    <t>OR0057</t>
  </si>
  <si>
    <t>OR0058</t>
  </si>
  <si>
    <t>OR0059</t>
  </si>
  <si>
    <t>OR0060</t>
  </si>
  <si>
    <t>OR0061</t>
  </si>
  <si>
    <t>OR0062</t>
  </si>
  <si>
    <t>OR0063</t>
  </si>
  <si>
    <t>OR0064</t>
  </si>
  <si>
    <t>OR0065</t>
  </si>
  <si>
    <t>OR0066</t>
  </si>
  <si>
    <t>OR0067</t>
  </si>
  <si>
    <t>OR0068</t>
  </si>
  <si>
    <t>OR0069</t>
  </si>
  <si>
    <t>OR0070</t>
  </si>
  <si>
    <t>OR0071</t>
  </si>
  <si>
    <t>OR0072</t>
  </si>
  <si>
    <t>OR0073</t>
  </si>
  <si>
    <t>OR0074</t>
  </si>
  <si>
    <t>OR0075</t>
  </si>
  <si>
    <t>OR0076</t>
  </si>
  <si>
    <t>OR0077</t>
  </si>
  <si>
    <t>OR0078</t>
  </si>
  <si>
    <t>OR0079</t>
  </si>
  <si>
    <t>OR0080</t>
  </si>
  <si>
    <t>OR0081</t>
  </si>
  <si>
    <t>OR0082</t>
  </si>
  <si>
    <t>OR0083</t>
  </si>
  <si>
    <t>OR0084</t>
  </si>
  <si>
    <t>OR0085</t>
  </si>
  <si>
    <t>OR0086</t>
  </si>
  <si>
    <t>OR0087</t>
  </si>
  <si>
    <t>OR0088</t>
  </si>
  <si>
    <t>OR0089</t>
  </si>
  <si>
    <t>OR0090</t>
  </si>
  <si>
    <t>OR0091</t>
  </si>
  <si>
    <t>OR0092</t>
  </si>
  <si>
    <t>OR0093</t>
  </si>
  <si>
    <t>OR0094</t>
  </si>
  <si>
    <t>OR0095</t>
  </si>
  <si>
    <t>OR0096</t>
  </si>
  <si>
    <t>OR0097</t>
  </si>
  <si>
    <t>OR0098</t>
  </si>
  <si>
    <t>OR0099</t>
  </si>
  <si>
    <t>OR0100</t>
  </si>
  <si>
    <t>OR0101</t>
  </si>
  <si>
    <t>OR0102</t>
  </si>
  <si>
    <t>OR0103</t>
  </si>
  <si>
    <t>OR0104</t>
  </si>
  <si>
    <t>OR0105</t>
  </si>
  <si>
    <t>OR0106</t>
  </si>
  <si>
    <t>OR0107</t>
  </si>
  <si>
    <t>OR0108</t>
  </si>
  <si>
    <t>OR0109</t>
  </si>
  <si>
    <t>OR0110</t>
  </si>
  <si>
    <t>OR0111</t>
  </si>
  <si>
    <t>OR0112</t>
  </si>
  <si>
    <t>OR0113</t>
  </si>
  <si>
    <t>OR0114</t>
  </si>
  <si>
    <t>OR0115</t>
  </si>
  <si>
    <t>OR0116</t>
  </si>
  <si>
    <t>OR0117</t>
  </si>
  <si>
    <t>OR0118</t>
  </si>
  <si>
    <t>OR0119</t>
  </si>
  <si>
    <t>OR0120</t>
  </si>
  <si>
    <t>OR0121</t>
  </si>
  <si>
    <t>OR0122</t>
  </si>
  <si>
    <t>OR0123</t>
  </si>
  <si>
    <t>OR0124</t>
  </si>
  <si>
    <t>OR0125</t>
  </si>
  <si>
    <t>OR0126</t>
  </si>
  <si>
    <t>OR0127</t>
  </si>
  <si>
    <t>OR0128</t>
  </si>
  <si>
    <t>OR0129</t>
  </si>
  <si>
    <t>OR0130</t>
  </si>
  <si>
    <t>OR0131</t>
  </si>
  <si>
    <t>OR0132</t>
  </si>
  <si>
    <t>OR0133</t>
  </si>
  <si>
    <t>OR0134</t>
  </si>
  <si>
    <t>OR0135</t>
  </si>
  <si>
    <t>OR0136</t>
  </si>
  <si>
    <t>OR0137</t>
  </si>
  <si>
    <t>OR0138</t>
  </si>
  <si>
    <t>OR0139</t>
  </si>
  <si>
    <t>OR0140</t>
  </si>
  <si>
    <t>OR0141</t>
  </si>
  <si>
    <t>OR0142</t>
  </si>
  <si>
    <t>OR0143</t>
  </si>
  <si>
    <t>OR0144</t>
  </si>
  <si>
    <t>OR0145</t>
  </si>
  <si>
    <t>OR0146</t>
  </si>
  <si>
    <t>OR0147</t>
  </si>
  <si>
    <t>OR0148</t>
  </si>
  <si>
    <t>OR0149</t>
  </si>
  <si>
    <t>OR0150</t>
  </si>
  <si>
    <t>OR0151</t>
  </si>
  <si>
    <t>OR0152</t>
  </si>
  <si>
    <t>OR0153</t>
  </si>
  <si>
    <t>OR0154</t>
  </si>
  <si>
    <t>OR0155</t>
  </si>
  <si>
    <t>OR0156</t>
  </si>
  <si>
    <t>OR0157</t>
  </si>
  <si>
    <t>OR0158</t>
  </si>
  <si>
    <t>OR0159</t>
  </si>
  <si>
    <t>OR0160</t>
  </si>
  <si>
    <t>OR0161</t>
  </si>
  <si>
    <t>OR0162</t>
  </si>
  <si>
    <t>OR0163</t>
  </si>
  <si>
    <t>OR0164</t>
  </si>
  <si>
    <t>OR0165</t>
  </si>
  <si>
    <t>OR0166</t>
  </si>
  <si>
    <t>OR0167</t>
  </si>
  <si>
    <t>OR0168</t>
  </si>
  <si>
    <t>OR0169</t>
  </si>
  <si>
    <t>OR0170</t>
  </si>
  <si>
    <t>OR0171</t>
  </si>
  <si>
    <t>OR0172</t>
  </si>
  <si>
    <t>OR0173</t>
  </si>
  <si>
    <t>OR0174</t>
  </si>
  <si>
    <t>OR0175</t>
  </si>
  <si>
    <t>OR0176</t>
  </si>
  <si>
    <t>OR0177</t>
  </si>
  <si>
    <t>OR0178</t>
  </si>
  <si>
    <t>OR0179</t>
  </si>
  <si>
    <t>OR0180</t>
  </si>
  <si>
    <t>OR0181</t>
  </si>
  <si>
    <t>OR0182</t>
  </si>
  <si>
    <t>OR0183</t>
  </si>
  <si>
    <t>OR0184</t>
  </si>
  <si>
    <t>OR0185</t>
  </si>
  <si>
    <t>OR0186</t>
  </si>
  <si>
    <t>OR0187</t>
  </si>
  <si>
    <t>OR0188</t>
  </si>
  <si>
    <t>OR0189</t>
  </si>
  <si>
    <t>OR0190</t>
  </si>
  <si>
    <t>OR0191</t>
  </si>
  <si>
    <t>OR0192</t>
  </si>
  <si>
    <t>OR0193</t>
  </si>
  <si>
    <t>OR0194</t>
  </si>
  <si>
    <t>OR0195</t>
  </si>
  <si>
    <t>OR0196</t>
  </si>
  <si>
    <t>OR0197</t>
  </si>
  <si>
    <t>OR0198</t>
  </si>
  <si>
    <t>OR0199</t>
  </si>
  <si>
    <t>OR0200</t>
  </si>
  <si>
    <t>OR0201</t>
  </si>
  <si>
    <t>OR0202</t>
  </si>
  <si>
    <t>OR0203</t>
  </si>
  <si>
    <t>OR0204</t>
  </si>
  <si>
    <t>OR0205</t>
  </si>
  <si>
    <t>OR0206</t>
  </si>
  <si>
    <t>OR0207</t>
  </si>
  <si>
    <t>OR0208</t>
  </si>
  <si>
    <t>OR0209</t>
  </si>
  <si>
    <t>OR0210</t>
  </si>
  <si>
    <t>OR0211</t>
  </si>
  <si>
    <t>OR0212</t>
  </si>
  <si>
    <t>OR0213</t>
  </si>
  <si>
    <t>OR0214</t>
  </si>
  <si>
    <t>OR0215</t>
  </si>
  <si>
    <t>OR0216</t>
  </si>
  <si>
    <t>OR0217</t>
  </si>
  <si>
    <t>OR0218</t>
  </si>
  <si>
    <t>OR0219</t>
  </si>
  <si>
    <t>OR0220</t>
  </si>
  <si>
    <t>OR0221</t>
  </si>
  <si>
    <t>OR0222</t>
  </si>
  <si>
    <t>OR0223</t>
  </si>
  <si>
    <t>OR0224</t>
  </si>
  <si>
    <t>OR0225</t>
  </si>
  <si>
    <t>OR0226</t>
  </si>
  <si>
    <t>OR0227</t>
  </si>
  <si>
    <t>OR0228</t>
  </si>
  <si>
    <t>OR0229</t>
  </si>
  <si>
    <t>OR0230</t>
  </si>
  <si>
    <t>OR0231</t>
  </si>
  <si>
    <t>OR0232</t>
  </si>
  <si>
    <t>OR0233</t>
  </si>
  <si>
    <t>OR0234</t>
  </si>
  <si>
    <t>OR0235</t>
  </si>
  <si>
    <t>OR0236</t>
  </si>
  <si>
    <t>OR0237</t>
  </si>
  <si>
    <t>OR0238</t>
  </si>
  <si>
    <t>OR0239</t>
  </si>
  <si>
    <t>OR0240</t>
  </si>
  <si>
    <t>OR0241</t>
  </si>
  <si>
    <t>OR0242</t>
  </si>
  <si>
    <t>OR0243</t>
  </si>
  <si>
    <t>OR0244</t>
  </si>
  <si>
    <t>OR0245</t>
  </si>
  <si>
    <t>OR0246</t>
  </si>
  <si>
    <t>OR0247</t>
  </si>
  <si>
    <t>OR0248</t>
  </si>
  <si>
    <t>OR0249</t>
  </si>
  <si>
    <t>OR0250</t>
  </si>
  <si>
    <t>OR0251</t>
  </si>
  <si>
    <t>OR0252</t>
  </si>
  <si>
    <t>OR0253</t>
  </si>
  <si>
    <t>OR0254</t>
  </si>
  <si>
    <t>OR0255</t>
  </si>
  <si>
    <t>OR0256</t>
  </si>
  <si>
    <t>OR0257</t>
  </si>
  <si>
    <t>OR0258</t>
  </si>
  <si>
    <t>OR0259</t>
  </si>
  <si>
    <t>OR0260</t>
  </si>
  <si>
    <t>OR0261</t>
  </si>
  <si>
    <t>OR0262</t>
  </si>
  <si>
    <t>OR0263</t>
  </si>
  <si>
    <t>OR0264</t>
  </si>
  <si>
    <t>OR0265</t>
  </si>
  <si>
    <t>OR0266</t>
  </si>
  <si>
    <t>OR0267</t>
  </si>
  <si>
    <t>OR0268</t>
  </si>
  <si>
    <t>OR0269</t>
  </si>
  <si>
    <t>OR0270</t>
  </si>
  <si>
    <t>OR0271</t>
  </si>
  <si>
    <t>OR0272</t>
  </si>
  <si>
    <t>OR0273</t>
  </si>
  <si>
    <t>OR0274</t>
  </si>
  <si>
    <t>OR0275</t>
  </si>
  <si>
    <t>OR0276</t>
  </si>
  <si>
    <t>OR0277</t>
  </si>
  <si>
    <t>OR0278</t>
  </si>
  <si>
    <t>OR0279</t>
  </si>
  <si>
    <t>OR0280</t>
  </si>
  <si>
    <t>OR0281</t>
  </si>
  <si>
    <t>OR0282</t>
  </si>
  <si>
    <t>OR0283</t>
  </si>
  <si>
    <t>OR0284</t>
  </si>
  <si>
    <t>OR0285</t>
  </si>
  <si>
    <t>OR0286</t>
  </si>
  <si>
    <t>OR0287</t>
  </si>
  <si>
    <t>OR0288</t>
  </si>
  <si>
    <t>OR0289</t>
  </si>
  <si>
    <t>OR0290</t>
  </si>
  <si>
    <t>OR0291</t>
  </si>
  <si>
    <t>OR0292</t>
  </si>
  <si>
    <t>OR0293</t>
  </si>
  <si>
    <t>OR0294</t>
  </si>
  <si>
    <t>OR0295</t>
  </si>
  <si>
    <t>OR0296</t>
  </si>
  <si>
    <t>OR0297</t>
  </si>
  <si>
    <t>OR0298</t>
  </si>
  <si>
    <t>OR0299</t>
  </si>
  <si>
    <t>OR0300</t>
  </si>
  <si>
    <t>OR0301</t>
  </si>
  <si>
    <t>OR0302</t>
  </si>
  <si>
    <t>OR0303</t>
  </si>
  <si>
    <t>OR0304</t>
  </si>
  <si>
    <t>OR0305</t>
  </si>
  <si>
    <t>OR0306</t>
  </si>
  <si>
    <t>OR0307</t>
  </si>
  <si>
    <t>OR0308</t>
  </si>
  <si>
    <t>OR0309</t>
  </si>
  <si>
    <t>OR0310</t>
  </si>
  <si>
    <t>OR0311</t>
  </si>
  <si>
    <t>OR0312</t>
  </si>
  <si>
    <t>OR0313</t>
  </si>
  <si>
    <t>OR0314</t>
  </si>
  <si>
    <t>OR0315</t>
  </si>
  <si>
    <t>OR0316</t>
  </si>
  <si>
    <t>OR0317</t>
  </si>
  <si>
    <t>OR0318</t>
  </si>
  <si>
    <t>OR0319</t>
  </si>
  <si>
    <t>OR0320</t>
  </si>
  <si>
    <t>OR0321</t>
  </si>
  <si>
    <t>OR0322</t>
  </si>
  <si>
    <t>OR0323</t>
  </si>
  <si>
    <t>OR0324</t>
  </si>
  <si>
    <t>OR0325</t>
  </si>
  <si>
    <t>OR0326</t>
  </si>
  <si>
    <t>OR0327</t>
  </si>
  <si>
    <t>OR0328</t>
  </si>
  <si>
    <t>OR0329</t>
  </si>
  <si>
    <t>OR0330</t>
  </si>
  <si>
    <t>OR0331</t>
  </si>
  <si>
    <t>OR0332</t>
  </si>
  <si>
    <t>OR0333</t>
  </si>
  <si>
    <t>OR0334</t>
  </si>
  <si>
    <t>OR0335</t>
  </si>
  <si>
    <t>OR0336</t>
  </si>
  <si>
    <t>OR0337</t>
  </si>
  <si>
    <t>OR0338</t>
  </si>
  <si>
    <t>OR0339</t>
  </si>
  <si>
    <t>OR0340</t>
  </si>
  <si>
    <t>OR0341</t>
  </si>
  <si>
    <t>OR0342</t>
  </si>
  <si>
    <t>OR0343</t>
  </si>
  <si>
    <t>OR0344</t>
  </si>
  <si>
    <t>OR0345</t>
  </si>
  <si>
    <t>OR0346</t>
  </si>
  <si>
    <t>OR0347</t>
  </si>
  <si>
    <t>OR0348</t>
  </si>
  <si>
    <t>OR0349</t>
  </si>
  <si>
    <t>OR0350</t>
  </si>
  <si>
    <t>OR0351</t>
  </si>
  <si>
    <t>OR0352</t>
  </si>
  <si>
    <t>OR0353</t>
  </si>
  <si>
    <t>OR0354</t>
  </si>
  <si>
    <t>OR0355</t>
  </si>
  <si>
    <t>OR0356</t>
  </si>
  <si>
    <t>OR0357</t>
  </si>
  <si>
    <t>OR0358</t>
  </si>
  <si>
    <t>OR0359</t>
  </si>
  <si>
    <t>OR0360</t>
  </si>
  <si>
    <t>OR0361</t>
  </si>
  <si>
    <t>OR0362</t>
  </si>
  <si>
    <t>OR0363</t>
  </si>
  <si>
    <t>OR0364</t>
  </si>
  <si>
    <t>OR0365</t>
  </si>
  <si>
    <t>OR0366</t>
  </si>
  <si>
    <t>OR0367</t>
  </si>
  <si>
    <t>OR0368</t>
  </si>
  <si>
    <t>OR0369</t>
  </si>
  <si>
    <t>OR0370</t>
  </si>
  <si>
    <t>OR0371</t>
  </si>
  <si>
    <t>OR0372</t>
  </si>
  <si>
    <t>OR0373</t>
  </si>
  <si>
    <t>OR0374</t>
  </si>
  <si>
    <t>OR0375</t>
  </si>
  <si>
    <t>OR0376</t>
  </si>
  <si>
    <t>OR0377</t>
  </si>
  <si>
    <t>OR0378</t>
  </si>
  <si>
    <t>OR0379</t>
  </si>
  <si>
    <t>OR0380</t>
  </si>
  <si>
    <t>OR0381</t>
  </si>
  <si>
    <t>OR0382</t>
  </si>
  <si>
    <t>OR0383</t>
  </si>
  <si>
    <t>OR0384</t>
  </si>
  <si>
    <t>OR0385</t>
  </si>
  <si>
    <t>OR0386</t>
  </si>
  <si>
    <t>OR0387</t>
  </si>
  <si>
    <t>OR0388</t>
  </si>
  <si>
    <t>OR0389</t>
  </si>
  <si>
    <t>OR0390</t>
  </si>
  <si>
    <t>OR0391</t>
  </si>
  <si>
    <t>OR0392</t>
  </si>
  <si>
    <t>OR0393</t>
  </si>
  <si>
    <t>OR0394</t>
  </si>
  <si>
    <t>OR0395</t>
  </si>
  <si>
    <t>OR0396</t>
  </si>
  <si>
    <t>OR0397</t>
  </si>
  <si>
    <t>OR0398</t>
  </si>
  <si>
    <t>OR0399</t>
  </si>
  <si>
    <t>OR0400</t>
  </si>
  <si>
    <t>OR0401</t>
  </si>
  <si>
    <t>OR0402</t>
  </si>
  <si>
    <t>OR0403</t>
  </si>
  <si>
    <t>OR0404</t>
  </si>
  <si>
    <t>OR0405</t>
  </si>
  <si>
    <t>OR0406</t>
  </si>
  <si>
    <t>OR0407</t>
  </si>
  <si>
    <t>OR0408</t>
  </si>
  <si>
    <t>OR0409</t>
  </si>
  <si>
    <t>OR0410</t>
  </si>
  <si>
    <t>OR0411</t>
  </si>
  <si>
    <t>OR0412</t>
  </si>
  <si>
    <t>OR0413</t>
  </si>
  <si>
    <t>OR0414</t>
  </si>
  <si>
    <t>OR0415</t>
  </si>
  <si>
    <t>OR0416</t>
  </si>
  <si>
    <t>OR0417</t>
  </si>
  <si>
    <t>OR0418</t>
  </si>
  <si>
    <t>OR0419</t>
  </si>
  <si>
    <t>OR0420</t>
  </si>
  <si>
    <t>OR0421</t>
  </si>
  <si>
    <t>OR0422</t>
  </si>
  <si>
    <t>OR0423</t>
  </si>
  <si>
    <t>OR0424</t>
  </si>
  <si>
    <t>OR0425</t>
  </si>
  <si>
    <t>OR0426</t>
  </si>
  <si>
    <t>OR0427</t>
  </si>
  <si>
    <t>OR0428</t>
  </si>
  <si>
    <t>OR0429</t>
  </si>
  <si>
    <t>OR0430</t>
  </si>
  <si>
    <t>OR0431</t>
  </si>
  <si>
    <t>OR0432</t>
  </si>
  <si>
    <t>OR0433</t>
  </si>
  <si>
    <t>OR0434</t>
  </si>
  <si>
    <t>OR0435</t>
  </si>
  <si>
    <t>OR0436</t>
  </si>
  <si>
    <t>OR0437</t>
  </si>
  <si>
    <t>OR0438</t>
  </si>
  <si>
    <t>OR0439</t>
  </si>
  <si>
    <t>OR0440</t>
  </si>
  <si>
    <t>OR0441</t>
  </si>
  <si>
    <t>OR0442</t>
  </si>
  <si>
    <t>OR0443</t>
  </si>
  <si>
    <t>OR0444</t>
  </si>
  <si>
    <t>OR0445</t>
  </si>
  <si>
    <t>OR0446</t>
  </si>
  <si>
    <t>OR0447</t>
  </si>
  <si>
    <t>OR0448</t>
  </si>
  <si>
    <t>OR0449</t>
  </si>
  <si>
    <t>OR0450</t>
  </si>
  <si>
    <t>OR0451</t>
  </si>
  <si>
    <t>OR0452</t>
  </si>
  <si>
    <t>OR0453</t>
  </si>
  <si>
    <t>OR0454</t>
  </si>
  <si>
    <t>OR0455</t>
  </si>
  <si>
    <t>OR0456</t>
  </si>
  <si>
    <t>OR0457</t>
  </si>
  <si>
    <t>OR0458</t>
  </si>
  <si>
    <t>OR0459</t>
  </si>
  <si>
    <t>OR0460</t>
  </si>
  <si>
    <t>OR0461</t>
  </si>
  <si>
    <t>OR0462</t>
  </si>
  <si>
    <t>OR0463</t>
  </si>
  <si>
    <t>OR0464</t>
  </si>
  <si>
    <t>OR0465</t>
  </si>
  <si>
    <t>OR0466</t>
  </si>
  <si>
    <t>OR0467</t>
  </si>
  <si>
    <t>OR0468</t>
  </si>
  <si>
    <t>OR0469</t>
  </si>
  <si>
    <t>OR0470</t>
  </si>
  <si>
    <t>OR0471</t>
  </si>
  <si>
    <t>OR0472</t>
  </si>
  <si>
    <t>OR0473</t>
  </si>
  <si>
    <t>OR0474</t>
  </si>
  <si>
    <t>OR0475</t>
  </si>
  <si>
    <t>OR0476</t>
  </si>
  <si>
    <t>OR0477</t>
  </si>
  <si>
    <t>OR0478</t>
  </si>
  <si>
    <t>OR0479</t>
  </si>
  <si>
    <t>OR0480</t>
  </si>
  <si>
    <t>OR0481</t>
  </si>
  <si>
    <t>OR0482</t>
  </si>
  <si>
    <t>OR0483</t>
  </si>
  <si>
    <t>OR0484</t>
  </si>
  <si>
    <t>OR0485</t>
  </si>
  <si>
    <t>OR0486</t>
  </si>
  <si>
    <t>OR0487</t>
  </si>
  <si>
    <t>OR0488</t>
  </si>
  <si>
    <t>OR0489</t>
  </si>
  <si>
    <t>OR0490</t>
  </si>
  <si>
    <t>OR0491</t>
  </si>
  <si>
    <t>OR0492</t>
  </si>
  <si>
    <t>OR0493</t>
  </si>
  <si>
    <t>OR0494</t>
  </si>
  <si>
    <t>OR0495</t>
  </si>
  <si>
    <t>OR0496</t>
  </si>
  <si>
    <t>OR0497</t>
  </si>
  <si>
    <t>OR0498</t>
  </si>
  <si>
    <t>OR0499</t>
  </si>
  <si>
    <t>OR0500</t>
  </si>
  <si>
    <t>OR0501</t>
  </si>
  <si>
    <t>OR0502</t>
  </si>
  <si>
    <t>OR0503</t>
  </si>
  <si>
    <t>OR0504</t>
  </si>
  <si>
    <t>OR0505</t>
  </si>
  <si>
    <t>OR0506</t>
  </si>
  <si>
    <t>OR0507</t>
  </si>
  <si>
    <t>OR0508</t>
  </si>
  <si>
    <t>OR0509</t>
  </si>
  <si>
    <t>OR0510</t>
  </si>
  <si>
    <t>OR0511</t>
  </si>
  <si>
    <t>OR0512</t>
  </si>
  <si>
    <t>OR0513</t>
  </si>
  <si>
    <t>OR0514</t>
  </si>
  <si>
    <t>OR0515</t>
  </si>
  <si>
    <t>OR0516</t>
  </si>
  <si>
    <t>OR0517</t>
  </si>
  <si>
    <t>OR0518</t>
  </si>
  <si>
    <t>OR0519</t>
  </si>
  <si>
    <t>OR0520</t>
  </si>
  <si>
    <t>OR0521</t>
  </si>
  <si>
    <t>OR0522</t>
  </si>
  <si>
    <t>OR0523</t>
  </si>
  <si>
    <t>OR0524</t>
  </si>
  <si>
    <t>OR0525</t>
  </si>
  <si>
    <t>OR0526</t>
  </si>
  <si>
    <t>OR0527</t>
  </si>
  <si>
    <t>OR0528</t>
  </si>
  <si>
    <t>OR0529</t>
  </si>
  <si>
    <t>OR0530</t>
  </si>
  <si>
    <t>OR0531</t>
  </si>
  <si>
    <t>OR0532</t>
  </si>
  <si>
    <t>OR0533</t>
  </si>
  <si>
    <t>OR0534</t>
  </si>
  <si>
    <t>OR0535</t>
  </si>
  <si>
    <t>OR0536</t>
  </si>
  <si>
    <t>OR0537</t>
  </si>
  <si>
    <t>OR0538</t>
  </si>
  <si>
    <t>OR0539</t>
  </si>
  <si>
    <t>OR0540</t>
  </si>
  <si>
    <t>OR0541</t>
  </si>
  <si>
    <t>OR0542</t>
  </si>
  <si>
    <t>OR0543</t>
  </si>
  <si>
    <t>OR0544</t>
  </si>
  <si>
    <t>OR0545</t>
  </si>
  <si>
    <t>OR0546</t>
  </si>
  <si>
    <t>OR0547</t>
  </si>
  <si>
    <t>OR0548</t>
  </si>
  <si>
    <t>OR0549</t>
  </si>
  <si>
    <t>OR0550</t>
  </si>
  <si>
    <t>OR0551</t>
  </si>
  <si>
    <t>OR0552</t>
  </si>
  <si>
    <t>OR0553</t>
  </si>
  <si>
    <t>OR0554</t>
  </si>
  <si>
    <t>OR0555</t>
  </si>
  <si>
    <t>OR0556</t>
  </si>
  <si>
    <t>OR0557</t>
  </si>
  <si>
    <t>OR0558</t>
  </si>
  <si>
    <t>OR0559</t>
  </si>
  <si>
    <t>OR0560</t>
  </si>
  <si>
    <t>OR0561</t>
  </si>
  <si>
    <t>OR0562</t>
  </si>
  <si>
    <t>OR0563</t>
  </si>
  <si>
    <t>OR0564</t>
  </si>
  <si>
    <t>OR0565</t>
  </si>
  <si>
    <t>OR0566</t>
  </si>
  <si>
    <t>OR0567</t>
  </si>
  <si>
    <t>OR0568</t>
  </si>
  <si>
    <t>OR0569</t>
  </si>
  <si>
    <t>OR0570</t>
  </si>
  <si>
    <t>OR0571</t>
  </si>
  <si>
    <t>OR0572</t>
  </si>
  <si>
    <t>OR0573</t>
  </si>
  <si>
    <t>OR0574</t>
  </si>
  <si>
    <t>OR0575</t>
  </si>
  <si>
    <t>OR0576</t>
  </si>
  <si>
    <t>OR0577</t>
  </si>
  <si>
    <t>OR0578</t>
  </si>
  <si>
    <t>OR0579</t>
  </si>
  <si>
    <t>OR0580</t>
  </si>
  <si>
    <t>OR0581</t>
  </si>
  <si>
    <t>OR0582</t>
  </si>
  <si>
    <t>OR0583</t>
  </si>
  <si>
    <t>OR0584</t>
  </si>
  <si>
    <t>OR0585</t>
  </si>
  <si>
    <t>OR0586</t>
  </si>
  <si>
    <t>OR0587</t>
  </si>
  <si>
    <t>OR0588</t>
  </si>
  <si>
    <t>OR0589</t>
  </si>
  <si>
    <t>OR0590</t>
  </si>
  <si>
    <t>OR0591</t>
  </si>
  <si>
    <t>OR0592</t>
  </si>
  <si>
    <t>OR0593</t>
  </si>
  <si>
    <t>OR0594</t>
  </si>
  <si>
    <t>OR0595</t>
  </si>
  <si>
    <t>OR0596</t>
  </si>
  <si>
    <t>OR0597</t>
  </si>
  <si>
    <t>OR0598</t>
  </si>
  <si>
    <t>OR0599</t>
  </si>
  <si>
    <t>OR0600</t>
  </si>
  <si>
    <t>OR0601</t>
  </si>
  <si>
    <t>OR0602</t>
  </si>
  <si>
    <t>OR0603</t>
  </si>
  <si>
    <t>OR0604</t>
  </si>
  <si>
    <t>OR0605</t>
  </si>
  <si>
    <t>OR0606</t>
  </si>
  <si>
    <t>OR0607</t>
  </si>
  <si>
    <t>OR0608</t>
  </si>
  <si>
    <t>OR0609</t>
  </si>
  <si>
    <t>OR0610</t>
  </si>
  <si>
    <t>OR0611</t>
  </si>
  <si>
    <t>OR0612</t>
  </si>
  <si>
    <t>OR0613</t>
  </si>
  <si>
    <t>OR0614</t>
  </si>
  <si>
    <t>OR0615</t>
  </si>
  <si>
    <t>OR0616</t>
  </si>
  <si>
    <t>OR0617</t>
  </si>
  <si>
    <t>OR0618</t>
  </si>
  <si>
    <t>OR0619</t>
  </si>
  <si>
    <t>OR0620</t>
  </si>
  <si>
    <t>OR0621</t>
  </si>
  <si>
    <t>OR0622</t>
  </si>
  <si>
    <t>OR0623</t>
  </si>
  <si>
    <t>OR0624</t>
  </si>
  <si>
    <t>OR0625</t>
  </si>
  <si>
    <t>OR0626</t>
  </si>
  <si>
    <t>OR0627</t>
  </si>
  <si>
    <t>OR0628</t>
  </si>
  <si>
    <t>OR0629</t>
  </si>
  <si>
    <t>OR0630</t>
  </si>
  <si>
    <t>OR0631</t>
  </si>
  <si>
    <t>OR0632</t>
  </si>
  <si>
    <t>OR0633</t>
  </si>
  <si>
    <t>OR0634</t>
  </si>
  <si>
    <t>OR0635</t>
  </si>
  <si>
    <t>OR0636</t>
  </si>
  <si>
    <t>OR0637</t>
  </si>
  <si>
    <t>OR0638</t>
  </si>
  <si>
    <t>OR0639</t>
  </si>
  <si>
    <t>OR0640</t>
  </si>
  <si>
    <t>OR0641</t>
  </si>
  <si>
    <t>OR0642</t>
  </si>
  <si>
    <t>OR0643</t>
  </si>
  <si>
    <t>OR0644</t>
  </si>
  <si>
    <t>OR0645</t>
  </si>
  <si>
    <t>OR0646</t>
  </si>
  <si>
    <t>OR0647</t>
  </si>
  <si>
    <t>OR0648</t>
  </si>
  <si>
    <t>OR0649</t>
  </si>
  <si>
    <t>OR0650</t>
  </si>
  <si>
    <t>OR0651</t>
  </si>
  <si>
    <t>OR0652</t>
  </si>
  <si>
    <t>OR0653</t>
  </si>
  <si>
    <t>OR0654</t>
  </si>
  <si>
    <t>OR0655</t>
  </si>
  <si>
    <t>OR0656</t>
  </si>
  <si>
    <t>OR0657</t>
  </si>
  <si>
    <t>OR0658</t>
  </si>
  <si>
    <t>OR0659</t>
  </si>
  <si>
    <t>OR0660</t>
  </si>
  <si>
    <t>OR0661</t>
  </si>
  <si>
    <t>OR0662</t>
  </si>
  <si>
    <t>OR0663</t>
  </si>
  <si>
    <t>OR0664</t>
  </si>
  <si>
    <t>OR0665</t>
  </si>
  <si>
    <t>OR0666</t>
  </si>
  <si>
    <t>OR0667</t>
  </si>
  <si>
    <t>OR0668</t>
  </si>
  <si>
    <t>OR0669</t>
  </si>
  <si>
    <t>OR0670</t>
  </si>
  <si>
    <t>OR0671</t>
  </si>
  <si>
    <t>OR0672</t>
  </si>
  <si>
    <t>OR0673</t>
  </si>
  <si>
    <t>OR0674</t>
  </si>
  <si>
    <t>OR0675</t>
  </si>
  <si>
    <t>OR0676</t>
  </si>
  <si>
    <t>OR0677</t>
  </si>
  <si>
    <t>OR0678</t>
  </si>
  <si>
    <t>OR0679</t>
  </si>
  <si>
    <t>OR0680</t>
  </si>
  <si>
    <t>OR0681</t>
  </si>
  <si>
    <t>OR0682</t>
  </si>
  <si>
    <t>OR0683</t>
  </si>
  <si>
    <t>OR0684</t>
  </si>
  <si>
    <t>OR0685</t>
  </si>
  <si>
    <t>OR0686</t>
  </si>
  <si>
    <t>OR0687</t>
  </si>
  <si>
    <t>OR0688</t>
  </si>
  <si>
    <t>OR0689</t>
  </si>
  <si>
    <t>OR0690</t>
  </si>
  <si>
    <t>OR0691</t>
  </si>
  <si>
    <t>OR0692</t>
  </si>
  <si>
    <t>OR0693</t>
  </si>
  <si>
    <t>OR0694</t>
  </si>
  <si>
    <t>OR0695</t>
  </si>
  <si>
    <t>OR0696</t>
  </si>
  <si>
    <t>OR0697</t>
  </si>
  <si>
    <t>OR0698</t>
  </si>
  <si>
    <t>OR0699</t>
  </si>
  <si>
    <t>OR0700</t>
  </si>
  <si>
    <t>OR0701</t>
  </si>
  <si>
    <t>OR0702</t>
  </si>
  <si>
    <t>OR0703</t>
  </si>
  <si>
    <t>OR0704</t>
  </si>
  <si>
    <t>OR0705</t>
  </si>
  <si>
    <t>OR0706</t>
  </si>
  <si>
    <t>OR0707</t>
  </si>
  <si>
    <t>OR0708</t>
  </si>
  <si>
    <t>OR0709</t>
  </si>
  <si>
    <t>OR0710</t>
  </si>
  <si>
    <t>OR0711</t>
  </si>
  <si>
    <t>OR0712</t>
  </si>
  <si>
    <t>OR0713</t>
  </si>
  <si>
    <t>OR0714</t>
  </si>
  <si>
    <t>OR0715</t>
  </si>
  <si>
    <t>OR0716</t>
  </si>
  <si>
    <t>OR0717</t>
  </si>
  <si>
    <t>OR0718</t>
  </si>
  <si>
    <t>OR0719</t>
  </si>
  <si>
    <t>OR0720</t>
  </si>
  <si>
    <t>OR0721</t>
  </si>
  <si>
    <t>OR0722</t>
  </si>
  <si>
    <t>OR0723</t>
  </si>
  <si>
    <t>OR0724</t>
  </si>
  <si>
    <t>OR0725</t>
  </si>
  <si>
    <t>OR0726</t>
  </si>
  <si>
    <t>OR0727</t>
  </si>
  <si>
    <t>OR0728</t>
  </si>
  <si>
    <t>OR0729</t>
  </si>
  <si>
    <t>OR0730</t>
  </si>
  <si>
    <t>OR0731</t>
  </si>
  <si>
    <t>OR0732</t>
  </si>
  <si>
    <t>OR0733</t>
  </si>
  <si>
    <t>OR0734</t>
  </si>
  <si>
    <t>OR0735</t>
  </si>
  <si>
    <t>OR0736</t>
  </si>
  <si>
    <t>OR0737</t>
  </si>
  <si>
    <t>OR0738</t>
  </si>
  <si>
    <t>OR0739</t>
  </si>
  <si>
    <t>OR0740</t>
  </si>
  <si>
    <t>OR0741</t>
  </si>
  <si>
    <t>OR0742</t>
  </si>
  <si>
    <t>OR0743</t>
  </si>
  <si>
    <t>OR0744</t>
  </si>
  <si>
    <t>OR0745</t>
  </si>
  <si>
    <t>OR0746</t>
  </si>
  <si>
    <t>OR0747</t>
  </si>
  <si>
    <t>OR0748</t>
  </si>
  <si>
    <t>OR0749</t>
  </si>
  <si>
    <t>OR0750</t>
  </si>
  <si>
    <t>OR0751</t>
  </si>
  <si>
    <t>OR0752</t>
  </si>
  <si>
    <t>OR0753</t>
  </si>
  <si>
    <t>OR0754</t>
  </si>
  <si>
    <t>OR0755</t>
  </si>
  <si>
    <t>OR0756</t>
  </si>
  <si>
    <t>OR0757</t>
  </si>
  <si>
    <t>OR0758</t>
  </si>
  <si>
    <t>OR0759</t>
  </si>
  <si>
    <t>OR0760</t>
  </si>
  <si>
    <t>OR0761</t>
  </si>
  <si>
    <t>OR0762</t>
  </si>
  <si>
    <t>OR0763</t>
  </si>
  <si>
    <t>OR0764</t>
  </si>
  <si>
    <t>OR0765</t>
  </si>
  <si>
    <t>OR0766</t>
  </si>
  <si>
    <t>OR0767</t>
  </si>
  <si>
    <t>OR0768</t>
  </si>
  <si>
    <t>OR0769</t>
  </si>
  <si>
    <t>OR0770</t>
  </si>
  <si>
    <t>OR0771</t>
  </si>
  <si>
    <t>OR0772</t>
  </si>
  <si>
    <t>OR0773</t>
  </si>
  <si>
    <t>OR0774</t>
  </si>
  <si>
    <t>OR0775</t>
  </si>
  <si>
    <t>OR0776</t>
  </si>
  <si>
    <t>OR0777</t>
  </si>
  <si>
    <t>OR0778</t>
  </si>
  <si>
    <t>OR0779</t>
  </si>
  <si>
    <t>OR0780</t>
  </si>
  <si>
    <t>OR0781</t>
  </si>
  <si>
    <t>OR0782</t>
  </si>
  <si>
    <t>OR0783</t>
  </si>
  <si>
    <t>OR0784</t>
  </si>
  <si>
    <t>OR0785</t>
  </si>
  <si>
    <t>OR0786</t>
  </si>
  <si>
    <t>OR0787</t>
  </si>
  <si>
    <t>OR0788</t>
  </si>
  <si>
    <t>OR0789</t>
  </si>
  <si>
    <t>OR0790</t>
  </si>
  <si>
    <t>OR0791</t>
  </si>
  <si>
    <t>OR0792</t>
  </si>
  <si>
    <t>OR0793</t>
  </si>
  <si>
    <t>OR0794</t>
  </si>
  <si>
    <t>OR0795</t>
  </si>
  <si>
    <t>OR0796</t>
  </si>
  <si>
    <t>OR0797</t>
  </si>
  <si>
    <t>OR0798</t>
  </si>
  <si>
    <t>OR0799</t>
  </si>
  <si>
    <t>OR0800</t>
  </si>
  <si>
    <t>OR0801</t>
  </si>
  <si>
    <t>OR0802</t>
  </si>
  <si>
    <t>OR0803</t>
  </si>
  <si>
    <t>OR0804</t>
  </si>
  <si>
    <t>OR0805</t>
  </si>
  <si>
    <t>OR0806</t>
  </si>
  <si>
    <t>OR0807</t>
  </si>
  <si>
    <t>OR0808</t>
  </si>
  <si>
    <t>OR0809</t>
  </si>
  <si>
    <t>OR0810</t>
  </si>
  <si>
    <t>OR0811</t>
  </si>
  <si>
    <t>OR0812</t>
  </si>
  <si>
    <t>OR0813</t>
  </si>
  <si>
    <t>OR0814</t>
  </si>
  <si>
    <t>OR0815</t>
  </si>
  <si>
    <t>OR0816</t>
  </si>
  <si>
    <t>OR0817</t>
  </si>
  <si>
    <t>OR0818</t>
  </si>
  <si>
    <t>OR0819</t>
  </si>
  <si>
    <t>OR0820</t>
  </si>
  <si>
    <t>OR0821</t>
  </si>
  <si>
    <t>OR0822</t>
  </si>
  <si>
    <t>OR0823</t>
  </si>
  <si>
    <t>OR0824</t>
  </si>
  <si>
    <t>OR0825</t>
  </si>
  <si>
    <t>OR0826</t>
  </si>
  <si>
    <t>OR0827</t>
  </si>
  <si>
    <t>OR0828</t>
  </si>
  <si>
    <t>OR0829</t>
  </si>
  <si>
    <t>OR0830</t>
  </si>
  <si>
    <t>OR0831</t>
  </si>
  <si>
    <t>OR0832</t>
  </si>
  <si>
    <t>OR0833</t>
  </si>
  <si>
    <t>OR0834</t>
  </si>
  <si>
    <t>OR0835</t>
  </si>
  <si>
    <t>OR0836</t>
  </si>
  <si>
    <t>OR0837</t>
  </si>
  <si>
    <t>OR0838</t>
  </si>
  <si>
    <t>OR0839</t>
  </si>
  <si>
    <t>OR0840</t>
  </si>
  <si>
    <t>OR0841</t>
  </si>
  <si>
    <t>OR0842</t>
  </si>
  <si>
    <t>OR0843</t>
  </si>
  <si>
    <t>OR0844</t>
  </si>
  <si>
    <t>OR0845</t>
  </si>
  <si>
    <t>OR0846</t>
  </si>
  <si>
    <t>OR0847</t>
  </si>
  <si>
    <t>OR0848</t>
  </si>
  <si>
    <t>OR0849</t>
  </si>
  <si>
    <t>OR0850</t>
  </si>
  <si>
    <t>OR0851</t>
  </si>
  <si>
    <t>OR0852</t>
  </si>
  <si>
    <t>OR0853</t>
  </si>
  <si>
    <t>OR0854</t>
  </si>
  <si>
    <t>OR0855</t>
  </si>
  <si>
    <t>OR0856</t>
  </si>
  <si>
    <t>OR0857</t>
  </si>
  <si>
    <t>OR0858</t>
  </si>
  <si>
    <t>OR0859</t>
  </si>
  <si>
    <t>OR0860</t>
  </si>
  <si>
    <t>OR0861</t>
  </si>
  <si>
    <t>OR0862</t>
  </si>
  <si>
    <t>OR0863</t>
  </si>
  <si>
    <t>OR0864</t>
  </si>
  <si>
    <t>OR0865</t>
  </si>
  <si>
    <t>OR0866</t>
  </si>
  <si>
    <t>OR0867</t>
  </si>
  <si>
    <t>OR0868</t>
  </si>
  <si>
    <t>OR0869</t>
  </si>
  <si>
    <t>OR0870</t>
  </si>
  <si>
    <t>OR0871</t>
  </si>
  <si>
    <t>OR0872</t>
  </si>
  <si>
    <t>OR0873</t>
  </si>
  <si>
    <t>OR0874</t>
  </si>
  <si>
    <t>OR0875</t>
  </si>
  <si>
    <t>OR0876</t>
  </si>
  <si>
    <t>OR0877</t>
  </si>
  <si>
    <t>OR0878</t>
  </si>
  <si>
    <t>OR0879</t>
  </si>
  <si>
    <t>OR0880</t>
  </si>
  <si>
    <t>OR0881</t>
  </si>
  <si>
    <t>OR0882</t>
  </si>
  <si>
    <t>OR0883</t>
  </si>
  <si>
    <t>OR0884</t>
  </si>
  <si>
    <t>OR0885</t>
  </si>
  <si>
    <t>OR0886</t>
  </si>
  <si>
    <t>OR0887</t>
  </si>
  <si>
    <t>OR0888</t>
  </si>
  <si>
    <t>OR0889</t>
  </si>
  <si>
    <t>OR0890</t>
  </si>
  <si>
    <t>OR0891</t>
  </si>
  <si>
    <t>OR0892</t>
  </si>
  <si>
    <t>OR0893</t>
  </si>
  <si>
    <t>OR0894</t>
  </si>
  <si>
    <t>OR0895</t>
  </si>
  <si>
    <t>OR0896</t>
  </si>
  <si>
    <t>OR0897</t>
  </si>
  <si>
    <t>OR0898</t>
  </si>
  <si>
    <t>OR0899</t>
  </si>
  <si>
    <t>OR0900</t>
  </si>
  <si>
    <t>OR0901</t>
  </si>
  <si>
    <t>OR0902</t>
  </si>
  <si>
    <t>OR0903</t>
  </si>
  <si>
    <t>OR0904</t>
  </si>
  <si>
    <t>OR0905</t>
  </si>
  <si>
    <t>OR0906</t>
  </si>
  <si>
    <t>OR0907</t>
  </si>
  <si>
    <t>OR0908</t>
  </si>
  <si>
    <t>OR0909</t>
  </si>
  <si>
    <t>OR0910</t>
  </si>
  <si>
    <t>OR0911</t>
  </si>
  <si>
    <t>OR0912</t>
  </si>
  <si>
    <t>OR0913</t>
  </si>
  <si>
    <t>OR0914</t>
  </si>
  <si>
    <t>OR0915</t>
  </si>
  <si>
    <t>OR0916</t>
  </si>
  <si>
    <t>OR0917</t>
  </si>
  <si>
    <t>OR0918</t>
  </si>
  <si>
    <t>OR0919</t>
  </si>
  <si>
    <t>OR0920</t>
  </si>
  <si>
    <t>OR0921</t>
  </si>
  <si>
    <t>OR0922</t>
  </si>
  <si>
    <t>OR0923</t>
  </si>
  <si>
    <t>OR0924</t>
  </si>
  <si>
    <t>OR0925</t>
  </si>
  <si>
    <t>OR0926</t>
  </si>
  <si>
    <t>OR0927</t>
  </si>
  <si>
    <t>OR0928</t>
  </si>
  <si>
    <t>OR0929</t>
  </si>
  <si>
    <t>OR0930</t>
  </si>
  <si>
    <t>OR0931</t>
  </si>
  <si>
    <t>OR0932</t>
  </si>
  <si>
    <t>OR0933</t>
  </si>
  <si>
    <t>OR0934</t>
  </si>
  <si>
    <t>OR0935</t>
  </si>
  <si>
    <t>OR0936</t>
  </si>
  <si>
    <t>OR0937</t>
  </si>
  <si>
    <t>OR0938</t>
  </si>
  <si>
    <t>OR0939</t>
  </si>
  <si>
    <t>OR0940</t>
  </si>
  <si>
    <t>OR0941</t>
  </si>
  <si>
    <t>OR0942</t>
  </si>
  <si>
    <t>OR0943</t>
  </si>
  <si>
    <t>OR0944</t>
  </si>
  <si>
    <t>OR0945</t>
  </si>
  <si>
    <t>OR0946</t>
  </si>
  <si>
    <t>OR0947</t>
  </si>
  <si>
    <t>OR0948</t>
  </si>
  <si>
    <t>OR0949</t>
  </si>
  <si>
    <t>OR0950</t>
  </si>
  <si>
    <t>OR0951</t>
  </si>
  <si>
    <t>OR0952</t>
  </si>
  <si>
    <t>OR0953</t>
  </si>
  <si>
    <t>OR0954</t>
  </si>
  <si>
    <t>OR0955</t>
  </si>
  <si>
    <t>OR0956</t>
  </si>
  <si>
    <t>OR0957</t>
  </si>
  <si>
    <t>OR0958</t>
  </si>
  <si>
    <t>OR0959</t>
  </si>
  <si>
    <t>OR0960</t>
  </si>
  <si>
    <t>OR0961</t>
  </si>
  <si>
    <t>OR0962</t>
  </si>
  <si>
    <t>OR0963</t>
  </si>
  <si>
    <t>OR0964</t>
  </si>
  <si>
    <t>OR0965</t>
  </si>
  <si>
    <t>OR0966</t>
  </si>
  <si>
    <t>OR0967</t>
  </si>
  <si>
    <t>OR0968</t>
  </si>
  <si>
    <t>OR0969</t>
  </si>
  <si>
    <t>OR0970</t>
  </si>
  <si>
    <t>OR0971</t>
  </si>
  <si>
    <t>OR0972</t>
  </si>
  <si>
    <t>OR0973</t>
  </si>
  <si>
    <t>OR0974</t>
  </si>
  <si>
    <t>OR0975</t>
  </si>
  <si>
    <t>OR0976</t>
  </si>
  <si>
    <t>OR0977</t>
  </si>
  <si>
    <t>OR0978</t>
  </si>
  <si>
    <t>OR0979</t>
  </si>
  <si>
    <t>OR0980</t>
  </si>
  <si>
    <t>OR0981</t>
  </si>
  <si>
    <t>OR0982</t>
  </si>
  <si>
    <t>OR0983</t>
  </si>
  <si>
    <t>OR0984</t>
  </si>
  <si>
    <t>OR0985</t>
  </si>
  <si>
    <t>OR0986</t>
  </si>
  <si>
    <t>OR0987</t>
  </si>
  <si>
    <t>OR0988</t>
  </si>
  <si>
    <t>OR0989</t>
  </si>
  <si>
    <t>OR0990</t>
  </si>
  <si>
    <t>OR0991</t>
  </si>
  <si>
    <t>OR0992</t>
  </si>
  <si>
    <t>OR0993</t>
  </si>
  <si>
    <t>OR0994</t>
  </si>
  <si>
    <t>OR0995</t>
  </si>
  <si>
    <t>OR0996</t>
  </si>
  <si>
    <t>OR0997</t>
  </si>
  <si>
    <t>OR0998</t>
  </si>
  <si>
    <t>OR0999</t>
  </si>
  <si>
    <t>OR1000</t>
  </si>
  <si>
    <t>KPI</t>
  </si>
  <si>
    <t>RESULT</t>
  </si>
  <si>
    <t>Total Revenue</t>
  </si>
  <si>
    <t>Average Order Value (AOV)</t>
  </si>
  <si>
    <t>Total Order</t>
  </si>
  <si>
    <t>Gross Profit / loss</t>
  </si>
  <si>
    <t>Gross profit/loss</t>
  </si>
  <si>
    <t>Total Unit Cost</t>
  </si>
  <si>
    <t xml:space="preserve"> Unit  price per quantity</t>
  </si>
  <si>
    <t xml:space="preserve"> Unit cost per quantity</t>
  </si>
  <si>
    <t>Month</t>
  </si>
  <si>
    <t>Year</t>
  </si>
  <si>
    <t>MRR</t>
  </si>
  <si>
    <t>Jan</t>
  </si>
  <si>
    <t>Feb</t>
  </si>
  <si>
    <t>Mar</t>
  </si>
  <si>
    <t>Apr</t>
  </si>
  <si>
    <t>May</t>
  </si>
  <si>
    <t>Jun</t>
  </si>
  <si>
    <t>Jul</t>
  </si>
  <si>
    <t>Aug</t>
  </si>
  <si>
    <t>Sep</t>
  </si>
  <si>
    <t>Oct</t>
  </si>
  <si>
    <t>Nov</t>
  </si>
  <si>
    <t>Dec</t>
  </si>
  <si>
    <t>Result</t>
  </si>
  <si>
    <t xml:space="preserve">Delivered </t>
  </si>
  <si>
    <t>Grand Total</t>
  </si>
  <si>
    <t>Months</t>
  </si>
  <si>
    <t>MRR.</t>
  </si>
  <si>
    <t>States</t>
  </si>
  <si>
    <t>Revenue</t>
  </si>
  <si>
    <t>Biodegradable Cleaning Cloth</t>
  </si>
  <si>
    <t>Compostable Plant Pots</t>
  </si>
  <si>
    <t>Eco Canvas Tote Bag</t>
  </si>
  <si>
    <t>Reusable Bamboo Utensil Set</t>
  </si>
  <si>
    <t>Solar Led Lantern</t>
  </si>
  <si>
    <t>Qty Sold</t>
  </si>
  <si>
    <t>Gross Profit</t>
  </si>
  <si>
    <t>RESULT.</t>
  </si>
  <si>
    <t xml:space="preserve">  Result</t>
  </si>
  <si>
    <t>Delivery Rate</t>
  </si>
  <si>
    <t>Mason Johnson</t>
  </si>
  <si>
    <t>Aiden Davis</t>
  </si>
  <si>
    <t>Mia Jones</t>
  </si>
  <si>
    <t>Liam Garcia</t>
  </si>
  <si>
    <t>Ethan Miller</t>
  </si>
  <si>
    <t>Charlotte Jones</t>
  </si>
  <si>
    <t>Mia Johnson</t>
  </si>
  <si>
    <t>Ava Martinez</t>
  </si>
  <si>
    <t>Harper Davis</t>
  </si>
  <si>
    <t>Oliver Miller</t>
  </si>
  <si>
    <t>Sophia Rodriguez</t>
  </si>
  <si>
    <t>Isabella Johnson</t>
  </si>
  <si>
    <t>Evelyn Smith</t>
  </si>
  <si>
    <t>Olivia Martinez</t>
  </si>
  <si>
    <t>Ava Jones</t>
  </si>
  <si>
    <t>Harper Miller</t>
  </si>
  <si>
    <t>Evelyn Martinez</t>
  </si>
  <si>
    <t>Liam Rodriguez</t>
  </si>
  <si>
    <t>Charlotte Garcia</t>
  </si>
  <si>
    <t>Lucas Garcia</t>
  </si>
  <si>
    <t>Olivia Miller</t>
  </si>
  <si>
    <t>Mason Rodriguez</t>
  </si>
  <si>
    <t>Noah Martinez</t>
  </si>
  <si>
    <t>Aiden Brown</t>
  </si>
  <si>
    <t>Emma Smith</t>
  </si>
  <si>
    <t>Mia Rodriguez</t>
  </si>
  <si>
    <t>Olivia Garcia</t>
  </si>
  <si>
    <t>Olivia Johnson</t>
  </si>
  <si>
    <t>Ethan Jones</t>
  </si>
  <si>
    <t>Ethan Martinez</t>
  </si>
  <si>
    <t>Lucas Williams</t>
  </si>
  <si>
    <t>Logan Rodriguez</t>
  </si>
  <si>
    <t>James Smith</t>
  </si>
  <si>
    <t>Mason Miller</t>
  </si>
  <si>
    <t>Charlotte Davis</t>
  </si>
  <si>
    <t>Oliver Johnson</t>
  </si>
  <si>
    <t>Isabella Jones</t>
  </si>
  <si>
    <t>Isabella Rodriguez</t>
  </si>
  <si>
    <t>Harper Brown</t>
  </si>
  <si>
    <t>Mason Williams</t>
  </si>
  <si>
    <t>Ethan Rodriguez</t>
  </si>
  <si>
    <t>James Garcia</t>
  </si>
  <si>
    <t>Mia Miller</t>
  </si>
  <si>
    <t>Sophia Brown</t>
  </si>
  <si>
    <t>Aiden Jones</t>
  </si>
  <si>
    <t>Elijah Davis</t>
  </si>
  <si>
    <t>Sophia Martinez</t>
  </si>
  <si>
    <t>Amelia Garcia</t>
  </si>
  <si>
    <t>Ava Rodriguez</t>
  </si>
  <si>
    <t>Emma Davis</t>
  </si>
  <si>
    <t>James Williams</t>
  </si>
  <si>
    <t>Liam Smith</t>
  </si>
  <si>
    <t>Logan Smith</t>
  </si>
  <si>
    <t>Ethan Williams</t>
  </si>
  <si>
    <t>Evelyn Miller</t>
  </si>
  <si>
    <t>Harper Smith</t>
  </si>
  <si>
    <t>Mason Davis</t>
  </si>
  <si>
    <t>Ava Miller</t>
  </si>
  <si>
    <t>Isabella Garcia</t>
  </si>
  <si>
    <t>Mia Davis</t>
  </si>
  <si>
    <t>Noah Brown</t>
  </si>
  <si>
    <t>Harper Rodriguez</t>
  </si>
  <si>
    <t>Mia Brown</t>
  </si>
  <si>
    <t>Noah Garcia</t>
  </si>
  <si>
    <t>Ava Davis</t>
  </si>
  <si>
    <t>Ava Brown</t>
  </si>
  <si>
    <t>Charlotte Johnson</t>
  </si>
  <si>
    <t>Ava Smith</t>
  </si>
  <si>
    <t>Noah Williams</t>
  </si>
  <si>
    <t>Elijah Martinez</t>
  </si>
  <si>
    <t>Elijah Williams</t>
  </si>
  <si>
    <t>James Brown</t>
  </si>
  <si>
    <t>Aiden Williams</t>
  </si>
  <si>
    <t>Harper Jones</t>
  </si>
  <si>
    <t>Amelia Johnson</t>
  </si>
  <si>
    <t>Oliver Smith</t>
  </si>
  <si>
    <t>Noah Rodriguez</t>
  </si>
  <si>
    <t>Emma Brown</t>
  </si>
  <si>
    <t>Sophia Davis</t>
  </si>
  <si>
    <t>Aiden Rodriguez</t>
  </si>
  <si>
    <t>Liam Jones</t>
  </si>
  <si>
    <t>Liam Johnson</t>
  </si>
  <si>
    <t>Ethan Johnson</t>
  </si>
  <si>
    <t>Lucas Brown</t>
  </si>
  <si>
    <t>Amelia Miller</t>
  </si>
  <si>
    <t>Liam Brown</t>
  </si>
  <si>
    <t>Sophia Garcia</t>
  </si>
  <si>
    <t>Elijah Brown</t>
  </si>
  <si>
    <t>Evelyn Garcia</t>
  </si>
  <si>
    <t>James Miller</t>
  </si>
  <si>
    <t>Lucas Smith</t>
  </si>
  <si>
    <t>Lucas Rodriguez</t>
  </si>
  <si>
    <t>Noah Smith</t>
  </si>
  <si>
    <t>Isabella Miller</t>
  </si>
  <si>
    <t>Aiden Garcia</t>
  </si>
  <si>
    <t>Aiden Smith</t>
  </si>
  <si>
    <t>Logan Johnson</t>
  </si>
  <si>
    <t>Amelia Jones</t>
  </si>
  <si>
    <t>Isabella Brown</t>
  </si>
  <si>
    <t>Elijah Garcia</t>
  </si>
  <si>
    <t>Olivia Williams</t>
  </si>
  <si>
    <t>Ethan Garcia</t>
  </si>
  <si>
    <t>Harper Garcia</t>
  </si>
  <si>
    <t>Logan Miller</t>
  </si>
  <si>
    <t>Isabella Williams</t>
  </si>
  <si>
    <t>Logan Martinez</t>
  </si>
  <si>
    <t>Elijah Smith</t>
  </si>
  <si>
    <t>Liam Miller</t>
  </si>
  <si>
    <t>Evelyn Brown</t>
  </si>
  <si>
    <t>Elijah Jones</t>
  </si>
  <si>
    <t>Mia Martinez</t>
  </si>
  <si>
    <t>James Jones</t>
  </si>
  <si>
    <t>Aiden Miller</t>
  </si>
  <si>
    <t>Oliver Jones</t>
  </si>
  <si>
    <t>Ava Garcia</t>
  </si>
  <si>
    <t>Liam Davis</t>
  </si>
  <si>
    <t>Mason Jones</t>
  </si>
  <si>
    <t>Sophia Johnson</t>
  </si>
  <si>
    <t>Aiden Martinez</t>
  </si>
  <si>
    <t>Amelia Martinez</t>
  </si>
  <si>
    <t>Emma Garcia</t>
  </si>
  <si>
    <t>Olivia Jones</t>
  </si>
  <si>
    <t>Logan Jones</t>
  </si>
  <si>
    <t>Olivia Davis</t>
  </si>
  <si>
    <t>Harper Martinez</t>
  </si>
  <si>
    <t>Lucas Jones</t>
  </si>
  <si>
    <t>average order value</t>
  </si>
  <si>
    <t>TOTAL REVENUE</t>
  </si>
  <si>
    <t>AVERAGE ORDER VALUE PER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</si>
</sst>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quot;-&quot;??_);_(@_)"/>
    <numFmt numFmtId="166" formatCode="yyyy\-mm\-dd"/>
    <numFmt numFmtId="167" formatCode="&quot;$&quot;#,##0.00"/>
    <numFmt numFmtId="168" formatCode="&quot;$&quot;#,##0"/>
    <numFmt numFmtId="169" formatCode="0.0%"/>
    <numFmt numFmtId="170" formatCode="&quot;$&quot;#,##0.000"/>
    <numFmt numFmtId="171" formatCode="_(* #,##0_);_(* \(#,##0\);_(* &quot;-&quot;??_);_(@_)"/>
  </numFmts>
  <fonts count="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4">
    <xf numFmtId="0" fontId="0" fillId="0" borderId="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top"/>
    </xf>
    <xf numFmtId="166"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14" fontId="0" fillId="0" borderId="0" xfId="0" applyNumberFormat="1"/>
    <xf numFmtId="49" fontId="1" fillId="0" borderId="2" xfId="0" applyNumberFormat="1" applyFont="1" applyBorder="1" applyAlignment="1">
      <alignment horizontal="center" vertical="top"/>
    </xf>
    <xf numFmtId="49" fontId="0" fillId="0" borderId="0" xfId="0" applyNumberFormat="1"/>
    <xf numFmtId="1" fontId="1" fillId="0" borderId="2" xfId="0" applyNumberFormat="1" applyFont="1" applyBorder="1" applyAlignment="1">
      <alignment horizontal="center" vertical="top"/>
    </xf>
    <xf numFmtId="1" fontId="0" fillId="0" borderId="0" xfId="0" applyNumberFormat="1"/>
    <xf numFmtId="168" fontId="1" fillId="0" borderId="2" xfId="1" applyNumberFormat="1" applyFont="1" applyBorder="1" applyAlignment="1">
      <alignment horizontal="center" vertical="top"/>
    </xf>
    <xf numFmtId="168" fontId="0" fillId="0" borderId="0" xfId="1" applyNumberFormat="1" applyFont="1"/>
    <xf numFmtId="167" fontId="1" fillId="0" borderId="2" xfId="0" applyNumberFormat="1" applyFont="1" applyBorder="1" applyAlignment="1">
      <alignment horizontal="center" vertical="top"/>
    </xf>
    <xf numFmtId="167" fontId="0" fillId="0" borderId="0" xfId="0" applyNumberFormat="1"/>
    <xf numFmtId="168" fontId="0" fillId="0" borderId="0" xfId="0" applyNumberFormat="1"/>
    <xf numFmtId="167" fontId="0" fillId="2" borderId="1" xfId="0" applyNumberFormat="1" applyFill="1" applyBorder="1"/>
    <xf numFmtId="167" fontId="0" fillId="2" borderId="0" xfId="0" applyNumberFormat="1" applyFill="1"/>
    <xf numFmtId="0" fontId="0" fillId="3" borderId="0" xfId="0" applyFill="1"/>
    <xf numFmtId="168" fontId="0" fillId="3" borderId="0" xfId="0" applyNumberFormat="1" applyFill="1"/>
    <xf numFmtId="170" fontId="0" fillId="3" borderId="0" xfId="0" applyNumberFormat="1" applyFill="1"/>
    <xf numFmtId="167" fontId="0" fillId="3" borderId="0" xfId="0" applyNumberFormat="1" applyFill="1"/>
    <xf numFmtId="0" fontId="4" fillId="3" borderId="0" xfId="0" applyFont="1" applyFill="1"/>
    <xf numFmtId="0" fontId="5" fillId="3" borderId="3" xfId="0" applyFont="1" applyFill="1" applyBorder="1"/>
    <xf numFmtId="0" fontId="5" fillId="3" borderId="4" xfId="0" applyFont="1" applyFill="1" applyBorder="1"/>
    <xf numFmtId="0" fontId="0" fillId="3" borderId="5" xfId="0" applyFill="1" applyBorder="1"/>
    <xf numFmtId="169" fontId="0" fillId="3" borderId="6" xfId="2" applyNumberFormat="1" applyFont="1" applyFill="1" applyBorder="1"/>
    <xf numFmtId="0" fontId="0" fillId="3" borderId="7" xfId="0" applyFill="1" applyBorder="1"/>
    <xf numFmtId="169" fontId="0" fillId="3" borderId="8" xfId="2" applyNumberFormat="1" applyFont="1" applyFill="1" applyBorder="1"/>
    <xf numFmtId="0" fontId="0" fillId="0" borderId="0" xfId="0" pivotButton="1"/>
    <xf numFmtId="0" fontId="0" fillId="0" borderId="0" xfId="0" applyAlignment="1">
      <alignment horizontal="left"/>
    </xf>
    <xf numFmtId="169" fontId="0" fillId="0" borderId="0" xfId="0" applyNumberFormat="1"/>
    <xf numFmtId="0" fontId="0" fillId="4" borderId="0" xfId="0" applyFill="1"/>
    <xf numFmtId="164" fontId="0" fillId="0" borderId="0" xfId="1" applyFont="1"/>
    <xf numFmtId="171" fontId="0" fillId="0" borderId="0" xfId="3" applyNumberFormat="1" applyFont="1"/>
    <xf numFmtId="10" fontId="0" fillId="0" borderId="0" xfId="0" applyNumberFormat="1"/>
  </cellXfs>
  <cellStyles count="4">
    <cellStyle name="Comma" xfId="3" builtinId="3"/>
    <cellStyle name="Currency" xfId="1" builtinId="4"/>
    <cellStyle name="Normal" xfId="0" builtinId="0"/>
    <cellStyle name="Percent" xfId="2" builtinId="5"/>
  </cellStyles>
  <dxfs count="28">
    <dxf>
      <fill>
        <patternFill patternType="solid">
          <fgColor indexed="64"/>
          <bgColor theme="4"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4" tint="0.79998168889431442"/>
        </patternFill>
      </fill>
    </dxf>
    <dxf>
      <font>
        <b val="0"/>
        <i val="0"/>
        <strike val="0"/>
        <condense val="0"/>
        <extend val="0"/>
        <outline val="0"/>
        <shadow val="0"/>
        <u val="none"/>
        <vertAlign val="baseline"/>
        <sz val="11"/>
        <color theme="1"/>
        <name val="Calibri"/>
        <family val="2"/>
        <scheme val="minor"/>
      </font>
      <numFmt numFmtId="169" formatCode="0.0%"/>
      <fill>
        <patternFill patternType="solid">
          <fgColor indexed="64"/>
          <bgColor theme="4" tint="0.79998168889431442"/>
        </patternFill>
      </fill>
      <border diagonalUp="0" diagonalDown="0" outline="0">
        <left style="thin">
          <color auto="1"/>
        </left>
        <right/>
        <top style="thin">
          <color auto="1"/>
        </top>
        <bottom style="thin">
          <color auto="1"/>
        </bottom>
      </border>
    </dxf>
    <dxf>
      <fill>
        <patternFill patternType="solid">
          <fgColor indexed="64"/>
          <bgColor theme="4" tint="0.79998168889431442"/>
        </patternFill>
      </fill>
      <border diagonalUp="0" diagonalDown="0" outline="0">
        <left/>
        <right style="thin">
          <color auto="1"/>
        </right>
        <top style="thin">
          <color auto="1"/>
        </top>
        <bottom style="thin">
          <color auto="1"/>
        </bottom>
      </border>
    </dxf>
    <dxf>
      <border>
        <top style="thin">
          <color auto="1"/>
        </top>
      </border>
    </dxf>
    <dxf>
      <border diagonalUp="0" diagonalDown="0">
        <left style="thin">
          <color auto="1"/>
        </left>
        <right style="thin">
          <color auto="1"/>
        </right>
        <top style="thin">
          <color auto="1"/>
        </top>
        <bottom style="thin">
          <color auto="1"/>
        </bottom>
      </border>
    </dxf>
    <dxf>
      <fill>
        <patternFill patternType="solid">
          <fgColor indexed="64"/>
          <bgColor theme="4" tint="0.79998168889431442"/>
        </patternFill>
      </fill>
    </dxf>
    <dxf>
      <border>
        <bottom style="thin">
          <color auto="1"/>
        </bottom>
      </border>
    </dxf>
    <dxf>
      <fill>
        <patternFill patternType="solid">
          <fgColor indexed="64"/>
          <bgColor theme="4" tint="0.79998168889431442"/>
        </patternFill>
      </fill>
      <border diagonalUp="0" diagonalDown="0" outline="0">
        <left style="thin">
          <color auto="1"/>
        </left>
        <right style="thin">
          <color auto="1"/>
        </right>
        <top/>
        <bottom/>
      </border>
    </dxf>
    <dxf>
      <numFmt numFmtId="168" formatCode="&quot;$&quot;#,##0"/>
    </dxf>
    <dxf>
      <numFmt numFmtId="168" formatCode="&quot;$&quot;#,##0"/>
    </dxf>
    <dxf>
      <numFmt numFmtId="167" formatCode="&quot;$&quot;#,##0.00"/>
    </dxf>
    <dxf>
      <numFmt numFmtId="167" formatCode="&quot;$&quot;#,##0.00"/>
    </dxf>
    <dxf>
      <numFmt numFmtId="168" formatCode="&quot;$&quot;#,##0"/>
    </dxf>
    <dxf>
      <numFmt numFmtId="30" formatCode="@"/>
    </dxf>
    <dxf>
      <numFmt numFmtId="30" formatCode="@"/>
    </dxf>
    <dxf>
      <numFmt numFmtId="0" formatCode="General"/>
    </dxf>
    <dxf>
      <numFmt numFmtId="167" formatCode="&quot;$&quot;#,##0.00"/>
    </dxf>
    <dxf>
      <numFmt numFmtId="168" formatCode="&quot;$&quot;#,##0"/>
    </dxf>
    <dxf>
      <numFmt numFmtId="1" formatCode="0"/>
    </dxf>
    <dxf>
      <numFmt numFmtId="30" formatCode="@"/>
    </dxf>
    <dxf>
      <numFmt numFmtId="172" formatCode="m/d/yyyy"/>
    </dxf>
    <dxf>
      <numFmt numFmtId="172" formatCode="m/d/yyyy"/>
    </dxf>
    <dxf>
      <numFmt numFmtId="172" formatCode="m/d/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EECE2"/>
      <color rgb="FFF6F5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PROJECT.xlsx]Pivot table!SALESTREND</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Georgia" panose="02040502050405020303" pitchFamily="18" charset="0"/>
              </a:rPr>
              <a:t>SALES</a:t>
            </a:r>
            <a:r>
              <a:rPr lang="en-US" baseline="0">
                <a:latin typeface="Georgia" panose="02040502050405020303" pitchFamily="18" charset="0"/>
              </a:rPr>
              <a:t> TREND</a:t>
            </a:r>
            <a:endParaRPr lang="en-US">
              <a:latin typeface="Georgia" panose="02040502050405020303" pitchFamily="18" charset="0"/>
            </a:endParaRPr>
          </a:p>
        </c:rich>
      </c:tx>
      <c:layout>
        <c:manualLayout>
          <c:xMode val="edge"/>
          <c:yMode val="edge"/>
          <c:x val="0.27669208864895511"/>
          <c:y val="3.64440813887515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accent6">
                <a:lumMod val="75000"/>
              </a:schemeClr>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9879206383675"/>
          <c:y val="0.20755672532358391"/>
          <c:w val="0.86007586009175452"/>
          <c:h val="0.64358954742772578"/>
        </c:manualLayout>
      </c:layout>
      <c:lineChart>
        <c:grouping val="standard"/>
        <c:varyColors val="0"/>
        <c:ser>
          <c:idx val="0"/>
          <c:order val="0"/>
          <c:tx>
            <c:strRef>
              <c:f>'Pivot table'!$B$3</c:f>
              <c:strCache>
                <c:ptCount val="1"/>
                <c:pt idx="0">
                  <c:v>Total</c:v>
                </c:pt>
              </c:strCache>
            </c:strRef>
          </c:tx>
          <c:spPr>
            <a:ln w="34925" cap="rnd">
              <a:solidFill>
                <a:schemeClr val="accent6">
                  <a:lumMod val="75000"/>
                </a:schemeClr>
              </a:solidFill>
              <a:round/>
            </a:ln>
            <a:effectLst>
              <a:outerShdw blurRad="40000" dist="23000" dir="5400000" rotWithShape="0">
                <a:srgbClr val="000000">
                  <a:alpha val="35000"/>
                </a:srgbClr>
              </a:outerShdw>
            </a:effectLst>
          </c:spPr>
          <c:marker>
            <c:symbol val="circle"/>
            <c:size val="6"/>
            <c:spPr>
              <a:solidFill>
                <a:schemeClr val="accent6">
                  <a:lumMod val="75000"/>
                </a:schemeClr>
              </a:soli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C74B-4F4E-9CB0-70C871B66659}"/>
            </c:ext>
          </c:extLst>
        </c:ser>
        <c:dLbls>
          <c:showLegendKey val="0"/>
          <c:showVal val="0"/>
          <c:showCatName val="0"/>
          <c:showSerName val="0"/>
          <c:showPercent val="0"/>
          <c:showBubbleSize val="0"/>
        </c:dLbls>
        <c:marker val="1"/>
        <c:smooth val="0"/>
        <c:axId val="1041093712"/>
        <c:axId val="1041092752"/>
      </c:lineChart>
      <c:catAx>
        <c:axId val="10410937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092752"/>
        <c:crosses val="autoZero"/>
        <c:auto val="1"/>
        <c:lblAlgn val="ctr"/>
        <c:lblOffset val="100"/>
        <c:noMultiLvlLbl val="0"/>
      </c:catAx>
      <c:valAx>
        <c:axId val="104109275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109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PROJECT.xlsx]Pivot table!DELIVERYRATE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a:t>  </a:t>
            </a:r>
            <a:r>
              <a:rPr lang="en-US" sz="1400" b="1">
                <a:latin typeface="Georgia" panose="02040502050405020303" pitchFamily="18" charset="0"/>
              </a:rPr>
              <a:t> DELIVERY</a:t>
            </a:r>
            <a:r>
              <a:rPr lang="en-US" sz="1400" b="1" baseline="0">
                <a:latin typeface="Georgia" panose="02040502050405020303" pitchFamily="18" charset="0"/>
              </a:rPr>
              <a:t> RATE</a:t>
            </a:r>
            <a:endParaRPr lang="en-US" sz="1400" b="1">
              <a:latin typeface="Georgia" panose="02040502050405020303" pitchFamily="18" charset="0"/>
            </a:endParaRPr>
          </a:p>
        </c:rich>
      </c:tx>
      <c:layout>
        <c:manualLayout>
          <c:xMode val="edge"/>
          <c:yMode val="edge"/>
          <c:x val="0.16318562583594939"/>
          <c:y val="5.1119592396924179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marker>
          <c:symbol val="none"/>
        </c:marker>
        <c:dLbl>
          <c:idx val="0"/>
          <c:delete val="1"/>
          <c:extLst>
            <c:ext xmlns:c15="http://schemas.microsoft.com/office/drawing/2012/chart" uri="{CE6537A1-D6FC-4f65-9D91-7224C49458BB}"/>
          </c:extLst>
        </c:dLbl>
      </c:pivotFmt>
      <c:pivotFmt>
        <c:idx val="7"/>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2867435739501488E-3"/>
              <c:y val="7.5920828714312492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7.4811497439591056E-3"/>
              <c:y val="-8.826334529168655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1.6041614539775942E-2"/>
              <c:y val="6.7214652037100545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97296768408622"/>
                  <c:h val="0.14283924675969589"/>
                </c:manualLayout>
              </c15:layout>
            </c:ext>
          </c:extLst>
        </c:dLbl>
      </c:pivotFmt>
      <c:pivotFmt>
        <c:idx val="10"/>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6569538431163718E-2"/>
              <c:y val="0.15636985625186731"/>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table'!$F$3</c:f>
              <c:strCache>
                <c:ptCount val="1"/>
                <c:pt idx="0">
                  <c:v>Total</c:v>
                </c:pt>
              </c:strCache>
            </c:strRef>
          </c:tx>
          <c:dPt>
            <c:idx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274-451F-AF97-BA677A04A4E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274-451F-AF97-BA677A04A4E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274-451F-AF97-BA677A04A4E4}"/>
              </c:ext>
            </c:extLst>
          </c:dPt>
          <c:dPt>
            <c:idx val="3"/>
            <c:bubble3D val="0"/>
            <c:spPr>
              <a:solidFill>
                <a:schemeClr val="bg1">
                  <a:lumMod val="8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274-451F-AF97-BA677A04A4E4}"/>
              </c:ext>
            </c:extLst>
          </c:dPt>
          <c:dLbls>
            <c:dLbl>
              <c:idx val="0"/>
              <c:layout>
                <c:manualLayout>
                  <c:x val="8.2867435739501488E-3"/>
                  <c:y val="7.59208287143124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74-451F-AF97-BA677A04A4E4}"/>
                </c:ext>
              </c:extLst>
            </c:dLbl>
            <c:dLbl>
              <c:idx val="1"/>
              <c:layout>
                <c:manualLayout>
                  <c:x val="-7.4811497439591056E-3"/>
                  <c:y val="-8.8263345291686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74-451F-AF97-BA677A04A4E4}"/>
                </c:ext>
              </c:extLst>
            </c:dLbl>
            <c:dLbl>
              <c:idx val="2"/>
              <c:layout>
                <c:manualLayout>
                  <c:x val="-1.6041614539775942E-2"/>
                  <c:y val="6.7214652037100545E-2"/>
                </c:manualLayout>
              </c:layout>
              <c:showLegendKey val="0"/>
              <c:showVal val="1"/>
              <c:showCatName val="0"/>
              <c:showSerName val="0"/>
              <c:showPercent val="0"/>
              <c:showBubbleSize val="0"/>
              <c:extLst>
                <c:ext xmlns:c15="http://schemas.microsoft.com/office/drawing/2012/chart" uri="{CE6537A1-D6FC-4f65-9D91-7224C49458BB}">
                  <c15:layout>
                    <c:manualLayout>
                      <c:w val="0.12597296768408622"/>
                      <c:h val="0.14283924675969589"/>
                    </c:manualLayout>
                  </c15:layout>
                </c:ext>
                <c:ext xmlns:c16="http://schemas.microsoft.com/office/drawing/2014/chart" uri="{C3380CC4-5D6E-409C-BE32-E72D297353CC}">
                  <c16:uniqueId val="{00000005-8274-451F-AF97-BA677A04A4E4}"/>
                </c:ext>
              </c:extLst>
            </c:dLbl>
            <c:dLbl>
              <c:idx val="3"/>
              <c:layout>
                <c:manualLayout>
                  <c:x val="-5.6569538431163718E-2"/>
                  <c:y val="0.156369856251867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74-451F-AF97-BA677A04A4E4}"/>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table'!$E$4:$E$8</c:f>
              <c:strCache>
                <c:ptCount val="4"/>
                <c:pt idx="0">
                  <c:v>Delivered </c:v>
                </c:pt>
                <c:pt idx="1">
                  <c:v>Pending</c:v>
                </c:pt>
                <c:pt idx="2">
                  <c:v>Returned</c:v>
                </c:pt>
                <c:pt idx="3">
                  <c:v>Shipped</c:v>
                </c:pt>
              </c:strCache>
            </c:strRef>
          </c:cat>
          <c:val>
            <c:numRef>
              <c:f>'Pivot table'!$F$4:$F$8</c:f>
              <c:numCache>
                <c:formatCode>0.0%</c:formatCode>
                <c:ptCount val="4"/>
                <c:pt idx="0">
                  <c:v>0.60199999999999998</c:v>
                </c:pt>
                <c:pt idx="1">
                  <c:v>9.0999999999999998E-2</c:v>
                </c:pt>
                <c:pt idx="2">
                  <c:v>7.1999999999999995E-2</c:v>
                </c:pt>
                <c:pt idx="3">
                  <c:v>0.23499999999999999</c:v>
                </c:pt>
              </c:numCache>
            </c:numRef>
          </c:val>
          <c:extLst>
            <c:ext xmlns:c16="http://schemas.microsoft.com/office/drawing/2014/chart" uri="{C3380CC4-5D6E-409C-BE32-E72D297353CC}">
              <c16:uniqueId val="{00000008-8274-451F-AF97-BA677A04A4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PROJECT.xlsx]Pivot table!STATE REVENUE</c:name>
    <c:fmtId val="19"/>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400" b="1">
                <a:latin typeface="Georgia" panose="02040502050405020303" pitchFamily="18" charset="0"/>
              </a:rPr>
              <a:t>State Revenue</a:t>
            </a:r>
          </a:p>
        </c:rich>
      </c:tx>
      <c:layout>
        <c:manualLayout>
          <c:xMode val="edge"/>
          <c:yMode val="edge"/>
          <c:x val="0.30334384874990095"/>
          <c:y val="5.4501124762753074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88000"/>
            </a:schemeClr>
          </a:solidFill>
          <a:ln>
            <a:noFill/>
          </a:ln>
          <a:effectLst/>
          <a:scene3d>
            <a:camera prst="orthographicFront"/>
            <a:lightRig rig="threePt" dir="t"/>
          </a:scene3d>
          <a:sp3d prstMaterial="flat"/>
        </c:spPr>
        <c:marker>
          <c:symbol val="none"/>
        </c:marker>
      </c:pivotFmt>
      <c:pivotFmt>
        <c:idx val="3"/>
        <c:spPr>
          <a:solidFill>
            <a:schemeClr val="accent6">
              <a:lumMod val="75000"/>
              <a:alpha val="88000"/>
            </a:schemeClr>
          </a:solidFill>
          <a:ln>
            <a:noFill/>
          </a:ln>
          <a:effectLst/>
          <a:scene3d>
            <a:camera prst="orthographicFront"/>
            <a:lightRig rig="threePt" dir="t"/>
          </a:scene3d>
          <a:sp3d prstMaterial="flat"/>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table'!$M$3</c:f>
              <c:strCache>
                <c:ptCount val="1"/>
                <c:pt idx="0">
                  <c:v>Total</c:v>
                </c:pt>
              </c:strCache>
            </c:strRef>
          </c:tx>
          <c:spPr>
            <a:solidFill>
              <a:schemeClr val="accent6">
                <a:lumMod val="75000"/>
                <a:alpha val="88000"/>
              </a:schemeClr>
            </a:solidFill>
            <a:ln>
              <a:noFill/>
            </a:ln>
            <a:effectLst/>
            <a:scene3d>
              <a:camera prst="orthographicFront"/>
              <a:lightRig rig="threePt" dir="t"/>
            </a:scene3d>
            <a:sp3d prstMaterial="flat"/>
          </c:spPr>
          <c:invertIfNegative val="0"/>
          <c:dLbls>
            <c:delete val="1"/>
          </c:dLbls>
          <c:cat>
            <c:strRef>
              <c:f>'Pivot table'!$L$4:$L$14</c:f>
              <c:strCache>
                <c:ptCount val="10"/>
                <c:pt idx="0">
                  <c:v>Ohio</c:v>
                </c:pt>
                <c:pt idx="1">
                  <c:v>Michigan</c:v>
                </c:pt>
                <c:pt idx="2">
                  <c:v>Illinois</c:v>
                </c:pt>
                <c:pt idx="3">
                  <c:v>North Carolina</c:v>
                </c:pt>
                <c:pt idx="4">
                  <c:v>Pennsylvania</c:v>
                </c:pt>
                <c:pt idx="5">
                  <c:v>Texas</c:v>
                </c:pt>
                <c:pt idx="6">
                  <c:v>Georgia</c:v>
                </c:pt>
                <c:pt idx="7">
                  <c:v>Florida</c:v>
                </c:pt>
                <c:pt idx="8">
                  <c:v>New York</c:v>
                </c:pt>
                <c:pt idx="9">
                  <c:v>California</c:v>
                </c:pt>
              </c:strCache>
            </c:strRef>
          </c:cat>
          <c:val>
            <c:numRef>
              <c:f>'Pivot table'!$M$4:$M$14</c:f>
              <c:numCache>
                <c:formatCode>"$"#,##0</c:formatCode>
                <c:ptCount val="10"/>
                <c:pt idx="0">
                  <c:v>14440</c:v>
                </c:pt>
                <c:pt idx="1">
                  <c:v>12594</c:v>
                </c:pt>
                <c:pt idx="2">
                  <c:v>12244</c:v>
                </c:pt>
                <c:pt idx="3">
                  <c:v>12208</c:v>
                </c:pt>
                <c:pt idx="4">
                  <c:v>11417</c:v>
                </c:pt>
                <c:pt idx="5">
                  <c:v>11289</c:v>
                </c:pt>
                <c:pt idx="6">
                  <c:v>11161</c:v>
                </c:pt>
                <c:pt idx="7">
                  <c:v>10935</c:v>
                </c:pt>
                <c:pt idx="8">
                  <c:v>10540</c:v>
                </c:pt>
                <c:pt idx="9">
                  <c:v>10450</c:v>
                </c:pt>
              </c:numCache>
            </c:numRef>
          </c:val>
          <c:extLst>
            <c:ext xmlns:c16="http://schemas.microsoft.com/office/drawing/2014/chart" uri="{C3380CC4-5D6E-409C-BE32-E72D297353CC}">
              <c16:uniqueId val="{00000000-A118-4B13-AB5A-1AA54A808AF3}"/>
            </c:ext>
          </c:extLst>
        </c:ser>
        <c:dLbls>
          <c:showLegendKey val="0"/>
          <c:showVal val="1"/>
          <c:showCatName val="0"/>
          <c:showSerName val="0"/>
          <c:showPercent val="0"/>
          <c:showBubbleSize val="0"/>
        </c:dLbls>
        <c:gapWidth val="84"/>
        <c:gapDepth val="53"/>
        <c:shape val="box"/>
        <c:axId val="1222681776"/>
        <c:axId val="1222682256"/>
        <c:axId val="0"/>
      </c:bar3DChart>
      <c:catAx>
        <c:axId val="12226817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682256"/>
        <c:crosses val="autoZero"/>
        <c:auto val="1"/>
        <c:lblAlgn val="ctr"/>
        <c:lblOffset val="100"/>
        <c:noMultiLvlLbl val="0"/>
      </c:catAx>
      <c:valAx>
        <c:axId val="1222682256"/>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268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[GREENLEAF PROJECT.xlsx]Pivot table!ProductPIVOTTABLE</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latin typeface="Georgia" panose="02040502050405020303" pitchFamily="18" charset="0"/>
              </a:rPr>
              <a:t>TOP SELLING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table'!$P$3</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table'!$O$4:$O$9</c:f>
              <c:strCache>
                <c:ptCount val="5"/>
                <c:pt idx="0">
                  <c:v>Compostable Plant Pots</c:v>
                </c:pt>
                <c:pt idx="1">
                  <c:v>Biodegradable Cleaning Cloth</c:v>
                </c:pt>
                <c:pt idx="2">
                  <c:v>Reusable Bamboo Utensil Set</c:v>
                </c:pt>
                <c:pt idx="3">
                  <c:v>Eco Canvas Tote Bag</c:v>
                </c:pt>
                <c:pt idx="4">
                  <c:v>Solar Led Lantern</c:v>
                </c:pt>
              </c:strCache>
            </c:strRef>
          </c:cat>
          <c:val>
            <c:numRef>
              <c:f>'Pivot table'!$P$4:$P$9</c:f>
              <c:numCache>
                <c:formatCode>0</c:formatCode>
                <c:ptCount val="5"/>
                <c:pt idx="0">
                  <c:v>939</c:v>
                </c:pt>
                <c:pt idx="1">
                  <c:v>1032</c:v>
                </c:pt>
                <c:pt idx="2">
                  <c:v>1106</c:v>
                </c:pt>
                <c:pt idx="3">
                  <c:v>1148</c:v>
                </c:pt>
                <c:pt idx="4">
                  <c:v>1260</c:v>
                </c:pt>
              </c:numCache>
            </c:numRef>
          </c:val>
          <c:extLst>
            <c:ext xmlns:c16="http://schemas.microsoft.com/office/drawing/2014/chart" uri="{C3380CC4-5D6E-409C-BE32-E72D297353CC}">
              <c16:uniqueId val="{00000000-3B61-4C52-917B-C388497D5119}"/>
            </c:ext>
          </c:extLst>
        </c:ser>
        <c:dLbls>
          <c:showLegendKey val="0"/>
          <c:showVal val="0"/>
          <c:showCatName val="0"/>
          <c:showSerName val="0"/>
          <c:showPercent val="0"/>
          <c:showBubbleSize val="0"/>
        </c:dLbls>
        <c:gapWidth val="115"/>
        <c:overlap val="-20"/>
        <c:axId val="1050937232"/>
        <c:axId val="1050946352"/>
      </c:barChart>
      <c:catAx>
        <c:axId val="10509372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946352"/>
        <c:crosses val="autoZero"/>
        <c:auto val="1"/>
        <c:lblAlgn val="ctr"/>
        <c:lblOffset val="100"/>
        <c:noMultiLvlLbl val="0"/>
      </c:catAx>
      <c:valAx>
        <c:axId val="10509463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093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GROSS PROFIT PER STATE</cx:v>
        </cx:txData>
      </cx:tx>
      <cx:txPr>
        <a:bodyPr spcFirstLastPara="1" vertOverflow="ellipsis" horzOverflow="overflow" wrap="square" lIns="0" tIns="0" rIns="0" bIns="0" anchor="ctr" anchorCtr="1"/>
        <a:lstStyle/>
        <a:p>
          <a:pPr algn="ctr" rtl="0">
            <a:defRPr>
              <a:ln>
                <a:noFill/>
              </a:ln>
              <a:solidFill>
                <a:schemeClr val="bg1"/>
              </a:solidFill>
            </a:defRPr>
          </a:pPr>
          <a:r>
            <a:rPr lang="en-US" sz="1400" b="1" i="0" u="none" strike="noStrike" baseline="0">
              <a:ln>
                <a:noFill/>
              </a:ln>
              <a:solidFill>
                <a:schemeClr val="bg1"/>
              </a:solidFill>
              <a:latin typeface="Georgia" panose="02040502050405020303" pitchFamily="18" charset="0"/>
            </a:rPr>
            <a:t>GROSS PROFIT PER STATE</a:t>
          </a:r>
        </a:p>
      </cx:txPr>
    </cx:title>
    <cx:plotArea>
      <cx:plotAreaRegion>
        <cx:series layoutId="regionMap" uniqueId="{BBC16037-BE92-4321-8753-348E3DFD9333}">
          <cx:dataPt idx="0">
            <cx:spPr>
              <a:solidFill>
                <a:srgbClr val="F79646">
                  <a:lumMod val="75000"/>
                </a:srgbClr>
              </a:solidFill>
            </cx:spPr>
          </cx:dataPt>
          <cx:dataPt idx="1">
            <cx:spPr>
              <a:solidFill>
                <a:sysClr val="window" lastClr="FFFFFF">
                  <a:lumMod val="75000"/>
                </a:sysClr>
              </a:solidFill>
            </cx:spPr>
          </cx:dataPt>
          <cx:dataPt idx="2">
            <cx:spPr>
              <a:solidFill>
                <a:srgbClr val="F79646">
                  <a:lumMod val="75000"/>
                </a:srgbClr>
              </a:solidFill>
            </cx:spPr>
          </cx:dataPt>
          <cx:dataPt idx="3">
            <cx:spPr>
              <a:solidFill>
                <a:srgbClr val="F79646">
                  <a:lumMod val="75000"/>
                </a:srgbClr>
              </a:solidFill>
            </cx:spPr>
          </cx:dataPt>
          <cx:dataPt idx="4">
            <cx:spPr>
              <a:solidFill>
                <a:sysClr val="window" lastClr="FFFFFF">
                  <a:lumMod val="75000"/>
                </a:sysClr>
              </a:solidFill>
            </cx:spPr>
          </cx:dataPt>
          <cx:dataPt idx="5">
            <cx:spPr>
              <a:solidFill>
                <a:srgbClr val="F79646">
                  <a:lumMod val="75000"/>
                </a:srgbClr>
              </a:solidFill>
            </cx:spPr>
          </cx:dataPt>
          <cx:dataPt idx="6">
            <cx:spPr>
              <a:solidFill>
                <a:sysClr val="window" lastClr="FFFFFF">
                  <a:lumMod val="75000"/>
                </a:sysClr>
              </a:solidFill>
            </cx:spPr>
          </cx:dataPt>
          <cx:dataPt idx="7">
            <cx:spPr>
              <a:solidFill>
                <a:srgbClr val="F79646">
                  <a:lumMod val="75000"/>
                </a:srgbClr>
              </a:solidFill>
            </cx:spPr>
          </cx:dataPt>
          <cx:dataPt idx="8">
            <cx:spPr>
              <a:solidFill>
                <a:srgbClr val="F79646">
                  <a:lumMod val="75000"/>
                </a:srgbClr>
              </a:solidFill>
            </cx:spPr>
          </cx:dataPt>
          <cx:dataPt idx="9">
            <cx:spPr>
              <a:solidFill>
                <a:sysClr val="window" lastClr="FFFFFF">
                  <a:lumMod val="65000"/>
                </a:sysClr>
              </a:solidFill>
            </cx:spPr>
          </cx:dataPt>
          <cx:dataLabels>
            <cx:visibility seriesName="0" categoryName="0" value="1"/>
          </cx:dataLabels>
          <cx:dataId val="0"/>
          <cx:layoutPr>
            <cx:geography cultureLanguage="en-US" cultureRegion="US" attribution="Powered by Bing">
              <cx:geoCache provider="{E9337A44-BEBE-4D9F-B70C-5C5E7DAFC167}">
                <cx:binary>1HtZc922svVfcfn50sE8nDq5VR/Jvbdmy5LlY/uFpSkcQYAAB5C//mtFSY6l45vkVqVuVfRglcUN
otGN7l69uvc/7+M/7rvHW/8mmq4P/7iPP76txtH944cfwn31aG7DO1PfexvsT+O7e2t+sD/9VN8/
/vDgb5e6L38gCLMf7qtbPz7Gt//9T3hb+WjP7P3tWNv+w/To16vHMHVj+J1n33305vbB1H1eh9HX
9yP+8e3lY9+HtZtv+/r27ZvHfqzH9ePqHn98++KTb9/88Pp9/7H3mw7EG6cHWMvQO6WF0Ar98oPf
vulsX/7yOJHynaJKaSmR/vlH/br3xa2B9X9Wqp9lun148I8hwNF+/v169YtzwMP/9/bNvZ368UmH
Jajzx7c3fT0+Pry5Hm/Hx/D2TR1s9vyBzD4d5ub659P/8NIK//3PV38Afbz6yzeGeq28P3r0H3b6
+BhvQba/ykAUv2OCKqYwfrbQKwNp/Y5SSsBA5LsG+kNxvm+ZX5a9MsnHz39Lk7yvavvXWQRchmHO
CeX02SLkpcso8g6chUrK5PNz+uvezy7zR9J83yDPq17Z4/3R39Ie5/V9VZe3/a96+QvCGHunJJNa
KvybF3wbxhR/JynSUutfnotf9362yZ+R6Pt2+ffKV7Y5P/5b2ubC+rF6k91629X9X5hoKH/HKXgF
OM2zheRLr5H6HVacKiHEs9e8stCfl+v7dnq9/pW1LrK/pbX2nfX1w19oJqLecc05Fr/4idYvzQTB
jSkIbUT9EvxeBbc/IdD37fPbwleG2Z/9LQ1z3IH72PovBAKQdjBhWCj27B/oddoBB2JKUK74s4OB
5Z5ByHOI+zMSfd80/175yjbHf0/bHB6tL/9KEE3JO8EUUUx/H6Mp+o4xRiVDv8DsV07zJwT6vmV+
W/jKMIe/J3S+eFzefLG+/fXi/gW4gLzTVBMGCPk3LPYtLpD8nYAnXGD27DSvs86fkOj7pvn3WV7Z
5uLL3zKgZbdd/ZP1f2nxSeU7whlUn1g/W+dVbYOxfiewJBKzX9LRrzfjOaT9OZm+b59v176yUPb3
8J7fr42/rT9ffPJ/SRBQ/Y4jyiWEr+96ENSfCCsqqP7Fg9hLG70q2f9nsb5vplfLX5zk/4gP+J+5
gt+Ilfx2vN39zMh8Qxf8/tOfjwtc0aulL3iDF6f9Va3HDz++JQy0/BvP8/SKF6n+ldKedf7busfb
MP74NhHinZaUCi7BehozBKFveXx6BB73jmOikdKUg38q4Hz6p7Lgx7cSv6OcSTA3UZjwt2+CnZ7+
jhXEWcLBSzF4qwaX/Y0Mu7TdWtr+N2388v83/WQubd2P4ce3FPKhe/7Yk5RPO2KCtMCUSKEpZFZ4
fn97BYQbfBr/V4cb3+Ol5Y8KF+Okd8Qxl3QZcnO9feJ8cu0tSzwP+35Yw8rykURexSyxBbore8/6
JLMktvJEV3yd8lYn/XC0aNOF844bl6ypbSN3d7wdm2hz0FXX0KyUkuFHGe06XXVVlN2tUtwV99TQ
QVyUoh4cTQ2uA4jCHPfmfYXRuPR52XHfutQu3JgzLNcBRC6NwespMbRvfkrCbGHNNyb9jpKgXnqh
I40gr2ku2BN9B+qCG/GtjiQ29VSJSj0Wi+2b4Wg0rGNHHZuDl0dbKMd6ybbaQVTvUFGTYv/722OA
my/3lxI4DkitioKlQJiX+28NVUEgUT80uKVtnY0WCJMq1ZokQ7P3cSn9mPtqLFmVJizZXH+5MLoG
kmG2iYWejKLqQ5taO1CPLzRXAzz7AyEhgXwjpASDaaEBmj0VK1pAWfNSyB6NVdFEp+9RQ7j4yqif
k2siWs6T1FNTkqN5UXNvMmSYJzKVvguyTbsN4ZCNtI/yplnQlFz/gVzP5vn3FeccEfXE2AEuAVyo
lHh1xREaeivrKhz8RlAVdoTHGZF8QoxM9qew9VKJzIbSLUGnptgqLNKRlyM2p3CRwS3LzLZujPSM
sNg36NIUvCzt0TosA7cXRaxbHNesIDGQL2EYzFDufENYP+xMN21kzJBFIphceY7q7oxGbKm41Kss
5bBvhZoT+r7oDR7ieVtWswY3mmZRY52iBsx3NGxC1ibvksb5Pu+6mWufyQSWVWlrFgm/ys4qMqRi
baX4SrSvpuP2Z20ulSENz3QS18TslpkkJjmyRKnuoicTqBuDx03ygoaOwwuShgwUpW7bENgNOYW3
Om3DaPCW9sHrvs6Fk10zpbbGFMQQwyhgfxQjmFs3JfwLrrqAfrdBDb7Yy2Gmw7FESSvIzikLW5o2
NnQ+QQsp6jLrogmhPnRx6Jruhtqp0fRCrKNm7rgRKCHzCQ+zhxu71rTdllQva6BDXrWT0fPV0kRJ
e5M21ahskSWTLRdk0gGodk4u9aCdXHblIBgfPvJVz5v9iNBqQJEFbhERF3YMixUfa4cEK3O45xAL
9pUfMG4yg1XwP62SDEGdcBEX8hXzuI7qgpmlcB96rZuW7Jo+JKhLHUIijhmEdzWQXW9XsG2+RLL5
NUVJdHbOBrjuXGUrW4vlrNVhDFvqu2apT/pEK59ksa5QODDUjcudQKZdq7xghev71Mje+M/9MKhk
ShUWErS/Gf9ktaF3uhRnytQSAkJfdYJMWcEnDJY3jBVgoLUfFfx6vhpdDbnoay+7VqCD1009uXT2
SBic+lBaCWKQtiXp0iaz/uhHb9W163XS7U3NS55WZblc87XmTb7WS3Go2UyPakS3Y+PjfDT50l5J
L0gWNa8uZD12KBvY7D8WcKmPWMltSMH7qrvGu+5ziWqbR42LLlUdHQ9YY5ktpOenyqGvtgV37Bcn
zsRSu1yyqgLrosTvGxnZrrH19H5ruhHt4OaOO7Ui2sGNFea+ctM1wcydepaUp2YO444HFrMpsPJo
tpPOK72oD9JVQ9bWrn6ow1DkXeXKdGV9n/NCDydqI2a/Fn3h095xBq9Wa5+xppf7BV55rJK1uvPR
TgeyVsXDoNvu0EbcbemqG76vGmSvHRNkS7sSDSFNqC1vlrip2y7pearpZD4uitQ7REZ0wpCu6tQm
CT1jI9/2fgz9Y2hk8QElvB7TaqT6AZuSzanEDl/NpKnqvVv7ZIeDGa/CzMbjp1CQhzVOJzT4tU25
WVRWSF1U6nM9E70eQ66b7gNhDd7ZyY0+K2tTrekMjMejGrk0eVIk/sRobnnO8Nh8iDNtM86NPeVh
xENWqMreoia4swi1+GkQ+OmGFrx2KSvn5ST6KZ4j2c7HytjkpG5pRXIF0e8BLwvt021TuEpHwBpf
Fjcsj0OSxIzUeLsNobEk1YUDSLFtAW5u1bkuTbD1U+62pY0nYiqHMkXY1RcrlhCIjYvZvNCOnjCF
Onfi4+D3xE3klHcmpg3ln/iy3qOpKC4YBveZwzTmRg6oTstoZpnz1dIdk2N/4Srmv6wuzvsGkWks
Qzq1bWzbTNYld2kyUXY7T4NNKen6g40LTQky44eI+/ZDqNaxzdpxLG+Gah0+++gMSYc4xazA3jVp
A/LRFCtRtOB4sdoyFtVyqUmouqzf5ua2MW5LkxKZT0B6DalzM/6gLVPHjniVTR4VJ6zu2W1QIp41
G/Zz6iybYNNiTIspGbK1nMozoRJbpx1u9a1PoN7I1eCGJuVNGC7FIto9BHohMl1v8mjEtrp01gw7
ulT+htjeHeYp4kPjZnHraXGzNFtzsw1mU4fBsTVtBlM+rqCQQzXKadpZjtbr0WtepJ4N6yluyzFF
1TwfC926wyA1x2kpg77R/ajvaHT0Y+MLezdv8/Y4wQXPZ2nJOSsaekCQKfIhDuO1oTZJ+dLPZ4kP
7dcN2f5AO1ysWT9t7KJaEYNcFiEioaZWCWTtVhxJxIrMhb45tHzyN2ElFOSfyQlGPd03goYvnSuG
S91X/givnb42xm+nZWiGXZQQctOmN/VFz9B44ie2XPah8B+9UuyetjMEBzKs8wVbDTjPQJf3mI7T
afRyOa6XSG1qJ9UfCmFYXg0CUNcCMe94S3xxVhSV/7ARVd0oiNtfhk2NHyHhl0fgbPJ8w8l4Cam+
3ne64Gf10mGajUZ3udrWnsJ99/1+KxN72baquiyjdUOmXYf2fmmGL26cWJkWfNvOvGbTaV0sbVom
xn4s6aYNxGwTd1S26gjbWGaz29h7NZf0UE0+eUgKojw6Wznbap2tJmKicjk5o9RZy+ksxx0COqkb
00674mxJXHmpJ9xdJGztP3Wjv4U1ZRrGGn8KBhBMM8nmIuomiJQ7XJ9o68jXKSmmJeuqBZ2vs5xu
ajLPw6EiHWWZrrA8ZYX1aq+R6fWJqZTLbQxsS2dTLbnSm5Fps416Tg0t+gubBIRP12SQoGuBltGf
DXpeuj2OHi/HPRvMexpZ8kH2unaZiL6yu0o7f9WU9Wx2vrNrdWrq1tZ54nu+HtaiwMlBziFsV6vq
/VQdnqAHyvUQbWdb0Jpdyvak5Ur4LsMSkEvGzVTM5203NSGjEy4/LnKza2ZRJ876cSlwvmCAiKej
4GL8xOtqUx7iiHcjFwCcyj4pi6N5FPKEk4j65uNG14LM6RoHpKcTAsEOHStWzeth6Nbe59Uc+HSt
k7Jt0oWUnfapT4qya7OE6Xhd00SLlFSs+2BXnGyHRdC1yZAcCDpbdBP7jPgByXPZQTjN7Tpsue23
+qQhY50BSdSejMkaQ/O+WxOhNwrq71E0OUbEtHObro5w834cWaPGfBWN6EjaT8GCP6gtDNmEV2J2
DE9dddZWrhGp6V3csm2MQ59Ss27XQk5Ne9TXjNtdufDlvK2hdM6bWMcjWjKscqFQJdMgGo+P29K7
NnUTl2tKlrh+FCMZLxKuo8xMU7CQStZSn61rKT5hl/iHWQM0od6t5GBtgemunCsykQwgXJXYbAzJ
FMSSykpcrQmzEoDZpNa6yyCSjvABi5I61vcQhAYldpXrXMrLAUe9a43Esto5Ei3n5ziZxXTTqN4U
R82g2G05z1+3rSpvysp9LbXjTQplgrleFtnsClX4A4LkgSBICH8tlNxOu5V0F57W036uvM7c4DaX
SkGRS43h5tr3nci9F2s6qZpBfJ1Hcz+WxbaXtuvSoYzFuWshr2Q4hmXIN0g27FKHil5L7r3P61kV
APwquDBpLOvlAVvXfnBDH9QuSFmeBdvb62kIY7mbYjkXx6I3pUwTE/Wxsc2Qk37o9u1Q8Ou+RXin
x8qetgVPzkkb2SlxYs5sGVDWaiiLckIKmKyZ5HTYIiFdiiQk4RzpeQg7h4W9CK1axmPnlyLVYUEx
G9qyyZgIs0s1NgUwCibpp+Mg4HC71Sb4eiugN1eQ0A2HJqnm3INTLum2tv4Csjwk/1q0XV43gC9A
hOIKsk69n6QW2dS76lNTl/ir4CjuY4v1wSJt9tLJ5jJpkM9mI6rPqDc3XYOgkoLCbS9J0XyxCxlt
yqm1Xygq/MlEaBHTwsdGZXU3sZPCETh0iYo9q+OcKUbo+wbKkpN5wfV9W1H5tS1K/LnFdDmbcU9z
7gZ7TNdy/WRlR9qnmBZdShs0nIuioIBbITg+XUJ2z1oDhdjam6esHUm4s7NK6l0n6hoylIGS5bjn
fW2z4Os45mO3WSgE5NLgjHYQR1KR1A0/71wgd1VVjW1KOpAhbTpZqayF92a9EHAnqtXxYyMmInMo
4efOA9ZqyxPj7PgvB1VblbWOUvQVEu/iU52oZT5Kxlbko2uSo3rg5EY0rNrjbW6ntF4T957z2NxN
s3KQHqDy3NupIH1qC07PAlf+1K0b7lJfAqQ5i2Fydy0ZY50F5gHY1nMX78dxBV8Bp4Q6bXKcsod5
0fBQN/O865uZnizDUBaQXOMGYF7y+ZFRPRd7I6vxlK1Qv6UJwJEx74oh4btkME2ZoW3mn8bQdV+k
m2PWBhryDiUDupgWia9HqPL0vhgBw6ViXKrusACoOoHo1y+7OFRVA1BOA/T0W0jsBa0WnGRTQYch
XQ3ibufd3JfpEBxcooxVpmpYO+/LWbhBmzZrWgBpfvdUxs5ZsQ41AUxN+2L73Iepb98Ti5eQQ1VR
tBDStLCbyzyeym49JIg0PXsvJlqotMVDTW87JGXSZ3OiYlPsoZ/QRnTeVlZYnUG1HZlLp60yYcok
JFy+5hWGvNWl0whZfs37eS1Me7qqAiidLExQgLnLbgYak6YxlJOe9n5yQ/25LFtmy3wBV5EzhG9K
e5/OcbBi3JeA1frjqZoS81MYQpz5rmrb2vQ7Pqy4vS4QSeR8cElTj33uV5ag5rIBUhHswBIb6qlJ
p6lf4pxGD8d/NImWCPQYmn7Ntasi/8yhxK2uhwi39WviBPAHY6eBZkgILqI7hWYTgkqYQxyHShj8
cJMPJStQFAdpkg38bcBB118mt1RJlfZqWbcEKtuiWQSkCAjH46epAkJBnY0AKOMFajRaWTaVYRra
w1YjAtaClNfY5o6qqZ9NzrtxWvtTOsHxthTm6QgJmeCBmuKajtzVYifsUNX0BE3TsNoip/UIGAdq
h3LYO6caiMfJaPOWd+U5qaBqSAunIWKuugYQpdihHqVZV7ev2EzoUGc9oJFuYbuyj6zudm5ZmNXA
HfRWnW0A/dSuSDpRzOk4F9pNKWaDZju5bpQdPPHmk1NTd5NsNowpsUBIp2wC39lhUZkH1LeAsiaO
Kt/urAi6ymdPehnTjQzjByARp3XXjMGd6LqcLzni8xEdpvrMooJmLRHTeYPX1ewcNePxOGt0oMAi
Xzc6LvJ4AAgnU9q7laWxX9r+4EdEsjEqt/TpjOb2wW2oaCG0MlOkAvLolI90W69CnSwRAELS7QCB
QoVYNI7zgxdsNHlhVLxLtiKuLsXlMuAr1dYtz2GYtL/3MKHk09DMUBr0WzJDNeIbXO0ATvhwNFW8
nR/KJD4xLoCoSZ9tbVXugbudi2RvJqz0zUQG3WcFYtbu2IrCEQ5WfunmjgFhKQtS2gwIxZpDhSrX
cGGUQFNOEJ/Gz2FbfAnGcYWpsh7rYQaAhMkpY0BuXZRQeZuUDYDDz6ObWEwX2sqdbEV3kpTBpmGb
eOadmi+cWYeMrFPIVc/1kMpkrA4bWsEwMpZJSqMajgbXDU02AWF2tzWzh7tR6A9Tgiycc3N7gV28
XMHYOdOF0rtmsstj0jyBgrZx5VkCYTh8heJyqT7Ixvgn1EVJfQQIRpx4Jnl9ByGSrgc6s+bKLrQ4
jyYpH0qPQfNq2eLRWBQTMCPbVsfU1Wi5UZFPl4vvKjgCUNtDukhjIZpKU6Wx5foKA30oc93Y5RgD
aVHnCy3rfy2UQW+Bt4Ed9axpsmHx/HooSrsfSY8+Cx9wqmXc8sp32zWjYVtTpvh6AX0WUudkCvMI
FUrvQqrrWc/HpfAWwny/xZCWxRJBXN1V6eKhGs5cL1eyJxxGqVJEodmQlzOdIfQmpgAWZnSymFJa
hgFAQb+Gczq56awkeFY54qWT+2bs3MclyhHv17GHU5pWyK/MV6pMDQDw90PyhHgDjJz2KWDqtU5F
W+gl7duhrnJI6M0CtNC8XG4GGIB0E86JXTtvzZpTZOrdNkRYU3IejsuIjMtn6n5aQtXvSBFitox8
/SIhWsyncey9y7thVleB+3GC7TgfoCCogQUyxJ7TriCnqupaeaeTYjWpx4U+TZKK3K1d3Z7ExIVL
akKT4VqR26Efp37XB6nXrOahAb55YfWaT8vahLTzaix2U1WrDuKvp91pg8nK96NY+KekqFy8AOaq
pUAGWLOmnTP4S637ck2Nw/7CFjqgnVz4CkWBJh5SZoG42RncVB9bHv2SQd4EVAf4PK+oH9ST3sT7
hS5AQ1NiiwvVGfp5WD0u03nqvtBg7Gc/WptWMCt0JUdwG6XLGa5857+UyYJKwFYxyRJAHud+2kwW
gHf52pdTcuwbcOrc1618P06jPRn5YDKoyNsz4AXkUVIg9QkY41rCNSjFnSMb3UWGwtXsV3LcBjuS
rJnV8oTWkDnmugeKR4agjgKtepFvOgHgZGodDz0nc3cFHbQ690Bu5R6uOssGyqcdwBd82q+22ptm
wZ+rYo2fdTHi1IUJ5eXG251RXfETtMRQzjgbbxTA/QNmBb6z5dx+RrCEp0kExRGafPaGqfM4JPXB
zSN4nZpurbHjpZvQWqRqtAiDH2yXukxaQDSYmQPkA99DmRForiQ/BRYtOVsG4v/VANmRqwiFygB9
xi2NFbafEtWx66aizGQMWP1j53rMbdosXUvp/ToB++93rQM+yN9BgmrNnGtFi1V+horWGnflWbCM
vx+baoAoH2A0foA21gA90SqFqN6YAXoNjaP2PVvXoNfDQmKExgK1KI7VMZoq02zHqmjW8aao48Lv
ec9se9RYZUaWFcyjMcnVzNniIXi1WnyVxiTjcaNxLVA+jwPeADYqtNaZb4VH8XhaI7CYqYAu556x
flFfRd+PEFQG13axgzjGK8RzwHm9AZZ0FWW5GwZW2vk4tgDjm31coT8KTiMoYzxd58rZRzQkqwy5
AFpflrvglrWtqnSryxYad64sMDQ34A4O0AYpm3JDw4eZqhFKmJpG4f0nq5ZibvJl4wrqPiJoHZuL
prFhsnlYhBJ4hxydwnA3tduM1xTe4uo1WywDSJZuroLIcFRAj7PRGTDWTydhokS6O1RlnOXwrykp
N8LTulAtPIO5HiniaTIGKJhPmzUUncgi0krOf9DbfNlaha6hhIYmtA6hMQejDeip2f5taxWoMjWi
quwfjXVPDY255g7KHsp7HxiUpxWbfDbOKCYkq+oGWnR/IAA00l+2LWHcQsBImYaBWEmgKfRSgJqv
RPKylg/tswAG7gncP9PqDm5cYqEvlv5+R/KpEfrvdiRMqsOXCGB6UNOnSainBv7LHWNVJ6TyNHkQ
iX/qQ5bbz33ATrERTt77EXBuy1ExwtTzb4MJl887fNvqf6nqn/dlmkEi5IiAo73e102rlTah6qFc
oTsvAHi5LnyuGJRmZbpAD6h+3xfwhR3oMlSWEPEHx4aZyFfHfrIxNIg144rAtMHLY5d8rhMUK/qQ
yE4ONOMLEvwWRg7AIe1Wy+6iBo4fn9N2WKfrNiC0VWmo6g6U8vuKeGlyUAQnYHAOHB0XoA36ygCj
qFGztn1xX+it5/5gB2eKdZcU5inIrMo/BZnf3/I/D6+gicwEV0gjmN9BLw9fyaromhX5ByYWmIfY
r1hsuN1zv0AzalerAtpxfgKtDwC+wGe+WrTOXu/m2iK3/MFFwK9mPkABGjGYJ4A2D4XBE/VKmlJv
DdduTO6q2kONdATR9Gl0wERbwdeApqVhG8tqA8y5S6MmFKTiNaqma+NEA9x7Akz0tTaVgeIcOuCe
XJm57sPd7+vsyfO+9ROMn+IBYhxLmHah4nVoWApgpIct3kVoQMIlQFOLQFkIOi7Qmo6eQg3oSPvU
rgaa1T79ql05/W+VhaGTCl8LQvDFLUYZDIG8NB10csO4BmHv+o4nMO3SwJwHNKHnFUEdfUoLDhMy
UC779tY0vIfZE++Mx/xIJU0CZOlQwVzK04zMWsGqvt66+ZTFFrotfzSA8fqOwQgfFZIIqQhYWLwe
c4h0gS5wv9G7UBABvf6neq2boKMw1q7PlmEdQLhEmhmeAelr7JqrdluT68W54jhoaEOXmdmgujg1
FeC/Iu01EsWYQV2YdFfC6BJgE6E6QrYiSbPi/gRtuoO3ttBsABLk9+2PX06UQKQSUGYJ/f+ZO7Pd
upEsXT8RCxyDJHDQF+QeNVuyZMs3hIc055mMIOPp+6Okqk4ru5wo9M1JJFKwtC2SwRjW+qcUpuV4
Aqn8ux2Dmdn0spHdFx8aEia7M2H0+4heg5oztrS/6R+oJzYVRQUex8/ml+2ks5KN617U5Ij+MCvn
7xe0+34X55BFtuWFlsWhwUbyblrACI50CW33pRtYRTBnoJrutW1lznrpjPPKcISAafqpphpY/WjO
BtVnMRu+EvdprxPjRIVW6Kdhg6JvglxsUqrFlXUVHsvZ215POwJpgbdv8NZ9NxSlftKVKOF1zKra
5D05o88Lapsw45vOOqDZCupl4d05HmVRQitpplOw68AmxgOo+/buSlBgpFj9y+XDIDVWFQXtUvAr
WrQb3HluNJuKauq8uvy6jKLpu0MoB0vSc7V6uhqGEj68qurBplJOk3o5pS4ypOcmaBL3iZbeYpL5
QYoiS6K+Qcz1+7nxfgtn9H3gLUoG1xee815sRBXZpBbc1xdt1SP9w2KbPk2faou2Ojtzr9gofn/F
97uR7bMX2RCz6Pc4u99fcRzMMVO1o54dmnMmo5rdbfuz0TAx/YTs0TxBXoKXwMnM05he+68Sjd/f
xib8+2VXdHwhqEiE7dmm7UKK/LodaQf6AH6nfqrdpp6caGpnz/gDsKlnN8poda39kPhtfifHIGXH
6TKvTfdpMNmyjQLfVxUQkZ32l1USiIfFGapgjUZlCXk/BYaZx72nl/aSSQQWXkClbox+IqxtsVP5
yvtWZlQX56Qop23lS9dzbm3O+26NnHJwFnn8/RNb7/a1wOGAotzgqXlaB/Xkr09ciiRrVD/6j3Ju
TOR+kBo2cj+pt3nrUmS5p8xSMDUgC+GGxabTiwbQoHnYVsVcoDN6SBaxTWm7z9HMnPKOFoktstdQ
iIe+kh2lt/bWklWXqHpTH1prULM6fatnGf3+kex3O1tABYRQDhmcxxvEbfqu6OzRK+m2aOzHYMoc
1tbUpdsNTIYzb0v3ZR2jpV+5tyRbtiXOXrltKUPXc9AYmYXg0Vq87VttX47l1yosfPcEZ7yNQ7/C
Dtwk/cKn8szZHnFNazEeSsMfnEMXDNIZ45Xzgsf9m0d7V2XyaKGFZ8liqZieS73369uaIFj8am7X
R4eelOGfhp6ppSudt98nMyjhAdap7fWTbzfb+VgbrcULWURdpete18Ka0kPoGLN6pEodGA6YM4fZ
50jNbtLkRsgUc1XVbbvbzLZ5ym3aAvBEKhIumE+JyZ9Qo1oMBVIZhmKafODW2IOjZUlkoV3wp9fx
2bbC8uvvB+HdGg0oF6iufNsLEOiafyl1LaVdsYre+Chrv2V3eC1v7SxYZBmjwaXf+ZvD3353HG2X
dB0Ke5NjCZ3ae4mqWbSUkN3ifxxnixkChTExoTj7GR+36NzW2yfKgE2PROWgfjtVMmkoWdj0GCU1
LNV054uRZhr+ww3YDFiQ8h6KnE8B97Hwp6XhoHp7bWmvGoZyqYKGtcIq2l5HWi7biwDs3xracC2Q
55mADtyJByugn0oB8/p36lw3fFfP8vDbIcAmYeFe+GtHRTk4IpiBFwZIF1USTXPpdHGizKS4QXnl
Duu+zwbRBVFo22GRRcPQ5/2FWc3O4kUd1Y5xOaS14V6D1/oOsCMKie+IlcyTSmZX7Eq/aasfblHp
4b5uRU1iAQSWunWlZYJGBkUTeh0KN8cd54NSHsjt0GfJ0kaiNmvryjEHK9wB4YdWXCzTPCRRC3Kr
iyhr5IAkLV1KyWKQelBrFS2GV7jFIbSt2X0Q1bS6UFeLNav52IUqsxLqtyQFaM+QVVaxryulNQJg
pmIHDLECW8JBFeIgQz+FdKyNRX9UorXzp9mtUtgId7KteKU/bddIpNMY7sLcVmWcwkecaJOnXd+a
Sl8mYWOaR0tZmX1IjTHIzH1XtrX7uHoyLY3HEChm+bigjZ2ujXFqjHtODH/+4Q1CDI/al2nTIk9q
rWz8EC66Ko9Jjg78oBE01W0Ulq1jZ7EPn9YH36waIv1HZqOTXHZMlbX/I5wnpeBYKzVaBTBz03vB
jj7Aq8QxqSEnb9AKGmV5hGKDHc7+yILGmRjlxXKCwb3WTiuZ0qikxi774AhzEua+adyu889zmORZ
ddV4S4lgt5DppOSV8pI0zw8J8s7Zu08auJfzxm6mwYG5IhxkCFJvfFM1BrkKEdi4AtQqSwZA27NK
RyPLjyqvOW2gw+Fo1p3s8tn73BozBNGZyaGMJFYgrSix546qK4ym1QkWcVvZvs+X6fWbRp5X/Az7
u8vl4G3c/pue+9CWF4UYYBhP1mIQKhGvhVfO/hFlslVXkefK7VxEvZvzOKnjcah8XZJVmGFceFno
pber6lTn3xWJAVZ38EvHsLtzOa9hIG8FWrk8jPow3Kpqf5i8rHzy0yQxNOxFNTJSxtqzZV+za/eZ
d2k4yeBXV1be51Z1VxQKYmGPJleN6f6fEmHH3m5plSCX9t5MszXvdyaahSHYNRPCxuazncI29SCf
VQjxkgZ9Hw/0wYysHcw5J0gMT7X9Eu6fkiXq+3Cr6d1s5OnjLoNbF4ciU9uIOdVU8qUds8l4aGp/
2/JdOaWBH4dqapkAGr5OHKdwqPlc9/qoGXJLhq8vNsyKs2RMuFqVWTSZDYg478Xq3Mz2PlnVso1z
44YF4J0xGwOvwmiQZLl/oBYJ6TiGPKfSilVgrX4f50HmzQZv0J37+WkqmjlvGC8j0y3aK+1ay3VQ
+Nst57zpDnEMM4srOPyo/5YYyzbBxGBsbx6Wk+9VIdLFaSclFlbEAFPQK+5BNiOXjd+eZxgcp/+G
NSHjex7aY/FQem4SOrGrQgCgqPPRuZv7t9mT6HFDX/3C2B4OCvxlMGZmzRC/1bihpzfdue2MXnnt
mPlgPLwNtfH68X8O8uvnQArs8tq3kZD5sdWg2vhW5qLLh2PeOCsP3duaoBj0FjA/5gMNeNqGkff6
oloNOAtSOq1oic8waCugrFWigRK3YT23jJK064qP2B0Y2wDY7yQyjEpz3YretPYQOseArWYP3fEy
gm3HCmJfe32mzM7p0eKubYSyToDVW3duvr7a1+mBQrNifAQMCl88v9oefhFrxjxNLeg9Cgk3E3xz
bVFTZY/ayBEPoePOnG14XyeSnteZu+Qht99i5QPUIL2Z7zC7xinbbv11QA2tNH9oK6d1/b1hek1Z
nIFk/aU7phuiZe5VDnMnr15F9t2oeL+5RJr+zRJpw/RBWlFvDz9Iit3bEZfG9gttuX1xZRrwpWrM
bTnU2tvuv5lFmqnHuUqrND80KUaEh6x3rNQ5lePqW9Ol8zpX8mIMJ//4NuRoMAZuZ3lV43MCtFy8
6PKSc15aKBjNRyq3IpC7rjemJo/NMU24uFdkqBRQqnRgmxWAAZDNqx7db6G3cGRwvvK9cp1FERxK
isVlvXDCsVra0+S2Zl3HVehWtYySMQU2RCg+8/kM3QZfKBq96qbuZ/674ooQXzxTWUBFPa6n6kai
vQAUUEPB1a0MxP5JNMlCF5Csepv76EvEht87MB4o0YesmoN9VXPE1vvFaOCsoHY4qpZnVP4F+w2e
i7YsT2/GG8jAbCgOc1bR735f3RGn7KkrMobj6Lysmb4NKkZ9RJiZ6CcnC1o1PaIgzZQ4Id/ZHn0J
05EhcpDLlTxRmarR2wttbkL+CTKNn1lLt80a8Kptir/ip8FYKv62Ndvb8055bvNlYILz+T4HCjWi
vNLgyqFrl00YAVmsor52IOP4hECpwaSW3jyCqL2CLNryKswbc4OFwz6nSa/5HfoVektoy0ENe88t
wUtxUdD61jW9UxNPFcCEdwkPuq2nyVU5dqW0DCa2Skck8HU3I1QOw0yvtw3enDsbVGDPQYlrqajg
CCGe1oqnfFaUZ4lxoZJxGPKb0Ck2kBJ7CNuPXyaOQJgAjLUm+yUpUOEfhOq8atwBXVjCRR9Pg/vF
TR2LlpzDcEP1teFqngp923Zs1F6yjTnqCIvJ9zqSxYQw68bJzRyDCnxLnfgfSj0r42GgmAZV0Eh5
xBf2W+aXoTrNCBSuuT0DJg2DzZ/2ckOpKnQjGxYQ1q3qvohwzXrrm7tUoroRou9WNGM2WgzjJ/Lg
YkkgkUKn8qKxAv824qCy/OEJRFKV00cz7Ys0xc+xOtlyr3xqm/5HKHPZYzdKMKjg4cAwVIexYeux
fNLubLttNHM6oKuZLKulpvR9D73uzCyvi9COJd9EmRP5Cg/fsnt7ktd32XeovT3U/s5mGUpePD1v
pqMQhSWzjup/W7z5WG+fQDvKmCXFi3PIs0yDTyBx2z6YOKAT9Z7OfeM28irpWMop1WJyo6fV6vYI
2Ta6j7vafvI2Zd/MRJ6//egVD9+2UyONh2UdYOstezCDuznzU9VGymxAz91VJ6F9Vn2zrfLU0Bsc
OOKo44tLWTadsd4wv10T/uEG3HK78/LFBxO+XsgbQo40CFNe9mvH1uSF9jc5OCKND+XrhoXOd/vN
fWBtYLRR9RsIOQ5icN1dndZ9m0TIvhEpza9M1qTwO8qL3E63Mi5zF67hy2q7rfllwRltyTmCcPvF
rdPZmyFzhyJqm5N+ou0yj7xshG3cZ0W1GapeBwQceNv0ykBsLix3tIziMrOdyg/+Bvh619CD5bA/
MIPRQcDV/QVWziY4BPBq+yFrW8Fd+2m6sBpUyzbbG+62gqpXzkzm/Xbvv++lNxz1TyzAdnnoObSZ
r1Ep73FWbCStoUYfqOp1ayzAgLfxh92pbn5/qXdAE6vJxAjBtYCs+K/Y2vo/WWFVUPaIYqzmn3PE
LJe2jfsucd1b8pC2GR+KbKMn57zgDbfIFVknb5vj7+/lVwjBM03mT2BtIT2+4zDP7V/vJZGODXxb
pA8bcyq+5J611eNoCnxnr1tK578b579eEIskwIEIQhtwMXyHK5bZYFpVbSb3r0K7tOTEP/svdsK3
lf37B7Q22O5/Xuz2hFtql+djJLAt6Kh3F1yqwk2bqRL3bzuGQhfPUloRq3veYXHHAAdOl+jhw6zQ
r+/qudn28xdbqTFql/Pob+7o15nOHdFKBSGHF24UuPn3tNgamobyV6e/r14XlaKuY40vM9qT/pAH
MucVQEivrMzQ4XCgtDCy7UYQKfSzjmVPZ3/wcK14HOVY7FbskV3PxwEmE+smXx36yVi98lnd6zb7
+4d4/xp5ca7pmB6MiWVZwXuWlXO3n+zFkDfZWG47k34phLrRa+YPqxHMLjkzvyOV/7freSYvcvtn
C5T6dZ76C9WIHZjzzduxt6QZemWzZWdt8RISTfafXQ/I3wpAFtm4Waqc479ez8FOYTUyLzhuNqsp
RfL2NvyyYl00Y78dGL+/4K/7D/hsCP3ksgJx7rsgmu/wTMSiSz4gvjn5jTGUXoyCxHe+iIEF83dL
8K+X4tUhQiB3iE7ff/9sdWLX65yK9PRaikgPdIR5ZPebEPzlqd7yE+5e19lrDsD3tgMvTrO3XMx/
/fG/SLTZsj3Gl4TG//n2/9tiOv/5d/7rY1vz728/Qizb8BLa+f5T29386zdxM293t2Uo/PKHv8Q5
/JvAhtd4z3/zw1/SHH5JGfk1zcF2mKL/muF/yXP4c2Lga4zDy194C3IITNIaXBJUoJPgpCGe/hnk
YATE4lm+Zf054+EtycG1iH+gQ4M18gVfPPBLXONbmIMT/MNB0GxBLYPgM7mD/yTMwXq3Gt0tdC+w
PTZVJyDBKni3OkB48bk0nneWi9klO7vQ5T3uyeSC/U7GbKzjJ8pofeggCg9wJslFUE3dM2q85dFr
gu7ZFcX4yXSa8dPWkO3/NJJvc+7PApRfKTRvuzuw6dDjBm00Ny8xB386X0PE/IlFl3UupNt+9aiF
7nozazYEzsijPkfmHnamjMeuLd2/WcZspL+eNxAtjof+hHPd3KQYzruFnOAyQzye9+ckTT7XPbpl
8NQ8vC7DoRU70Xn+lW0GjWCYhH+5uGH+SCmWf1l0o3/4aKtoZ/XqXNArj/tSzNVxqoa53A8I4T9g
qejWeJl97wx9NF1ZndMdXLNzIz3MSVQsNZgkeRHkWNir2cW+Ja3YBOZaI2X5/m6eNTrJYM6MPnIm
sUSyEPZzGjRQsiOAtR6D9tJHR70nTHC+J82hObSYlGVkTE5QHlIAuyzG4VvETu6an4xhMPZB6X+c
kfQRoaGx2ES+6Jobqn0gvMxQMhpaR54og5O4NHB54aybV3TFSkKhJdg+uqzJ4poe/HNTBDXSwjG0
rjxVJKBR6/QJTZo/RrlZIXw0rYxWgxcgToFTrge8E+KIdCRHgWorzN5UjvfhbBQfzDHPrV2Bp+25
ak2B88w3h12QYa2i3xvyg0TTvEaog8X9kgQphpu+F1Wk3Wz6aM1txm7iq/kcBmGV7hq7me6XHPgm
xmMzJlGO3OxQWyUuiSaZoAEiT3SWsXdT7Vw2y4BrKE2BuqMyC+eoGLTLay0M9+RJ2zaiyhVDpDzv
s1+swT7zRHNXNsNyGNPeHijYMx25AxBeBN1gHcyiGLBoK+9urWzjiLMz/dFntjyUZn4IJyl3rNTw
DLNZ32t7lS9sbXGhi6DYBd7kf838qTvp2tT7ED7rtOZDq5E6T2jH/cJeRdxLl0ABKPTxGEyFdZlg
9rgIiWp5cgp7PiHZVl1UoUn8w1WmvEU/BaGRN379B3x22Ua27h1q5Zx8hNBK+xwQVntOJPxBFDvW
3kOWGoVzM5dA1F1UJLVQD9ZQ55iSejgPXCpO0qdwFkljRUE3lT+aIkvyAFqvONpmq36UpSQ1QJZZ
LbOoazppXo99OORfZV5V3SlspGvfjuOQXOhZO+fKdAr5WSx5GmI2tduv2sA+GyfhvCAxtsCLvjfJ
XCDHDSfkEmJq3XwPYYLBvU2C9VqiOlnj0URzvZ+lofOH1WnX9bTSDM+xQYoG1Eoz1OkO82bafXFD
VOhRidW+icIVVWGcqtI86T7NOAqm5mrItlSB3nTar8j7nbMF+LCpaM32vEKs3iNO2jbDjOcvdd7c
FpqwDHJD+q3bDrnasD0b1n/vYUi0pfa9NyZjlEl3/DTlUAfRkEvufkl9ferbRZ9yAAH6dq99VtIO
Uap7spO7DLEKfjxzXoxoNpf5m1kMs3ld5INn3oSJcua4gxn5OoxViP7UqDQsKVt5yJNn5BHM9n4q
MIjxrJO8WXJbP1WjY+APAxrS5XhcEjup9I6TwFq/ejNG8u6CktbkS5mGhG1E1WqlbhG1llbyc5Mu
VY4UHnT+67xONVMHluayHbS46UeLO5YtNPtBzVNeRC521iM4W3W7NplcItHm6NnhbJYPc57at3go
WFioS6vbwauQVyOkJlogWHGIL60/2ZGJSLm+qpFdY2rlDpi7decC/VqQaUiIlyLSjpfMO1JI/C+G
bBQu9Hwow7hKdWPt2kCsNGYZ8j0acF89txYWrUysIbkromijJDDdc2ov9r5UY/tttKZHZ1HiLInw
8I7WFKoPM9xotTNKN5HHIAt6N7KCHLQRv0wSux4uK2s2y+vMkQmQkrE2V1mlho92OS8CL+mMAFk2
oiBHwcoOrSr3hd0aOq6IDLlyq6K9TDKZXc2+HsZo6oPqvPRB5+2DZbAuHaOaztCTOGWYQAa+cJ6L
Rw5XNOx91UZWX/v2ZjIag2hTCmIsnfxmPTZ0R+x+Eqfsjn08jQnocA9LwoY/1s746T8vHP8vNeGf
S8J/W4H+f1g4OghPqLb+feH4S/j3Vjm+/Y23yjF0yHZDKgkZAW/lo/3+V+VomeIfsPaI9qjZQoQh
VCZvlaMj/kGqEj9CsAqnT/T4vypH2yMtHmBmyyhFW4oS7z+qHKk3f62P0LF5RM0iR3a5IRQcGzry
p+rMnAxD9m1rAqGh+JeGiw+oWr+/qP61ZfT7zLDGaKnb8t5XwfU4duzjsugfuhbUzBzGi3nFz94H
vr5+8QOsQLTJUbZFdgeMbHydfR/GV7Rmf3KDxM8iysR0vGt8cM0PrpuXdh0ZDcDnGbo2sG9Cl7yH
Ryy/NiZBo9Stc+zKqeuug24wfQztEuvREpUhhmgXVWBZuAetUxNUs1Mw/I9oEyZviYjNqayLLFwE
SRx2Ek57PzPd8ZBVrt1dTG6a418vIPDMrdla13Cf4yuwLvx2tZ/cFf9PGenWakHg3WQJjsgvV+88
5zT5CVxF7hcfk9UwZhlhnZfkErVe+7VoEoTWokj9nbbHZez3hA+YUsTB6MN2UZUVHXbbyh2PoEw4
c0xHj/EswuwyKSwt8fZw8BwkJYYE8KEa2QVtcarTtnteiO6vcTk506nAwrZXQPbPKzaHKHDS7JSP
+UPK2cvLmgtYtqY9FbZ6IijHORaTKiILJeepVCnFDDEe2Sec7irdrzI/+8FyDap1mal5/jSmdRPP
1eYKWrI0amRISFAqvk9LoiAX1DMg8RhjkkNQ6OBPKp8WOaHuCa3igrCMb/x/Boa9k5Tzgw7mMcKF
Vx9nhtRw0AR4fqeOyPv9Q2A3R6Cpe6nzJ5IEfhKWPV3qsYXrLdMbzV4e1/P03NbjRS3b5lQiZ935
ubNbNNEq49qJy65D4QQ+f0fGRRuVdvnU4d/fkWvR4teXf4i8Ede10MmdClsR0e0YUThTl49OsoNt
Ko+udK1o0fLWhtiBWMVDk5JHBFfKho23bbgOJmXvfYDSM+I6yLJFexGmiSx+kS7ksy2PtcQqF2T9
QvrNuu673jPu08302BTpHxRS7a1nTA/elC/Q0mt1NDtOVTTL+akphQBUNEVEMQOe1HjzYQo898y+
kB2GwQ4PUJpu7GVGiNRB/dF6ZY38Awdpwt4RlSmcckwQ2bfWcdtYek29T1N0kSRpjLu2depobKY1
9rRBHIcpq71ljHkU2MtHy2ugQKryyaiSs9YN5ODYofeejE/emuDEIKvrIus9yp3OzX+C5w9fZu3H
hTVFRancMhplD90CKoZfCgf4pRATK37GYofORBs/20mQXiIJIvSi1g9MSrNC6nULGTFOdmnO96sl
lf9QuWV3J8iYaLCDQfh0gS0OTpvjbPXpNGIL9dZHcp2meDItnR7zorUvmjkd6nh14MB3TKxSR4ma
vs8VBgMzkfIOBaAVS8m0SENZUcMuy/qDCBvT3Ke+u15QvTQne1KrCo8TU4tkQ6QSRBJwt1vvpaaf
yMgUJjzivg5imefsJw64kLWmwp5uwOw7dWMH3vg84jOS9kYK01vL2rzMmrBGCxJ0MQIj+2iSqxP1
pQJVLfAmA6d/RSZhkzWRGnsiVvAadppYo6539jgTqiP+9jyyA/15AZN48nNcdVVhfGVJfbKxJUdN
Vbb7up+I6+jdG9KKyt1Q2cVlY5CVMAYkP9hd/lRjb0OH1Hn5tT2s0opq6vAdulnrrq+Tx54YAnRR
RPtedW7VXljhdMCxKa/knHf3mNKMh9Id/a927eW7tAx7MsfCAdd2mrGMCTez90nb4GioVpMMg7Xd
Y5nHSYmP5KYaCVzh99CrGuZ6HLZVS3ElPtRaOoek95a90VfZ0a/kXZVR6OfreFKWmdkoEHB/9IEO
ojURzQdqnOdmbr0T+ujw+2CPH8j+yuBSS1pYrFKfBXYxelHT2NuOPLsVCSLlbDl0XFY3/Uxal6Qw
YzIuV3q4QyBna9fAAe27dqGwTYMUxY/FfhCsNzk8wK02THm95mERNevs7/JmsTHFFywt3573k2un
xyzEuEuEXRCHBXF4UKnH1UgH9uDpOpzZtYhxWRGcobgwkc6dpxI7mMDQGqWWup/JFYO8abFbuyQO
8WzhqV+WI+Ka8DyYMolp5Uxa9rD+viKI2pv0SfFsGcauG8t+V9QtQrcwsMePYV6EO0CAdde7Vbgb
p/4cGiGWPqP7ufT+I8bFdq9DNR/MsctjtYaartwlCqdZssM818uFUfY/ZKmvqymZ0ZUSK6IV7lEE
Sc2tTWVyBQjQ7htzLQ4qn8yz9jxxMjwfoVAHRIEZLo+DtCSlK+CZ57KoqN5L9rtekIZirrjufYtk
gOmLDel7SdJngr62QWjiUMZ3a2FdMQfG45i7WazK8ieVeHhYOv0lxXZH4xWylxWrl1wnrZXYoCNs
/aSNfMNOqmKy8oa7pLSTOJPWeKOQL3K4410RZkob4P3swv4Pd8qrQ+VRMMjF/VTTHcZ1OfZPVcCv
0oM7kC+zTD8H2L24GIsSiyVNsz+q7A6mq/gQ2m13NgNbXyEkYBj88stcJ+aOzZQosDaXn4K15cCY
nIc8F8QypAv4whKwr4u8+gZOYYOlrO0Z3ThSJenjoyEr9TAWur5CTqv2iGjcWDrrtxEjZyQh+KBF
uQdFosLeDPvgaTRtfVc6I6K9RuOXiDJ/Js1HlR23L6eyeGbZl9M1QanBx973+LsOuVwgUGdRLSo2
qjD9MI+VuvPglp79Qjx4QpA3UqU3Gxt9cuYgdeIlK7o9TQgDneWZ+xh6pYoRvw10HMHe1QnBfuix
cfPOUq3kPAJd5UKCcKWt/cNrlsbbrbznyO6s9lZaejqZevFP/uIFXxTOrmca3O9wO9OtNh2j2EuZ
yVPRTc6tVwu5tzQZReys3SShPtcY4VO4EaSwQp1Z36Ox8u4VhnwzZtc0KDHsjmQfd6x+joMTkDEw
FinvFM6ixZo/iGPXWR5LpgFNOA1jqOd4BqDcranzgEuSfIzJvIJ0KD6PIjS/NWl/Uaks0buizdK4
T50flRjJvhG5/d1KC6OO0feGJaKCeTl3qh0wTJRZMe8Wb12+m1VQ7bp2Hh8IAQBtZPO8lplRHcNG
3GnRXCb0u/4OI0i7nIhnKpjOQvo/ktSv4wyt1W04efknD+PstQWJvEOlVu29HEVrh+4JZKT3MfBM
Tns/OO6Qk3pkjjdLSaxYZCatF4EpzelOY9Gud3IZ19smyKsjkiWkvb6aDsDQBHFyX8dpEMaxoK+t
SWir8k/sZuUnjrj5c6UW86EspuRkFn5+Nj1FxZv04qJvpFHgDyGiBKpOVU+pnRfrJZpDECadDReh
YbMgMpPut8ur8MLuBxln5ImV0eI23U7IFAGeOQ4fJr1Mn8xAoxbtiJQJxja8bItiunXTbHgk4nYo
WX9tgXKkR4JbexlpAxnK8XCYiCWifRjVx9Rih0Wq4JLmqMPOEZFbdavc5wXr4RLKF948wL36iJtM
i89oVnO9k8HCyQoZFrIQh2UC2hCgom7pihskntmz9JUwKFbmh0o3q7XDcW9cV82SPye11xyGJCBx
rNZLdSa8xNyB56XkabilEdBzq/qTmSzJB8lHT0vN9jrU4QOoMEkATT9/a+qGHOTMLw5i0uklCR6C
Yl72UzTVsv5oZSqLHNO3jyqoyytMvv1hrSfiAtK+ijtDV2PkDZ13UFajPlQudoidpxMCUGVe7mVh
zVd1o+fIJTDmNJMScWd3+GXuA78Y2lv4ucXbhaD7vShj+EObYqHusnDdYIXZtrvxB+VmHswY5v1e
uQ/tlIoSuyj20cAnO6MIszrELwqSeFmRrhaLkRjJitDhYeeMGfvoElQLpZNwTlMmvE82GMq804rE
hBPZzZ31LRRBsjONIkmvcolqIGIKD8Ue+FTtSC6VHYC0r9h9CB69kpPRnWag5/uln+gFwAiPmuS0
nZxW44KEiO5M0nCxmycnv+oKLyeId/Z/1kPrfn/NNRlyINvjUncfxxLN7zMq8jmuQQavJ9ZjFIxa
ezuB//yPNujSk5hrSnBryoy4xx/5pAtl7nPB7rxHilYeRnvUX00K60tFclJU4Ypv/c48tvzaC73l
pXRd3n3OFre+VwjQLnRHPrRdu93OyywQaQtL4B6CfYpe4lNMDBxH9N9WPAxFe+O6fb3DNOI+jlSR
+2lZwhiAq9innHUU5/26X+xh+m/2zmQ5biTbtv/y5kiDo3EAgzcJRMdgMBgMUqSoCYypBn3fOfD1
d4HKRqJUktWbvls1kaVMZDQO9+Pn7L32ps+cK60qhjW0UMT5YextG3i2L7alrH2eNtUqSNmZshLZ
uxOX0S4OTcBZpe0ezTiXCw8hGpGSasMuMyxAeZEHB6a5HXglq1dAS2UY074WWU0pBVESx6yrVsKz
xg3rBoyNp+xNPTGqKViUqM+SONqMKOhpZnOMI61LP7TU9KvSc/K9FgcmMiNOkmKUhQvptWt9Tdcm
epemucW+kOM3dLTbV/ALrJ59r9LsRqV9QUerMBsqcDAw2RRFn6tKItUPEEijMISeWNLfB6TAfbdK
/CmDpMnQA75f2g0cOuN0F3W6dxpUSEeuiOU+lbG9MTIMTnpblodYF2fXpc/Xtq3C/1qFL61TJAjJ
FhBUJWr3lGo14s9cTzciCywYWp75HCI9XzF0AGmdx1H+DEDjuQawSO/X3Vk2Ap5VWQ2fkEe2ezfW
5ytsFxmfX9/Hq8EG0aGKMPOn1KT74ISMoObsBRZJtJh+4bUV6n3lcokI3fU01/Tds/evOJvM6PVy
03cF7X1lmhtAeQZqMy84JHFrv6StCnC96BKN+SR0XytUkm0amuM9Fr36WMqkYLW0zk7oqeMbjRUf
MxBPZ/oPUEJ7S6F6HBjDndqOejvRB1icS/tHuW115dV1tqE9PO9DiHOfx4IrWtIlwz63OrRlWm3c
JZ1DR6BqPnaR6g5OTncY249zYCK6xp9RXbmVhBFoaOmBuchw9wreCeP6T+5rlGJTAWXEmpP8qugr
7DLh0E5PQ0dLnX7PjQlh6ZFS6iHWkIgjT3euI2mOfq1mCscyYvo213TfUWUDuOo/eKK+GcVkrqLE
eESeB4NrsKxtJUGpjogMniLE3Ctz0UmCRBp8ow/sB/Q19sqeUwMcR3TEC/kMCqbdT21030jxhRE+
9R+IxlURVkxQSuPZjAS2w6GwPrXIJtd62Ji06PNHhaXtS1WBodqGqFe6FV0Pim+gP4z0ZH5xpw4w
SRkmApiaG3wY8DhDwhqGhgbFNF5qIeZylblBQNsJJ8TWbq0ppvjPBXccZWMUNb0L+H+7W1WmXUre
HvaLRbzaaTwJ+UbqaXNAW78aoU0orjrBmq+qcm7SxK5uB2lRWItUWyZFaSxWuGWyYjMgP2w3vR5V
JwMR4RV/4K/Swv2CTv9iJSWbhxtHB6a16WGyOVwZvn0M0qqvdyk0kY2SPQJMYEKQstQBeSBoSl08
NhxJdMM7wGTG0gusitCfvB4WvJDD8kxQ5cXC3hk2lXDYLpQkoJ3DCNGj3ztD/SF054NiwftZXOlg
IbUbVLnUOpld4+VzDpUYuu2/MCVYUQorg976BaW+T2VqQAWpj0043HlJ+0nPY1Y81JSNp4q72qoQ
3uWTAzkU9rXzD2rJmXPtdjSsp1hY7XUXaNV6bCS61swsdpFehZu4zMVeJVzOGrtvr4ou1OlcAA/U
U/vTvzimJBhjPyqnD2kIQsrA9oH7oolXSWf+GdiDuB9dO11LNY2N/0ppsltnuGfvM1ZS2szH9Lo/
NDXNKATBvggwLEHi0eizoPjdNDp6Wk8WN1aXtX4A+AscFbrXfuOEYiGn6lF6YBboC28ut2k8VS+t
gG1oI07Il9HB/DE1MC35Ykq1l8XldOvombZPOPCaFSI1tXcRnh2dlCuS47lJtGaMd2g0K9wA9Zz+
pM7i0Qqr/CVOhHtbLqSouYv6j1osv3ylRXmR1h5q2tB3s4LSa8foT/1/iVEG0KT51Ci3rLD9/UOM
8jqzWs+zJ7dfsVEyBWZVGTHTvHiGkYabM+K+EGgnBPb28BUgFQfDwxTa76gQ7K8MqbCeuj3PwbSR
TQv8xnMfR1eyw0eFcR/CjfaBZt66og1ecrU4/fPAhfG6kKUyLuna9WhQ1Bxf8VJ1N4COtbxObV8Z
U00Sy/5gFew/K9npVbL7ATeV4m1cFVxuKO/GskJKJMvmsams+hrfiDusotLxGGGhn91NVRKgoU3E
sywVOPwxtnXchOgz1y5Ks6c+7bL/AKhyWD21r1djt0MMGx/nqqqaNQcWPqOmD6mYprFDQdvlHcf8
Ugmxyzx/Q65K+6TbV/C9V9/iq0ItG3xEFure7quO5pOeVnLFNQxzuaF5j5nRhp/sCPDMugiDUK3p
qU2XCYwTlkcetL9YVk7LxVsZHNGUoN8CrRgRIFCjrJ+JujhU2L/WdtWPuzAO6juopMZTgjpcMb9k
w54bW5xbbEgQrv9FXrGXleds1oanr9grlGg9VgfPvWkmrXtKK00/6fk47YyKbEsur615h2fCufwU
iNUhQLw3DJNmqDJ6ntKyYFtd5bZbGNSMUbT+kYtlNl6YnOjwAzv8gYvVVDkI2K4JkzXwgPMctgxb
JTDdjUkb6kGfnfCQWGyVRRZNX16ZWYCBKNRmiYP/FZwVefD3gPvE9RNusnI7apy6IV46DvuxXHPZ
gSMPyHpXaaOr4wTJr5tAOVfDqHebqpXpsYLT3lLZC/1YzuX4Di1Dx7hWES+BJsTy0TG/wgq1uyqt
q5M9je4+jwRWnGGudmOrW75ZpfDNtGbsbl4pXHRvoYgy1H7Qqe+OTVmP2x7V8J52pkOXRosuU5SA
R114XIpZhh9WbX4Dr+6jNgixYXMK9jKyMVMtcC5v4NFA3RBt4tq8Akjgngsl1dWI5fAgNQdfgQyy
tYUcYtNTMfr0m5tDi5zj5pXZhYP/z8JVYjMEk75N3OkF3k3kGxZOhMBNaCuKIKdX1kyPWmyST9GA
BXxleqHxcncRVnB/+BfsVabFBI7ehTlnKrFGXuKsOrukltXn5jnOrMnnqjDvp0ZJVBui7c+uU9IH
Fl6Wrb/hfU0Rhw3ehTKlnzWkR82p16PN+OZf8JdI3XnllfPJTmf+ux7ctaaabkc8NCtjSB+91nhv
hmzWtlZsYsuc13RKXryikSsoXjD0xihctwsfrHC0cmuI1NqPcL2sMLnMLiN7cFtEgfT6jAhmvjWj
2FxlSf1UtXVylmEPhxwrW113uwFdzId/UGKmjqhGn6mQIYJ9wxPLvaS+G/v6jnl0RsRF6XK0i+Ui
GGXarcvsGnyiEV3VhW4c8SV+sjSnv4G2CLCa/X/1lTcGtOg9Gpoe15Y6DlWlrpqs/t+x9deoqZ/m
9n39q9chNIboX+od7xcd4g8ZtN/807/m1w5hpfwo4BNSFzYC8X/G165JThX6fGbGuLBf/+bv6bX9
B7hLAe0J8ayFVY3B9t+6R+MPnSgG26FRLGxjGYf/rev8TrxKatdPhIX2awLSN2Jy+GEwR5Eh8zOl
KZAGfz+87iHpFhzB5V4NDhocL0q5FNCV9nbRwi6RhcFBV3BnufNic0bRERfxaZRQUIYsct11Y/bi
IQli80kS4XDG6FDcD60MMEwJda5mc6z2DorvfdVwA2GsJuzrWBtKlMdFqfxRpTJfAyiFjRghLzeP
bqZFp1SUGglH2A0O/Vxn9aZm+wYLOk2j8NNeRmpN4kPxpc2ZtQD8nSwIDa11G6GbOadRYBGzpehw
go8zDw3MExrS0uZmirKbx4rmHhPZcpI3BukCld8ZgXnVw+fFuAShw1OxXmwUB+SznvOi1ox7us/8
FoH0zypo1wZ90ZrIuoBR8oOzaYNCyrxC6yUbnwOY4QT8VXsfk17mbMxZz7/EfOF7O7DVWRY2Q2PS
gYJPs7RhCKRibJ+qWXP4ubyyJwvmzFMx6unFS3V1ZjgZ3Y59UDxUaBlvu7YZpmtVk92wxq7EVTyI
HBeyJLP6wNcF9vPVHFXuHU0A3Puy4oNMRECbSzdjKNxWopy7OZ6rDyJ03XOQlSiGmKrrYh1gmeD4
zcZy67g5zbLZuVJVXt2movbONkix6JjAxtozlq+2A0quI1DtejdH0XiMes/YqmjAahjbYNEFt/87
zWK1JEjcYBq49j4XIVf+oBEPAULVK4jX5kHLYusK/Wd5S9MFYfps5ZSZTiIOVjtyP83S3qJgMOx2
zxy84z0Lc2sWXHvHOa+fF/bXUwV22PS9ubblIuJpP+EqczekCXWSaePk3akqxCAxWd69geL7Tpkz
XUsPRxEd0MH8YASqbWmsaDZuNk7zF3dOIX23gtFeZTrhlhlteLAUPZB94NTdTPdyMqZdHPTa0Qi0
YSR1h96yqSu3wNRkekl3BSnXRjM5Vv3FQRGdHjkGvXPlagJESiPlu0JM1k1E/tEYAh63NH3lQiac
bV+KZjZ3oZp0LyBXKhkhxDDuS5v9ZMel+1wjIEO+6o21H1XSDPh+FlUq+Ie+XlpMrrvl0jAjcyQU
QmPKKatev8rQzMZPtCm97mDzP2J5WD7vnSDU7ql8uValwQ0i/eE6Hrr2KarzE6bn8Jj1ADg/JrZG
EsjKMPPS0g5hrjvF2qET9A68BLTFeaIlNHfzJiA3Z6tj9l3hW8uwjoXjY9xxEdC8qLxBkVtDcewu
SS8oA7OKETx6TQGZmzX0KGUQyj2Pt/ZQhGawK5tmXsSjZl6h+RUVnHoDtCUYpq3WvZbNBa9hP+kx
I6OhN/r1RNfvWmMicVX20CYnr7iUM3zqpA0QT3N39OA1HUZcSBtHQYO2OnCSiAt3I/Fvn+yZnSYL
Gr8O5p1yRbKbYkMQ29A5uC/VfUdk3RrrHC2FxH7EAoqSjqY/OP2+vKVuvDA3ZSjRzHxtCwo6tECe
D3j32Cokk9Ki9VtQZ9c6nN3PyeTgpjOCZ8A0416NdcagZHBvk6EEMbNgpa2sHc4CTPq2hsADsT2a
dpacT3HtTruMlBU/itoMJF6KBAMmuC/SKfXjpimrNQXRcxk4Nr0M53auGkZbKeEuRjT4qVkCiA8K
cqCkpt80TTDeyjZzcSWWf6KYq3dFLNxNHGC1JHEx8YsAuUqJG3Q/l2UMb3PQDkkekyCSTcOqd8IP
i2hxHYoo9lNngu3k9TRfurJ5Il9l3Ot52L1L+qZjYYzaLmzUl76R2Y7idtp0zSgeBmEEH8wUx+NK
BZG1gCNypEuuoV/1Ej3g3swt+7qoY2haeA3jVRWWlFN9ah1c6N3+wnO462nG72IYTLR5MFR3tpWz
KuTsnKa2JmSJOW2cbNw67i4eeVWPXg0518SouuHsjU5cd+o/i3IpM3GupO8Ja8uRLQ4NrRXD3eZt
R/7BPFTPtCX0J+aq2qbDnumX8FxOhWuU1+RVNPvczN07NAnFTSuVdgtLCgpEnRMy4dX9NmxRgTZG
INSqV10qDvD+w6OX5i5EjGKZHHdx7wAGZzC6qiUjF2tkSGh3izjFEObJJAoHb1KkCBuoinjnIO7d
ORXRI+AUGHHB8eP22WuPXaW3T6y4ol7H/Vhd62ZzkUFS3qm5009mkhZrt+OT7jOWgTVudQWJXYnI
2hsGlJWhteD7Bk7y2Wyt/HOfN/la4s/Hq9UFo805KKdD4XBi+8lUMwWwY/GujPrhEnmp+wlobrhh
euwe68D4oHn9l5jgzPeYPNQK+SfYfMt+V+AAY5LQpjj56d4Ngn1unurgXdhYO2UmHwLCtlyjtncg
ILrVHKDuMuPp/TRMHmb4EvuS07zUecYg3aSrFSlMBcKoPocBUrY00YjUcM1kPxh9UfrGPGFCloE4
w/CEr9uO6V0h5KkIETPnuA02eWcwcTfCIe584pzGatOKfD6F+Ak3Vd5+6oEsT1wW0cP6TMNMOiHm
kO0dkaAOpl4HXLdsrqm9NFLN2kX2hl6V+EATxUAQv5AM96AZslybY61/iAwn3iPScT43orn0g/gS
5DUNyJhsIs15Rs+nr2s0T0w4dBK9pmA+VvrSHTTr5zIETz6TcTMWKVK6qKo2Q1GTihEO5j5RU05P
tbqycXitEinexWBzjyBIABMi898KRrk7I+kwKujJrhnI/So7dW/NUUsWRVRgS7X9PkrmTx31JxGT
fXnPBGPw4xYQzSrIzWlNns6wsWXJCLBo863qS8DYmvsxCI33Av3Ns16DN8PCk/m5a9/VomNd2R9z
gwZsPPcEmkRxdc0Uprzua+Ozk48+dcEnpvB1tO55SZAv2nHvVkGyaq0K1GdNiMTgymhHxeJchDaF
XJbGZIv+Ut3SqA3OxGLRVCvXZQYqI9JJuWpRfjkVS1S44XqKlLFuRCJOZpW8U3RhLoGKIAPRI+pX
4JnKSx/1JSIGbeUMkncXljTHlHvU6lauWznDIIl3S7FZi+KWYXS4IEGuEZd/seNwX8PVWEWafhuM
7e2c0WHBWuY3LQ3EKv/QZB7hba16GLnoVqK77bTihmqN8A6JpgsBiWIg3afUgMRmTgmPOZkTJLbY
Zkw4GGFx9hE3iXuUeV34EZoCY3JsdOZpPp8NMiyu/1ev/Jp+/JuLnwEHC0ftf9Yr49qLcF8W37nj
vv6jv81uxh8WgmSHxNvF+s3V7p87n6f/YVGpYJNFZaJjZEUs/LfZzf1DoEY2gIuAUzLtBZT416UP
HxzuL910XEuQXuI69n9z6RNv7LrsedQhZGXD8l04sW8NxLXSVFdnLdD0yoIWg+IG38qe/m+8CyK9
kDk0yykvj8lSV76LVUGBXk1RRSyEV9kvDrYMQ6wnHXu+IheP5UstSbBvch0aoFLBdxZo6LHeNO3u
m0/6J/fVxdr8zW3VQLNtLSBkFN9fvXDf31bdth8pz+bm2sRGdBGIC3xsVRhiBkc/jdpEEOavfyEM
uR9+paULwdOFYlzybb5xBmpglKslGhV1pncsO0dLKIBA3wKvIJIEjkCt1XuBJ+SZetyrCcm0BoCC
nuzJ1LFDeO9XgRNTssyDw6dSyKCfd0Yn1dktYry3ZdGrMyx48ZAZopt3VlCU10kriLsJIcajjYYY
Kld1Q4YgOCLSbrbhSMbDtSYHdcnm2l0bYoYHDZOwJV5wcbJ4pBGRpOsEzJHgcgnySCUMMgQHDdOc
vGv7fhu02nQzocx5aITJIiAE0n5pzDzeTRYcis3cVeLUoLOLfSeMpxCIjrfcW5dXrhOR1qzrKDQe
hOAkXMVOu7gmmqR+1qJJnUPqvJjuL/gnKiyjejaGMZ19WRp1dKuinFf0emOmbRmpd02NPYxyRzPE
A7Gcor02QPkYpzkdHW0rnUlW7w2zL6JD1zCodcI2YxYI6xM8YlMYD5qZGeqJ1rTSPpjGEhQUt4rX
Ay5RlVdN5XInHYjgm/1AavzqjPFoiGot5dUZyZKsrOZa50qFZjw6B1wT5ApgTB5RfC2p0dRK9ksy
hsEjQn3vcQBZjEB4xO4FI0beRdRQs6+jL2CeNVl8C9ICIvg+In6x2qPFX5Q0ZYoPCS0SH0sM+2JE
8tTV8/00l0tJBbNUXIcggaMDMYbGAzp52hB1nPL9gfG/9moNMU2cdRrqyIFxbhSO8x33nIiMzn+j
32pQYt2mpWkPid4ji2rVSGd0yMswuOoETrhm3ieI0BlB/knsct9Fwc12X76ESWffTMBKHjUaQqdx
qLKzaabhizFalCtaRss85rR9KcJ0eALpAJNOzCzZaKRXMYxD5/pRMvKJ51mQTgdDScSqNgOaRxgv
bXdnxEip1/bgsGwGoiLQVSKqaG6RetrmtrVDnAzo1oEpEQRrQZcy1wkr0vg4LtGKK9Rc1oiQeOqr
Z/6YJ18qNapLnOu0oWSWxUugmv3SGmQ0MzH0xAMwLb6eDCGCXGkczYi+x5kB7+zgCOCT4eFyQIvN
O9DSI5AQHTnCe1xm6kLzhgdBmx12RxTBkM/STCfH1aC/Qs5C2+zDISkJBA0MdbZMu15iYyZ1NIue
j94p+2WMTLjBTOO81byNUsyfGQAujTDU4OV1EaVG80D6i6Y9arib6mNnNFpznpTHK8kmk+0XDsHk
vcOamqcXogwAfmL1IkZ2MM2rebDYIGYSNuiNdcQeEDWAKQ9RcsgHUenQKgNEdWpLkjFPT1UDKPRf
F3KqNL64UiPkA2HZ8lAASeKnwCliDyUMAqFAT6fCd4UbyffQKnvjNsECQjpIKNLyo2OOApMY+i36
Jjm/k+l1ovZ0E5rkAwUtoqWV3YfdJ2K3uvSpYYcQzK+C2W5uy7wopEuknhZ4GycLtWZjpIKfBJ8h
OcAi4DvHIixOSTeb6slFP5d+th3YcxBpJorLTY64wrjNOX/meoXLJZRXEAcXQSp2OV2/gudC4wA+
+ryIDUP9Aw1zHLdx6J4KU/fe20OPTngW9w5q09EXedm/m+D6bNKujdYsjCWQMoyuTAJF11y5YMXl
8TCuhCkmex05ub3XiI8Yj6WV0Nh/CoFbtFsad7LABgijiBq6Kgn2cPXH1kZkaeb6Bw38wqpDe473
pehWcTQqIkVTI/wzawPns6LjwZSzKW5hexx7ZpHTJs0adSdLbtgINotNziGF77c1Ly739w+CoLSt
UehhAMkSm7HeOQ2pJPQAHGZQpOvO6IAgu2fvjIQqlHF+t501plbaoJRfQGLbDPmImCFDSWtbQ7/p
Rye7Y1uvPiReH90PVnYeHV1xSahbqt6pRridECWL0AarTCuzd2NuteG26Yri6HGArbO0ng+Z5qVw
qizkOtBO6U06DtveYJYPHDrV+8JGN7dOZqzYbqyXTxFSWj5a2kwrV9pcqRfc9qmSylwtcaNrrnPt
FwRlDGN7i/vpnITbMTOMk40ah7BYkG8T1yzKgXXbGMN1TabNzs3qKfMTqHBXDoX/NrTFXRKU1Y4o
hX4NerB6n6D1gsRqDAQCToEYNlPu9Kcas9I9AWpyByyFpAGY0YBZtdndTpOUJw1o2jUb9rTXi2K6
GrUloxZu4mZqG6hiS7u87qdkj9NcPoCamj/pepYgqPRmFIsNobS/rlB+KOYWxAb/h966eA3exnCQ
B2O6yUIqUF3V7JGaZb4+mhxClgYlEhUS5kme8v2vf+tS9XxfiDlMIBhQSCpdUkiWqukbz5sVzCQz
jLZ3wGBZPcdWzMZQ0ZJzf4PnfcNloOAD57GY+IAfmICb31RfQ1RKFIwhyc1YitlT9YY9uwBxZoMu
C39T7P3slzk61BKHAtn13hJLUCFCw6UIhO0wepuypBHVRhL0fww8+9ef34+FLHkWLp8bNBZgM28J
/XXoORVWaXkwYcidip7S2yZgy2+JF7pundL9zSr5ye9bhk8olD0gx/ZbQo/AAlcWWY6kUkXB49cj
qIh0Tgwb+Mu4buOJj/fX73HhQny/RnhzLh5LplR8eW+vGRMEaUihnXVoZEF15aBZ5E7sBZzA6Ik4
Ay3Jv/I1tLvBClErx8evX8CPi9Rd5mueqztoTey3s62ysGpdZak8IBxs9uOoMaIRY/n1oozf9ucz
tJ/+FkfAD1oGctxMvn8USAcbae608hB2xGJPzMd2jguk8r9/L1woIYpJD6DX28dcdiZ9MLC9B4+o
zbWEG+cbqvp/WCa2Z5nAdLjtcN18Mw1M65wWK/7Mg4GPbBc3EYtimADnbSYCtU4Adof5N1e6H/cv
9vTlKccpb/KnNx9fEaM2GDNpHbQykO8FPorDrA+UIn1WepvCXXpYsp1ZIr/+QH982OF1AZZh5ml6
AMffvFXPGFGWVrZxQKLr4cRin+xovyMMkO5vUE8/eYssDpKHiV92uPIb368QB6s7vyo3cDcyCSMR
rMSmCT0GsS879nKDU8uq+e/fHzwkwC1LpIn96lr+ZocedGCxkSfFIZN1sy9ya0FIuNGOi85vn/TX
DIfvH3XCefBwWqBqHPfHJy1yG1dnPznMTeu5zBtzRl82IrgL0Gdi65KMrmIwUSarkbpupNZqT0M9
KGCOzG25XJT2SxYaTO4IFKXqnJHynN1UVtlvPpYfN8IlwccxPHYkEimMNwdKEdsjY8eAFc641/Rj
Uhqek2V4gjXKWtqlHmX9r78J8eMO4ekOTxXH80Llc5bX9M1XEWb0S0iWYYm7GrWugtZWrRhUdZ/c
RnBkRlWwrHfg76caA+bzMNizQJroqUvdGvXiZ2QKvqVKYqoxiSxa//oF/uwzYadkrQhI+CCavn99
et1G8+Dy1OezS9Gt2wmzYUazIDXRz9Cr/l0b54dnD7Ti8jTQymGJWm9/YR23S9E/zYfBCqyXVk/C
Jey7YJmqitv4r9/dz34ZfSMwyAQRcRy8eXfYBT04oN50UKFSZ+zq3lEH1w/wmxiv+De/7Ievmnfm
4tEWOpM+trM3jzpaR1G1gT4dZGBzsQzjjpXFg8gt8dfv6k0Shm0sJCbClTgReHOg694s5AwNkpKV
M1JBNFF71rnDgXFx2y59F2glwJEKRXMDvsdyjxhjcsWNxDGbVZ0tx2BZq0sUp/QJtJHLkt+KuXqe
nabZ66R/PHt0vcytDlKV63mdcjkejXA6d0Xp0ef/9Tv58ftZyGA2DVOPWfEPpVBcTG7l5G17YEDj
rkcMndf5CAs+1AEK/PpX/bDQpS1YA6hd6PI6pKN8v9ARFxvdoPBaNYhhrlzCLOCWI2PYaITSX1uF
+m3/cDm9vtkYEfawHxo8+g62Z/2Hb6mYc1PUjW0dZK2sz0syBMGwgff42hABREpXp0aE/a5UyvjN
TkeIw9tfzuNlSmQ9xFssSqMF7PXNvmNlQRcDEk4OQtBJmtd6gmi33U1y7k0D6U3g/ilFmloAaVrs
n15Y8gSaTRjj656KYAUqZbrofU4XcU6Xfk3dOMvFAk0ngBWHddSQjZLsen7+2cFUVPCTGKbsPS1M
oSWkrlne2UlLGMyyvDKNw2A3dY2oDugEwSwYslVne1S0xrDF0fdLaRyBoqoH6A94msCg27qW4gsQ
aX430m04NbLTdgQ5y3M54QHclQ42WrrYZGvqTm3oR9rSeuG3jt17OMqb6oh9GGWNk1XzuCa9a+YC
PceH0Y0XrlhmE7+LFoHA4lVfxzZ4CGATY/lizgn6pFUmiK7A2CIy8Wls3JSmuJbwvHiqWpqhU5hG
52FS/NnR6rm8YiBG09trAIrtJX5XouJrDFybuXb+Kj4H8rPV1sP0DVSj4lmLiEebvtAtx+uUirDh
4o4k0kuvQldTF3jWeXRGdZGVxzSshw5lY8sXYpCx22yIE6hSFA4650XTd6LegihRl1Q33GMo4URf
nEq0n1Sr8y5GM7Hnz6YseuumqcXSihozvmalx/xD3rr9Yo+83Hsw2Za3SY3EOoLRoHQvKzQY2zjt
COCTmI4Xm9VE5wqrOY1wN5+kuRnMgJ+IdoNU1Xk0i6taLahXVcLP9ut05tTy4A3TwokyszVuixHb
wmWh+bfrlOUSnbmvlqSTTc5Y+RpI+CvcHIRErftuIAQAQtbicWMLt+eQFVQUyMxWhjPGDgpJ8HhX
kYLEwLkqhvhUNhk9LbfqW4QcGXdYhGseXcYQA23zIAgvzHYuqqL0pohcaZy0uOFseK0D6Nkv7JFQ
0mqIZEnfjDgqsskCGiFuTbetVF+8DiSGOw/q/LUFRz4OLwbItHiwEsN+iYMoQlbQt6jfvj5WEoYU
K5RnZnTMxH0p7JjW20jWzoNg6h7v6fbSmzc6i228wbPQQoWS3MyizOZzNdqlZ24mbf/nBAZr2KqY
PvzX0QyMxJfANpdCIrSo7dzSsV5IBF46sQ3teYj6XH9wVdGBfz3+HInL5xzRu3KONlHNM/R/clG3
pUtO4DWMEx7TvCKZgRakxQcL1ckyt8Cvw/gOPQEvROj0TrYV0vVLMYtafeiVY2rDAlRL04tbeqq/
sVUmHmSSFKS3N0E8fXY1JhmbxK0N6w6CNV3gaKI2Nnn+sCxwHjMGQDsf0a5grVhMc3CEYQt3nijM
0y7EvNktgWhZPFRYaYNgzunNa5mdHLKmpVs/ZTQlmW4Xs0tLIrGCQ67rilYbHfJu4fDN/ZCMX0/8
/woI+v8l1wmBLKfdf56TfhXIrl/SsgNV+72yln/416zUA9RE4Um+p7dAmeRysR0/t93//T8abOM/
qGzoE3InpQe0NEn+npXaf3BbXMJYKbco56kp/h6VMnt1bSz+FGLiVXH734xKOam/P0MJHeVST09I
SPzQOh3j789QeqbkOQbEHEF/G+64NjM4sBr7Ks/mdOOwv6z1eTAuZiYhn5VgJgXilKulaw7zoxwf
JvSt1+x3uS/qzt2nsU6scMBT4RclViRHFhFN5xDcjbm3sF2uAmvBTlrF49inZ7xTHeOK0PU1HEYr
IRPlB63lrbwcBgQeUUxwsCuM+64ga72qjAWeEeYneCrtQ2Fi/m+dzlqTBZJ90rV+Nbnmu6RMvphV
V6948u8mb0KMV0p7V4+2VbDD9PkFeHt/wP1aX09ONPD41Dk5QeaMfw4jyXEapXOVh4oUuGTuDlYT
eFtGikwW0nKW65CPk2Oakmo1WlOwptdcIb9V9cKo1otpP+uNvoHwiRyNR/6oN+4+y4xLpS+u0M4T
N3nKaDpQ+TpRoCZDEvg2aZROK8w+wRaLUO6zYMqNS7N8VYfpuIpRQoap2fh8Wfn13Fnp1rE155An
ifSDEu1rbznVVhmhwlheUDD5dosClMHQfW2jkBqn6BF5r0E725ZXynKG50KU+KghMq51QInBqcLZ
oG+yMoobz4deLfTrAWL+fF80Zpr2m3gsXe0jUdcMHVagRnEu9hRHyBeLsmU8aJcWE0arW9zqJExe
iLJzKblAZ29GtzYV4uahHnc5lrE9o021c5iSFOA8LedW5cA6NWALqG1iLY+6lTu3JgkFYWzjKmt0
BC5I1jawvlD7doPHbpr0VnrSJuZl2lrLlQqplSpG580Nt3FOXeAgpUtncsUPajGeVoMq5uLgBEUn
m+fSCOxLMyONSRE1lbGWpEyYyv9h70yW3EbSZvtEKMMQmLbgzJwzpUxJG1hqwhQAAkNgevp7QFVf
U6WqS1b/ujfdbV0lkQTBQIR/7sfbfHwADloeKio5/OTO8ddp5J7djskZQeAzXL11WGNJNpq6M58M
emcCsKlhLmlZsJNSI8WbyFuYL6MCkqE53YwcAVSzb7q40rCKTOuFNPn0ME7NUkZzXjX23qbqAR6j
QTqKmCNMQao/O3BjNCM9p4WbFVvwf/jkeq+cbgoL8BuR6AY/Z7Lu92CXPaInGGrDStJA6yxU+hzT
E1PeUsZqW5tSzebdMozesJfk5+ONblKQQxZTjTOIlfSIdmrsssV3ErqJNGAQPNdJ5Bjt9FLAaih4
dnnOpyYV9lYmZXLXpHNz51EggkVQqY2XQhw48AbMGwAO7q7EOLCbKgnScq5AN9Fc8hxi6caF1Fir
8RNQ0hp4ttqTnefxiS1KTPrXNxBVup6gdMKwdGsZ+AUi0yKj2g9LAcfAdfo5sobU3qXMevCU+dU9
oMTk4DciSq3BvQtp63oXSzVdKcy3btTQXv7xssr/74H4O+MQdh5OWP/9gXjz2nWvX1LdfWP6//MT
kefK+if/fCJ64R+MBTwOqK7LWMcMOdn/+UT0HViIHs9JsFhsPy8U7f88Ee0/+LU6PEoJdIgfLMT/
PBKtP2zGGWhQASh29MB/BTx8c1znr7Z8jrP4k9BqeXdvFI4QyLNBIFCRzJff0zoJD0ZAdUcWAAj+
6erc/zgl/0y9/rtXWkc+iAIMAqy3CqasRCWWyeKVbKJrpak+qfVINsap/rGH+68S/t+90rphcAjC
2GxH1n/+00E56Q3aElShjpikQepq864b8B97IFP+9UdCALSRZHk5SCRvRJvBl1YICFYRiS++F7L4
HhvZ95z//r+8DMIQIgfgnbffUU+HUJdSXUYsjUEWvmYKXdZBVgHw+d9fOu5VZmVUP6BxvG33TTAZ
iDrlEw1x2V5PxPCjuOb02VI5+s8fit3eX6QUbjxOYqtwi2rPtvDNtfOHMlgzD+qYjpSVepqMbDI9
4wN9VgO6/T+/2Fvd5vJiaCdrJ/g6cFnfzE93hGERVPStmtPbOm7xO5wUHFwgJBvZqxmQYslEuzbd
UjD7zy/8N7fiquy5OGMZFfwyK/DaWtuI5epItqh+0qsa4IYGkMGc//XPL7VesJ+1qctndH1GkN46
9fTfqGGLzjVnyVIdDc2EoNRqBrtrxk///Cp/+4F+epVVpPrpSgbMWQdDA7Smfta9stvpGc9Bda7a
/9ul++mV3qxMY1Gm9VDxSvSPzVuaxl6Xtbj49z8v682h4FJtwRmDfQSTlfCXYVyixzhnblEcezil
ESWqNbIDHfCjIz40mW8cDUcNpHlSe++2IUU3bX/+zVU1f72unHwCptHM/QWg2zd3KJtaNyhrVR7V
YNdbZQ7s/AiqoEisAaowNustbWdUNDNNPJrtmoqQTrhzGlGd185tMCc1c71gStAb6mr84qcZilBO
Em7tXdhrv/g+c/Y6JYs13IDxANitllVyCesGRWitRk7jcmcWkBg1Dy2AMU35MLeh/VL4dn1y4xwu
RznMW5xbLrkpvDj1XIWHMecnVfiTl2y6WRP5KKop2A5NIk59n1Y7XUDS6CHoPfVGLs5muIxfmpgH
Dd5D3rtn8Sq5qK/GoBvyTeoTuN/NQpqfCZoZeNR5PwDGkUCokd0WQ6/2dZiou8Re6i2hEDJiaFXY
yi0tQygXHDkOXtyqfQN8ChiGDrYwuY0NlT6c9UrWzjL3e1BnFQwMn/UtxZe58zyeQpUPy75PVQ1p
nnLnsyiZ44PGr68sE8JowDT1EISlgfpo2piEBvdqSqwcGkctn72xoGe4c9THxivtl5jPTpRxtAiY
lILdtBcPSEapr8J+4zi0d0WTJ1BzDA6Izx3Ai6vA6MoHlLL+U8yluUrzRt15Ov9uWnynOvfslzLI
vk/dGD/1HuIkW3LefdeRVJHgBPetNJGL3BC95R4Kw/SIlVCceKhQ8TxgBB3gdETsRAg5ws6pznCQ
Agf5N8luE0eFdzntid89I7RurTrnImrpkv0hQB+A/eWXJ7tEMMyNGUAAkqUzjIsQkyuAAgecjq7w
5B3TGT5S4mfFp5CSvKikQXgbuykSo+yHesGktSaFsso2FVC3QYWkUOLhQxorDHW2NaB6kdlBj/ZA
MF0bdba8BDDr303s7r/bsELPfMaZ6gMWb44FEJRzK3yu+XG/g6bL/eO2JmSPVri0CIdpOtR7TefE
dTuhNFHLwVeAMx+szWSTOYoQto2NmeMC7ZqWn50wF2MzkALYLbTAHnp+9zpy5cgBg07fZDjooMpf
w9E29mHF78jzayuJMoiqh46yycexDYcPS7sUB5gNvYRL0NoZ7U2Ou+xoOygoLu+SUcMZKJBVQxhj
9sJvSxgxkwM5ut37AWrdxyQnHuXP2HzKaWXwtJrxnWeKlQg0ZgbBML4JGBPFp4a+2PMUJ9Wunaia
Ltr8O/y78Dq2PIfp7YJ+lhDyN4hMoT2WXnoLunTa6USGh9zgG9IOT18NdH2zDn0Bc4XxUz7Q57FN
1ZR+qxT5UKi8A5C71FuuhaU/qG4eDkjYZQs8mBthGYPqjJ30exeDMKO5gDiQBeavTb71uvW3aQfn
t7GPfT18hkufncvKs3c6BljM09h/SDU/SqvibZmWHG6Gvg2hgvE7FwFd2ijjxUtgqeXKDKd9ueCU
SJZJ9ZsSgiLeuyzPkBkkNzWrItZrqHfbSufhncO+dt8Y/OoLLWkfHhSN8h0RtaVldSvHfjgQIyk3
MCPxXJf5a9YZwV0w5oyup24NfWGRqBPibEiPznnS3FEFC+on+pIxZUmiQ0PFx3c7QsZRGTThXV/p
8UtntBJIV8eak4oieLC8Fp+jCdPKZaFsW9YPEpFraHeCDEnoEHQxZX2RC3TygSBte22NmpXsstnT
YdscpAk3Lp9zFjEKF7Ye83b4ZUx3MvxFG2Zj45fUrU6qkvRx0GHDHUxnTZvJO4Shep+OTsCXQPAX
Ughb+5psm7QAPm7HJoXBVVqCnB9XJ4vDcVt62sJwzarL1O5jXwTWN3NktRrWe8RlMnFbMIe6zV1S
mwORP9Y4NjO0APTubZ64e2AeOKDrFhIlEtOhwbS9GRavJnjAFVoQJLaT6dPUh+Nyo/mG80iaDCoT
ngbvBoX5MfA4p8eLLh86zdpjJKwe1K/uqgJ88XYIa71n9EE3CwZMAnS2+Zn60x70osuWuNZ3QdHJ
I/CU4UDPanhAACeW1mZ3TuYMH/AldXfzlPY3cb68ZKYzvkCMBSo+k0AUi+UelzBbdhV52TtFmvxe
Fh/9Bmt45qTfa4AukE2z9/yen9vBTI52AHMtTcpm05uOuhNzZ0sei8mBxf2z4daakQYPPRCt4mTQ
sv3cVKy8bcWKY5aB9Q7kmqo3C1+p+rHIeoIs9sJ3QGbbGdFUJoqtAwFHdZaTPpa2K9pDlYaRbaW4
HfsupIRllpLFLOecSRzAzkPUycQsThWzfjyYCrdmVbRlu0WSwkcrFdy7yEka6DVuPDZlhJnlfUeW
6zw2TnkmCUUzTx3o5uzITm+1Vc623MYNBRXe1TzaU7nw8JEt61+JvPLYYL4ZtyZDH+MgcHimZ0Ic
a5gEV9gQnHGior7Ensaot+E40GovAmTrf6ezOgWANxTlN6y28LeyhIR6wIxrg0m67djduOau6SbW
9TnwQczT/dr395WHWtPmQocMGoMk3/UqbcV2gV0wlKw93ScmH0W/qSf5NObORAkxzcDsEOYYD6vy
5+FcSci2mTI/i0BTTpuTTp2Bg5NgTPe2x++LhWN4cN3cuLGcCqpi7zNyp8NnPvA7tZ2ozjuwrzIg
B9fofjc18WtBRHznM+Xc2RBAtjXizwcyiNMt4lZNpDdp4ZEwDzI2oXSWW36uyZdE+pYGGUBGTfoA
DnNpGKdscs1g7ycl65vwWL4BgeoNBzYxosGGktoTPvCx0KsvPwAH85tRs/PLZnSVya11yOz7JtLF
m82omrIaBowujmlZijN8oPJ77TRcwbGHfFNGCfz/HQ23XLYU/vntQF8I8+FU3YHVsYksl4Cj6upM
2BNon81Rp8tWJ4iEOn0lGN1dA6lorwsP0a8f8KhFPby5YxLzG3QmTko74Zfxk8MA/hWiBqZ4OhAQ
5A3Lf8DZy3Ibz5N8NrMs/3RZA6sK2+BmBFX3u9q7SxnXX45VIfuIgBMVdgab8os3Bx6YmAlGUlMe
GzYTTCzH4aZn7OgT7WTP1LPNvsXYT+zcZn51WEu06Iax3aveKZMM0e935+Z1QvHL+0GwWTNMq/bw
9tyc4NzAQiKPbWk9a3O+agueL6OfvVYUYlHhbO3/+WyyftlvXpAps80rXTzJbw2RnRjcMhmVPA4N
G1JKiUBWV2xNqiqtrwwx16d/fr1fytvWpkGMIxhvsFg5v9g6qpbNnvAKyeLajFRLYiHZZh3hm23O
jdUb+AiLjnuNIdR4f3kEj3j/vUNqMy4EQGhsaCx3X+ulGQ5Txx7nn9/fL+dsfF8eeTXeJZYge20p
+fkE3EP7pb3dYsTLefvgGkl9RYbld7/BXxSL1V2GS9pzcLf4/tufoM7Im3lVnR09wc4VJpGxqZTX
bxqbNggYhDW2gpyde0rtx4d//oD2r+dh9gd0rxNsxEKG6eWvnxAAgRhayM9HkB1JfJSiDq+NOA4/
lZp9KY0U7nwXGm74XIn5merr5ruh3JXbPbjJpmfETlYsadsec5IOILzSVUJkBd4Fm98QkG/VfW1i
i/ZxA/Nw8kNx+Z9e/Tu92mGh/umL/qXREZPEfyEccRuvf/RPwdp3/xDrxJV8JOrLjzntn4I13Y4o
t55AXhKrZLd2B/4pWNPQg3CCzx7rLR0+tsdN86dg7Th/8K8ShuXZ7pqEZZ1/M8P1f5FK0LwBKUE6
8mwUazYNf709/QJhopVdfsQFwBnbCosUgwfNdOPWHlqOEQxpIJ5jI0/JEdkzWy/q8Xg+eEtHGsUe
GbvuQcaUdA64wKSPhqytEV4z0UEa/FKn+1pm0IHnFV2BGMApwJWIGaBqwLLahCIpUHROQ0YxCvxn
ieuMOSGHXZAT12Q1649VR4WkMhf8EUPOoy8aKyu4tlJbvFbtYN2WiAiQJuj+AieNvKoOtvTTdtcV
xvpHLtabIs/meyDK4bPG9UzkU61+e2B802My8dsD2DE9tpiXTnGxuqwcNfkYYmxwuOeaNFpwxsvW
kcAnSSerkkXjkq+1YO2SJROkOtlQ4tQq1uNMpEKBv9G2ExyDpKLeUTlLMnO159S1oY/OkDrvOedN
95XDuaNzTIxjXtlZt4m9RoSVT5ryR16P0KLqYDjlXXdQ4dJ9pTuSK/Ajg9ZJYn5xgwdpclr+NTFh
ni5r132dKeUDh0pZy9G1Rt7tKHk10yGTSna+xorkIINHXjjxqQGMyyig1PCjzE0+O1si9gh6NJ1b
T2QlQTw/vXUKI78OsBJF7ZhNN0CthpNTY8Qip8uf+ZFf8C65k5IQnrflvuYK//hCpZngU4O5GD7b
ev2Gh5lcL19p11GxUZMKHNV6Zgc3z+nEBIedPRilzUeoOaexyYR0D1m9k7ilcBNxyUcyR6AtL6am
kQQk2EuDJC4HpNIdjgq103xpvQ5njiwXOLSUOn1P4zV5aA5V+DzL8RG2hrunV84TGxln8fNid/mD
P8CNiyRAuo2ySvtdJbgBp5Q4X+2W3OjFJHS8n1XC37TENv/pp4wpeCfcRBxaODJf0r1+P3A32G3H
Nxs6PVHmS6SXoQT+MhJfayIo6bj54Nqn23iwL/KW6r8SJ8IRZ6754nSkImbrh9PFZLbymGEdojEW
uarAi+Qh/tMCHGC5G7hFPeCbFSFsRZXz8aJUrkwiZzPjbJtgEGlkoLJAVXHMhPNxNZbcMbGlMcBN
gpekSAm5dljvkxkD30e9fkW0jjin0iVOCr+Uv6xvTBgPrk0yEXjVYR4Gyk4EqlwLWfT5cgtnBmlW
Og7ZuK0/dma16mPskcYeHc0luVhlL2bjEq3mSqSYrjgjiPAZRwsXcjUxORslA24Y7RMolZW33gHr
TwKhPDt42czFmzlqHxqThYO9Q/PDnNu4Cp+Tp1GvxFjHTAXQfSMFVonTXIM2IQl9S0oEsc4u4OMP
MnUhQ5Gw5eOYiHs/gtGNuSblqe3iBqP7x9h0xcD1iVtS6IMNcmTm2G4DwjcdwnM8zMdahtdLQ4d7
1F+SQrUCehJJAwloo33or/f5xbRptHCSdtRwYpvAb3zEyAYAURLRd8EObJ0xNdoIiYrP60xtMu4X
JGC45/woUG5a6m2ixWHFKu16hH7ZTeomyclnZDNSqjPzW76cjIOqQP4r2bpl64FHnCjTJOzWE1s1
zdh616OmcQVLMWGgJKAZ2WnRfCzMuDmGVpcc4j61310irGwbidoGKartU8f+ShwnTmsnZ+EDT8Uq
LBqhzRdFTSnUMnNZ1DmpsWfsHMrR0nMZQwTJTXQL6k/w1w30px1ltrraMzI0O4vQgwM9U3CD47vl
a6WG0n01yXoR1qWj8R1hQQQjcKHzliO3UzHorLlfrK4ngrYm3cZwNTqWXkMN+ppnBmHN+8lLlI/d
EK53jm/Jej6LvOWvt5O4+4rziPROCmyO1naEzvXeazPXyq+E0u1RMwtq9pd7XmAwgnnb85k3NmED
un19z7rV2YBHGTcUn9NcHyPDiH3pgbkBDlAT3UuiS8JWlRCBuB/XDoSNol6EirI1qfNjSQNiABwV
izq3khsHrT7lQdewP0cvbXcK+8K98Ph1SVmE+UaPXF6HrPLlF1cOgXgeIaxam6lx23R/WVmJ5LFt
HymYfLYyp8IjlZB2fXEvKX0p1lXKGghJiLR3X+HYhbtcM5OwUm0TW66+VpTlnlpFB2gUNOzWqUhK
WIFDiUgFo5CFDOgOv+AAAwrn7zStrPTOntP5yPLjlOMWYZ0tRJTUmLegGSzhVVl1wLdtP55QGLos
lA9LLr/lZib9AKiLkTzzKOXs07slX1Fl8qsp9MRay28S2idLDKLyaLvUDzet97WuyueaxpFzGE+a
ifocjBP7EKd9Z4vgtPYB0LXkVfIdRAZ1xTMmuMf/Ycb8dimGYloIRsHigA1MhByhlslmCJL0feY3
roTUE39qMFMZdt1cd5xfNy29EKaf8xuIdGmVxnjs+5nQo1ZXfh62ZbyiHupNGPYvFHDslaJSw/B8
MHaYmfLSf4xt4ZovsycVJFu/LvGpWFZdsqquKisDTkQWU9vMpxSeZSDp1cbvepcDSSNyalns8miB
C0qjTChMbqJw9kVFa02E3XxPpet4dnNafDa4ckCN2ZVK5/3swTQ7YpzK6KTtNKRydP6Q87NY7oKp
B5ifhzzmkA+P2WSoPipH6z3uvfrGML3qLoPtd/btmLsXKnnkpUG9S4JcoQeriQBQ4eurdhrMG9w+
JkKE4U6vnGjy97Nfvscy28hrSRr6oSmYVRk9k5iNWNpwHwzOgELVhp/TAMZ0N4ZU6XCT7RrXz7ZB
O7f72cjDozlQiD1PfbkrAxRzvH54qzRC8w2U5Hy+4Xp5XzHvVvuFOSPP8YzGtWx8T9uqAj7utwc/
Hj8xPAAnkfufk2aaH1MX6ppF4ePeQXGO7N5tHzqTy+rRnbNzp5LWIA0oI/c5i49ddwOEfqFMbHY3
dLWUe6Lv4hCHg3+twkzskqZ716yl01HrsTPadWVTA+qKWaLIEYBcSdUuYd9w1mVrne2uNY5uWHen
ItTiuoZ3ueGiQcMvGvdp8mr4klj3MIExAcxZsSLukOJeNDlJ++BsLIV1x0OAaiYxVHtc795Jts78
kNTOxqkcWuaMrj0E6xPCmWHxTkmojy4eLkSi2aAQeKKiSLXhDbWKDzorYTgi7zwy2giu61n27+3J
Nq7nUklUZ8TCFE2s9T73gwTRF9v2cqZlrDnkZHU+5Gzfk6jUDPK4v+3iHSy0AICpY9yaXmMy6LR8
2HqC8ag774E/lAibvv8KhenDZDRUbllg4zZD23Z7w+e2oUeJlu956fXBjIt04zLTQc7LYO+7kgdR
kvanoYJ1j3d7Z/eUclnKlOtqZZ3mvHVeY9AyzTauu+kDVAZSyUbLTjAzq+2MZrnrG+G9Q2m1bln5
2xKgPmhvI7P9o9lNzqFMmWR09kyD4SitldIJZjRSDvMOzUIStFy73jUfwbNIgNJ0MMzsxZtlyh8z
IHWabpJSgDhbugFI+QpepA+i2ZITU1u4l5XaJPQ9tTQxgGvEd2KwMLUUhQRojc9G0dnU0Hlk36KM
kMW2VT0nEBCQPj6HmwzcNyp5Pz4rj0rfZYVGhis+cllBkjoFbRrSobT3VszkmIDW3AIJWPGT2Q8Y
ZXEhU5KKT64h7N1iVe1ejDTUV2Ub3NC6AMSB3cBTqcFchiPQN3p6whhAW7OSMLsLFRN8O8g2o7ng
Mlm1wj32kxWjmcM+GqKEg1t8F19Ym2rFbk4XAmd8oXFi472gOWG5A+p0L9RO/wfC077wPJMfcM/E
NbXzMUhLnrq2zmknD7LASfZI4W55RQMs/39Rs+Xamm6Ja39obbgjrmYPml4iuNXYrRNOXPh6kzVK
zmd6HKfHGf3qHXtReCnNyLY8NNif/XTiv/+h2v3swXqrKnF0RiVGNSQu6XOMXv/5T+4NncYURtBT
DUk0JK9Q0og5vSwCgNsHMS+EEkUZshupK5ecdURJze9irL/IqbwDeFWC/2J+wbt4I1+OqWfVC8Xu
R3cKoadDNEwoKA0ps7ulijNN2GzG6pA5WZpc9Speqp3yuvg2qXrrXWBq61bUUMP//WUJmXWTq/LQ
NUiX//WyVI6O6zQXyZECHzbpE0//3aqBh+zImPX1mc3OR5dEd7bGkKgfDsv/ald7G7ddLwYvDycM
Q5TJxXnj3Klmn3KfYeGazCSnj7nVzIonThOUOV9IOtPCBHg5cN4VfmycrHX7/YPPNYhG0SnuzbAw
qdjok/TYrydoyoDwa12gN2O14mn++S76my/RRZJ0fZLWpulbb6/XECaZ4RiBPFYYC5gCz5PuYNgV
ik0TBhtSUqrEUzF1zWspivmx6dEqLnyprJ7ax7JqfmOzslbN52eRmnAAeyBBhFIgjfMY/us3aLiN
sWj2Dcc2x0EReQb2hx5J6rlD4oEFzKAfScEmkbya7E4Xi1k1Eis6WPTcA+3r1HoG48r+86Vy/u6N
eSQePC8gv3ChwP38i/MHUzF5a9IjxFh2qAl4ZqmhTY2tTyNz5nTVk0plIE6UJrJiTKA+ivMg7OFR
iyEEPDmMjArNmdOyuOyLcTFnhwvCIhEL2/csYYgiqX5iD79qPVXIZA6LeIxaUvjtpG9mhMGvPw6l
WQlcSS+rCoBJm8xonDHVGfJlul/3ca/ZGqetFrCNeKChziy/+Z7st9MLvicfwIhHiAkJ8RcmR2oZ
DS5v3zg4qcsaaNcLgawAliz3zMS7Z+EH/2YHkKMrKngWuqZS3tac6eVpCj2uVuJYnE7c5WIFE/xP
Lhb/OfkSXtdFHnJstX7ZbY5Ko0fsLcc6QQHbZL4Co5YMuON+MJbIiyHeeMU8cIdwIPh6+e7/p0T/
RolmhV+HRP/dOX2C28XoovvZNP3nH/pTgw58+t4BjQS4/y+IRP6+PzXo0MI07Xr4bmHs2OuQ4v9r
0MLmH2GQ5d5a5WtTcPf9R4P2/lj75leDHaox0BT732jQKN5v1hsa6ln9SJ8TZXIdKAl/XW8yj0Ca
tLr0PDUW4/VR0TdJDMS7AspldNE8WWIr2JU9QW5qVs+Rm0FzHwJ32ib0iTXHlrIPrA619M7L4ot4
J7FHMc8n4fagHVGKg5X7s/HAWbp9aSrhuZtBOQmDcEocod3b3XAtR1wnkYzZWnDeMxfK32vtXYc5
tiQOLO1yWugcXWu3GZktkrj4boCon27oSInPXRcrKOOB0XwOgVd/udBJewS7XbKYCBepWpvp4Lzb
ZBOSUdjXoU37YheW3s0oGICWg37sEFL2sMAc8HxyMJ0tNQfZEwP1+WFKzf4WMFP5WOI0qgB010a6
yXEouvR6mxRFerl6lK7Ch5OMDQj9ej4mI7weW7XZlZUGhymDn0YdUFbv3Qqjn92lbMl7RuyslG7M
dqX37RcCGytIrpVPFng6Og/Ep2SY1Z2LbLatFse513benoZ6Bi5l2eidS7d1MRHsyNN40YR+cO/4
hrx1qvHRNccOxVbSUIegnn5ht6sOwufs0hJNviJmK7d465rHoQVLEWnYojed7sTtmFYO700v+toc
d41d17cxS//3fPDC/VCIed+5WYB31O8e8Sh/ceMYSydjsI1npE1E3QJRWnd5ISmJYk1aCEnRPZNd
xsWZhdVT3sIJc6ZwunLQYO6zzmyopkk/MwFIX2k8G8m4TlfSdOetq+mlJqEqOO8p42Gop/JJtkW5
qQrZ3QJnTjc9V2QTh8VDK3OwgbQLbmCAde+LCdi56DAtzFmH2jO59s5yead4xZItdczJuyXwMXlK
cp+a/GmN2aTK85YEmLKunLQxz7Opv0r+fdK5QqJPk9XhgByHj37mqgc2p4iCLW5SqN/LcivWPudc
DcaBdoT6sBi6ejRt7mhirf21XQix2hsj+iYEbeJ2d1OD+/8IatDNOK73KUJZauHcKzgOOs4gtk1R
jAdNp+beaChhd8LubKbezTBAoqNCiKAdYad8ExAPPjqVxNUF0o1jqElzq46NnjFR/2wYcp92y2OQ
0Z0T+1c8iyd2ZNWHedQ5fM/2zujls4U8sA2leLQaUwK3UV865ROmy+vn2VnBy3b3qfRbyTmfCP6m
zOwrutElBRx8U/NXg61uVFt0xSzafMHOglNqDuMjLbDGzUgEZBfTwbjNTfGRxbC7s1U57Tk81+AP
E/c0I1s8C8+gkzj3uy1FDCbyL3id3CD3lZJLzOyPgx83O+2X7UGSpz/l3Xnps2s6r+DkEzeaKXSo
4m6VXcPIaEW5LaEa7sZRZftiJJ4oirx7DGJHPqjATU5DzmWelwJXcehND+Ukl0PVFyhCSrUH9iPe
jWiHM/bW8dTOIi62o9WND6Pon7U146RuZpdiakZR/MDqTozmU5Uba113Y9GKdz/Ho1OiT7u3HPo+
103tYs1dwnc5UsFeMNyK0iCL72cnyO7ctHuthBInF85RtGTWq6cIoUdpa/afOnZdB7NMFadUaV+t
G4C9abvc0mYiNwOn4LVCU97PLLvMQljvZI2nbuNX86dFh0ikMevzoLkHs3maP7HHzVASMrN5alr8
jMgHRBmrEvphSoBzCKVW9wlw1pOjxpTRl01EMZLuYEbdksMOLIa4jrKql9taVeFjn/vfVW2Om8TG
dIwGyq7QDZgMRIbXB5HyqrKONwyz9JRsau2uzeqZZ6xA72UfUFqGXZuDCou7GjGGPSMMdJY4zkPV
46808QvhTGu+MAOjJDsVuSahlo62d1e0Aa60vAZWWGhqoK4n1JMHiEX1k9PG/ESKkVvv1PaD+wHF
tz2nS4mI0C+O+7nn7qc2T6PwbSwj9kWEFcJ/hEES2NvYMttzbZvBuZljY99jTKOStOlPhBaTO0z8
8ikwcsePaKn1D2mBv5GOjzH9qALR7QZboB1mSfoKjwXXWhm0OQVZcy+uE6dFBPGF8vGN0ZxyGlTA
78MZhoGpw0JDF0v7dzwjCKygy2izHboO6KbdmFvfm0HrL1bF0SR3NblMMS2aXmKneW1aM/vIMzmp
orHUNx1a9108uOH3FSlIzZWMnUeDFtgXg2DpLRUZJ2wa8ltZOh7l3qELAzF1Gg37c5C7JBTZya2H
U8lqiyvNsmcC7G1AG3TMVYxA0QbPephdOlY6+ZVJT06enZ5hJEtqcR9ihJ9nniNMp6ZlbSiZbQMx
D1smbl8rTU5tNk1fiiwLBYsRo6WwqIb7yW+IDJdzatxnuUcLju2U7cecqP2tI1XCdCzuBeWmIY69
UDfFV8YDxaMaqydJ+zlOraWKTwU0ji3uLX6syGXN3dI4Tbzpxi6Ant9lGGhnmDs3SqbjR5fSvG8x
7dOfAAENe5xxIc0FCcFXREFqiOGxD/eVy3qD17Y1vghzxm7Z0oRHvDLo6GGewRqSfFSfQtK7wWZe
Yn1SVu+M2zzLmzlCE89fmiATIgpqhzSziGF6GJPT3Hq9kid+cxmMEttU82amyHX1nZGD8FvzIzzT
WOyqzCymrYUd9KClyB7jkE7ixpn9TUVJdR41gaAIxEnzAI0Hv6BT2D4h6L45W2lP+ywmcIySJMEl
KY1oBY1spqAVu8bkYOvldr9z04qRq9WpB4aR/bZzXZpzjEETi47rfjv5uTp1vmgZ/siq/Yhy2ftR
lujO2uipqz8Us62IRAicM8AcmuWbxwbqJjZHtYVy9Rm3X/jeT6vyFfZtvXdSOcgtSzy5Zw76tbEZ
w4IV0aVQ5pT5pn8TLsL/NMDAOKpUzQlDI3fBFOrMzmd/bFOaOi3nOaQahYl06dA31rSceCp8wMeE
HgBq8BbgycfcSefHoIibYS0mtF6HcLA3qnLVJ/x+/YMb9mG1ySeb2vqFDeQuMUfNvWR29KxWvvU1
bOyGYj8qlY0zgML4Qxb21Xu0Uq+j4SedrnSn58PAAT2llX0lV/tOccqp3DWZ9X5oKp9uBrrZ0nJg
zLHmqKlIrOY+fAA8aN5qXyTbJCxRGd0Q2cOT7A0DK/EPFGu44GnbQXwO/QV1UtSKQY2YfQpdylGg
UBuORT9dl5mHkJJfKn3tZTfaS3yyczkcFkHp3qIcudemqa8tI915ui2/IY5qqjW153/zgG6k0dBV
6bbw+vZ9AmnjsyfqmOIk0yGlLfA6bFQr9E1qT9Be2GYxrY5dU0UZVYciSgqRf1VmOFQRKYEqUoS2
WVqc8aaOm/RFxhNjINdMDyZ6KOeDWF+3agpX8I4XXDFMDDeJyR6xHJNzQBNrt6/aRh+DLIQVUNlJ
8QEzPRH6NB6HNEqB31BzoWxvR/vNcrWSrM4j+M9rPqG8tkWWfYmXrN+XWd8fS9UM+yRcMS8ycbaM
Pl8UGBzy27bVviZO4987TWN8s8zs/7F3Ht2NW+kW/UXwQroIUwQmkZSorJpgqSQVcs749W9Ddj2X
qx3a8x70Wt1tSxRJAPcL5+zT/Cr3+1+X/A9dsop8iWHRX3fJNx8kUNI0vRbx64+d8m8/+F2tpZMl
gA7KJEYAxST/7f87ZUv+BT4WUQYs4sgb0Nah2O/2Yv4vA0kAklZElsL+vVO2f2G0h/5LsRSEjqsx
818k0qnGf3TKpq5rmCtlCh6UxD/7PLNcg/ZYyfMO4nM6IyYvY8XDUqOdiemiL0UrAJc6zxENb8bO
qFG2Q97d61ZJ1uJSNyOesEwm2atuO5TPEeZOyQEeC/TXfquGLrgeDWO+ymfyVfSYXSxxOpZQHG6Q
lqk/Pd9iZCpAa61VJN8kJrdDPgBE32d1sWzhrJWPqBwayAB1dGZuJfsmEcAPgSqxfdXRZfmNTY6t
jwipvkMVBHNCJhnA8hR8DK9LAoEJ0BPzY6cE3zU6cmWnHmVb4PVRsYvNJf6QFCV8GxcpPk38zLOY
y6T3bMnWjxFYde5ws5WBBdCqQK8SIWsh4uZumI9nVwPhY9fkoHenYWylrYJrgSzJQKd67gb8fmMA
sNwMiRUVfCjuxE1LHW+sAXI5LYtdBTISGaE9WA0fsyKZNNC9CtqxQFPqFybzZjjcoa/afPJ6rCtk
5tn5TSdpxgaXWX6Rl6y8SXqruY7QPRCHJafFAeFgRSu/BG46RuYGly/pVRQ7J86BUPZn0xgjp0mr
hbQpFsoK8qFjX+rP8OC7O6VtC2K84Yxk2MsSyOJ5b6Xboum1R/iu6ibpNQtiUUj7MSxBcGLkH3uz
JqduDuzrJMTQ3pIZbCX0BqAfwarL31rJKHw9V27N4Sa3M9DRo14T+Cnf6H0fl25bqtq6YehfFLRQ
D0gzpuuhTUgBzQ2fMIXOFdD+0EZ1+VYrpuzAfiQ42lVSXITc6Seynp/iUTc8NjupN+NX3hSgy+9Q
tNe+IYl8N8q5K9PNuWmaJLdBX8vXvdSaXoBYaR8a5TZNNMvPdVLwIpLrvYCsALIdhjLYJXYgNr2R
p98YDL8pgS1tSh0dlxN1mXLLRU4YwzTV+3ZRyPwlwtiHIzh6KesVj/zBS8nVRkCzfVXK5MwwFDI8
OFzPCNKBJE2ELkQY5BwxW/yVbYSBtaceU3olPmTo1J7ZiIR7yrv6VmRVdZoZZx9MtB1eIkWz3yhE
BWV6g6JuoLsvuGyhbBuzuiVEBPI9ct+1RQ1StzJ64TPSY5U1dsIZwlgvw62BgTVUHkA0TvGmtZVR
46xWFt3A0zRGYWTdjsbETMudJdvqSRpOxXgn8O8IHQ5HGimPis614MOxjK+MRjYvaDaC6GnSF5Kb
e4hu2qawcXI7pBfOvD6uINua1SebOGGZXFelGdwm0NBX6kopiWdypItkP5argi0rl4R3g+RHL7YN
y9jhboih7N1B3+8pKsKQluWcavKQvKRp1yyFR2ZtARMmEvjt5sqwF29gXsKTrY/D8CWnh8GkHCk4
YoiTB9HMsG2m+UKYzwJfiSfePiGGa3hDUliWX+dal4a7ubP0F3wyY/dmpmQ9GC98RnYPg6vvygM5
yhrCiCJIO1oYQkeom+SS9FsHUksX3BeEaM6uXFM+whwjkIwbS5n8/82z/5sIIU1jMPB3J/U9J/VH
2358/HhM//ZT3wfaRP6sOzOO00+81fdhtvwLdCLNXJXMJm6OH4bZCKpZGckcmKqss9FamQXfh9n6
L6CyPq3iyK1XZNa/OaJZkP08zIbVuUIfUPYaMkzbn7bCJtMaCfp7safbbZVqy8yIA8WnQR8JksgJ
QAJVZaojcRYoD/K2nj1lVSOgcDR3dY6nKhBBm/tM65VzuyoYyDhLfWNVNYSh0QoXAyGUHGN6hlxU
1zzLhfZqr5oIdVVH9LYgGXRVTJiB+d4XFRoKDVmfIGPOM1aFhbJqLdAR9Ag4ZRl1sYYUY7GndiOi
GplkYXGsJXP5rCNbQ2Pd5nvmJkiOYmPTt6bpyd2ALTKJw2tlVYAUc5zdq5GGLGRodR6v3Djlc8Rk
Y6sO0nJoP8UkISr3r4G1SkymT7lJ3oThqWzm7iFF0XOckkW+JdlB9YrMvAy9Yp8IUaoxiofhlyxq
ETwQhLdbzH7w0hjHcpDIzRZJZ7EbYzyXqyqmrEpz36BP38BhIS+vH5TrwrQPYZF6opzSG4lERPpK
NcW+Nlp+Rkvo9KsSp2FI74+1Lrs8vHSm/lO7h48oQQlZSFvFPH/I2qIC/FgvbiQRatfyzDih+qSk
qUEXY+ca+3slJo1NZdl7DGEQbHVExBscW4Lf2i4XaATtibwjUukQHBmr8mjmWeO3Y0JSrZm2lwUA
pjMiGdsYfTl5UoV+SV+VTD2SJmS/X+Q8brdKRXBfP4TqFtFs8DhYjPRBIRnvVsz+7UT8anIKOYGZ
K68iKmDKhOzk2eDFkWVh5myaTW0QOzqvCiyo6mxSV1UWKiz7q9UU47cQx+BmkUEPuHXA8pn7Rr/o
89hmxzmpHiLOiQdrKudXCQ6E5hSLkE9SmQ647pEpl7nMlxzbCKGqkPRdhudYZldlWbBqzLRVbZYh
O4s+BWiSptc7qy/TC+Bdet1CG67VvLGvdPKDJqciOouukdBac9dLfTxvmnbVLKCmQvq2rCo4kiA3
yacwbpkabROtajn1UzhXrxo6dIAUTouNsE7Ve/in+PWBdI7LoHrogk2PIMM1j2nJbyQJPivHpBP1
RX1qDPW1zGozONZoL6MrQKdPBlEbt2jst4FkKdK+jXs9ULdZR2akydxyLOy3hRiW2A8xj4HNmtqb
tlet/M0uNEIK9aJ3CqvrH0Q1aTcNPTnRillq3utBm/iYOdEZZYV9AD+hrsOuFoVSFRnVbTVJOXhG
1r3hrtLBmj2o2agzmhFUkCySWMCU5qFohdVKXi5glVzzoORzz4dq2QRGUhDriONWflmieuxcGU3i
uZ7N3HyCOKbW2CXAbV4KoHLBexLUrG3ixQYcAChW0SXdl8k55MoVKSr0vB8RI+lK6k4DEhhHZjz5
1cR2L+2sYpDBW5QZXjNMrzjfh89EqDVMUD+NYY7XYiYnLSWNgStFnpVwz6RIHpxilekUnam/zzqH
+JaGhoQoc64J0x2kGI5YR1Iz1HuR8pJLFjYIf9cttxZS+xFInLF8Z+oTb3n2sbLu0gAdt2q36Eww
DyaYrtn8lNfkD6il4c5gzLTuCnWnkL2yRCkempOJ9D4qjOtpMKYNywX+p5wNKP0EnzHRw8F8n42W
etWQGNbAiGtQvS25PW4TxBQn5lj1Po1t7nv2aZ5IMx1Dea+ZQIDVaFuYg7Utoya9KdTsuITsap0G
ls5xikR0FVSVuSnHTocnAVCIm2qI0bb1Ra84HbiKg4W4kRolWe9VRJFKaMR+gwxQ2sgo3u4YrVHB
qxS1LCTRuBhSUZxNIhtvrcE0zvSCw4sgjIkppGZfMfKHFVo3ioejIdxiBF5aZ1n6THbydpnfSLP5
yhnVnJGIGJsRpYwbDzHkOFWu5TuoJ8Fmgpj8IPSwvegQFzgcimyfhWZ7XXaWtMmkWT4MhRy8MUIS
bCIUrzWNcM+jM9ghIJSfU1OJvTa3rZdBqScgMewGdzjRpytzMZcTrirLCeuJMeo4JwSCauTB1uVw
1sNpQzyk7kydTEfUaZECtW7QdJ9J7XJj2AndZWpv26yoHsixYmRuDD3KlGLZiiHH6p4odA1LKw3u
CLLwGsuFSLxmUq0rdNMVPbSGJ7hhiTHy+ggldOGoCkiEUA2iG0aCI41UlPp6YlOP8wY2FRYBxI2j
HvFoXPRnDbkyZyGDtdeB7cIJ6qHyMfQqi1cm/37KonJntLX2xCa3olksQ69Ceb9JYrJKG7Ya51Qe
60fWbvUJNUdzg9rcPjKPKlwSSJMjYa4Iq7RoOKelQHKqZsYuW4YvDGPj46xH0ROra/kcBNA8+qQ1
qATyhU7VKmWXSBz53BIz17kxd/6NSMxpy9CjebXMgrGAkXqsAbpL06KMdfTcMvY5ya2XFMPQlQLF
8uuIOYx1bi776VwSJyWHTwEefDJJCfLNiL0FXzBrfowzwILAJz1PRSD7ehNWJxHH8pUmtfANOf1r
b4IF5LG/0hNnUroHSe3Rzfdt2GJmQl5vSyOr92EymFcIGXwnnQju+1DFuZlb60BZTg0l5LfJo7Vo
zL/7Zui8MojFqzoRBzrhL1kIxkl4EjRNaufcVSgpTZYziRVy5BHuGEb3rTFX8eV/9f1/U98riNiQ
If71JG77UUJJ/8MQ7ref+V7dyzgccTbqpqx+lvi/y1Us8QsnDjU8kSiAuZS1uP5umaSp+F7R0wcg
zGRKJ7gnOL3+TUHPOuyngh6GFNM95CmGQhwDqPg/qlNstSysoESfp1nhy8i9h28wLX24Yc+FZNyx
gNsVcl8/W7nCQhvXNGuZDZiFQzeblr9ILIo1cqr3bWYvZJiNguVRmm2bWa48wOiF2w12820OBoNp
vQnqwGrloxRm1ReUO/KtpDIcWKSu97RsXNzKiuNNIBUrdsa8TYbYuhmBz6YWcNcCcgS/jQ2PhnfM
byVV9Wb03Ae5I7Z9yK8Bagin6uDmJtm0ByC+XATCRugKo+lSEff34ARSFoUTXM2Yjh75xGVkWblt
u/CJ2QNmoXHMthCpo1MHGv0qoY5yZbmIbxRInb6QjBp/g+nrcfbYT0AdeJgQX2HAiDGH15LC0cEK
MHqNXk1f48IOwdoD9dTspaTUq42taEfZb/TG3I7F3LqjngFH0LT3Lpm0jd7TjMepgTbH7F/VYR5d
qRsOWOFyRu+45ZIFPd/SFaHPt+owTStu87rddNm8gbp0HcxJ5vdSPe0qzWZSAXDolu1H9sx+tnoS
Q7LhML8sSpffphh0j3GGM8dJoGUQPdxnpwbR0OgjqJPdmkjp534p40uqRfpea9E6aMy6RoQYQ3NX
a1Jwp+L7vEKyufBIzMUnlaU+BlEVnxsKpOfARkHJBNZ+nHItLZyy7KG4lyZIKCi1dAWpvifzxLqY
K9SvIHAiRAQxiF2nWdWLSVtguIk5ZI8FGZxXIiPhXVYzRL3FgqBowfhEHCqKySNaBcurYk3hw7NV
CoqoX6mH7M0OTbvSvpZSLg6r6BPiENun2omzlAIOK0J8BtYFEwsZ8kYdzeSLSUtneJ+QJKFim0zU
rLyzMNn6Uw6Uj/hDIqSNCWvfqv8kVST5UlWr+YhyJw7h5INUWCVMfre6JcFtxOeekQ0JA6E++W3c
8v2NEAWRvvPQFjGItIZz7bXG//Q4IyD52vRoTiUNmT4Ol45PtSn5d6Jhdddi7B+mGS0kHArseqWA
59TxK00VP6MnF+R0AGrPHkUfzOlOgJlihTmH8y0QMv7GvJQx0dF64csXRupqM99DZWX8QqWb0OZn
DYyieYAiQk9FPAH33zZGRGc60wQbLZjIulrHntkj7A5YFrXevsc1tA2l16oPMQHSD/qSVMH1L0uC
pLI2dLr8+kxVzUu4rIw20SDO0oLIuujrGaZLXf4tQxdxKETR37eJPrqlMcOoi9c3DhkD2GMvugdz
yvkXmYCrezHwEPFImJh92W5B94x68uXzSktEx6tRfILiIqZAXMUTTjDC2MrrsQLxBcAtIYt1qbNH
nKjq01hIAES6XDcvjQj1fblaSJUJEBlIApXlKIvEHdEVPPV64HlSvqxFdzBWG/R03fsn0aOQS+Ma
Qe98BahAvQ0oHG/HWsr9iCsyZfIggi+2unI3RM5WFbo1v2iAZdWYM26/LIyku0/+xGIk5V0d1va2
zHAAfn5b+ZjTmISrya5N4TO7SjdYbrmGgc9AP44Kup7AwUNBWrgR8uv7kaWumU1c9Tg5YLNaLyyk
Zxx+a9x4spzZSp6Her5h3nwPeA/zsCi/FDHVaM5Y0LZOatdfy2N4EzG9d7Iu2uVJ842EuitbKxGt
sV0pVPN2arUNTm+MH8tj2JCRLta0dGPNTa8CAXRDctRqLl1rzVbvOMegG2klhWqsGLc6IeztmsZu
DDzD0zWh3TDJaldMEgPifD7Hk+2NU+K1xLpra7670pH0rkxqsrHKcGaIsKbBE3KR0K8Nuj/jiXbM
CrXuMJAf3zEHQn5PqDzqKXcgZL5e0+brNXcewHnrFypZ9Bqh9A3h9IUlLihMAUINvXbNgiN4kUL1
uZWst3nNtl/WlHv26rjJZpLvpVybPZJNCPNUiZxkkm1A69R03R0ox97zQbikxBaOWKJ2U3Xof5K+
OthmutUS2iwhFr7g2FA2Uw0eJRnnFLiN8mDMzBZMmxZrmvO9bKnabuQh7MlWXwGMTmHY2f0BGVy1
kcrypZZ7eoSiJPUklc1Dw4W/RVMqe2IIXmQFyJSE0Akd1TfUULdVbJkfOIPinT7W8hfTkNATpul9
p7TJ6zxLms+9TkqqVluu3BPbGbRYY3Q70GtnWBaeB9qQ7cJk0VgNIKZ14Skym7mr8/Y9mlkey6S1
nYnXGStfC4e4c4tOlbF1LQwAmEQUx1IxzhnP/AuXFQJAI1ButGXWWawDSSf0V0oIsEwpl2lcnFZR
q48WyTUQRnVPHnkKsqB6JRZO9Wqrtb1EGZ7lYBlYonDa22ottpLRv8m6/ELfu5XnOngYlWpG5ZcO
0NLG1C3hNZ0aXTwEcyG7BrehkzAzfLYSzuGiJXZWka0jOgKSnO3UekfLO9yaIlYe0rleawgGiW6L
f+IwdsHIxoKxz+SSAvyQrGRIvdXzD7Jck4+uadgINblJKd8GHr33sOFMHzdpy8+GueYjc5DPJHSX
F1wKiHyjmspKkwTS4MY6V0M1finkOfsyqgqQgg4XpqDCQqAZLwhNtJIneRf3phsVqEwgOlhMMmCQ
HoepS5VDqwbKBOtxMc4s6vqNhU5e5pYIHztjkq4NBd8226Cp5kukYwqaUMKul/RHUzQ6V0wRhE6J
2xwT+DIyHJv68lwykj7oIsdsWovcD9oaUVEdd7dEe8eJv6B2LBwkH9K5Cy2xp1JIt4pc1n48ZYHL
EKLU8TNN34pcVa+VPOwexiYekaCY9ZMB9g2gFS5GrOORO5pj60l6FeNOXfYp6IqrfBikg1zyAKsU
td6VgVjVE13iJsEcbNgRW/xZWb2FBPrVbDPLaZtgvE4NST41QdFsCIJttrUaDTiNU6TVVXOaSuwy
krSFkGS4mbW8JE1TAg0qhsydxrpxF5RUaLbabJPr7CvLJtW3S7mcpjiatyx/OAb6QNuIrB1ulpQa
LyVJiZNrsK7nsc7u6qQddxZciRets89oytoPuEsUIMbcbWwMHps+Q9Epgcqid4vxNTWoaWUNTeZg
YcrDisJsFxdeBTrIaeVRPELt2E7jFHqoz+7I3THPaJ4Zn1gWGqVC2ZIR17qZwiBsKMMPvKFbDR2P
M9Rl5g9x0vuTPE2HmIxzCKFtsB/r4BiH9a0eCOGZgZXs58WYroIEKGS37vNSxTe05dZOeboqV2Yv
GfHg45YFCLhN8zEJL5qRkKCg9rB/HN4wYjPHluDKP4Zhzew9JX5t/swamqf9RP27HAWlSuomYZ4K
YnMTtLRWpSaO6NMpydhw9gCcciNGpd2GQzS/Rak1DrqDFa9UATHmT1OuXySUMZu8AOkGb2u8gy9L
+Ma8tOcwEcyKB6GfOrE814sW+0tl3Mas/FwCK7rbyC7g9DMRua7NSnxtmfK6iVosX5VW6U5jzv4z
VoaPJpxVfxTqcLKGQfNMsh0P+kT34yAkvbFJID6OplHfhpQqvhr0mjdL5hdsBoFT533yOnbh7MZo
ZBl0BWj3JLTjYSLLblq34PmGmCyPCjd5FZByOHV6vJUt+95eA5pFql8RfT06INPeGVIhuwdhcyat
y81K/S1CJ+wBVbQPc4hAeVUtUPSHc9N9lfURwkYqkuNI8jJ1fKvvNORO+wZvgTz0tkzq1LBIKxg3
3S9LwPB6YZx71OMGYSQokaeskbNTG+VvNKBh7pfw6gDSdIu4wkAOWauI3uo859SX6vzdHNhlw2Tv
uk1PluemQdT5Qvli+KqqYakKbHYJmnKrxYm41pIlbIF4ZNpB1u3aM+eFO60vxkcD381VXWnFcckG
q3Lrucuu06I2hQssM/pa1NiZWYfE0yZXSNPjHERez7gT3RjkF9t6t0KZB8dAzPNt3IfWU9eY1cui
5cXXJSrRVA2BpgPSZFVSuL08FvcFRb/PztS6QoNXbloejOyCl328pnejeIw5oJf0jAxvfCFoQfGM
GvmZI1hfu0hNGdvAcuQSCilKkpKgeqdAv3ZPinEDmQHLBk4CqBycg8vsTjGzeMZObdc7Td0O36I2
z3em1sW7poZpPknFB1L62GnngCG71h7TBnlgFTbWrUHa+U0YddUt9tTFS8ea6hb+tCPC0vJZVLNO
t63gwB/2QOMXwFOJyo2U5NY+M6Sw+dXM9z/91T/pr3TV/lv91XWavaLp+cPYB+Ps+kO/jX1s/Re4
ViQ0fBdRMUX6bbHLDumXFSduooT5dSb0+9jHXP/JilUTxrpX/j4C0n4hcJj5j8GLrD9n/ZsZEOPU
P86AiHLAlsRil80dJcXn3OlH42EzpFYxGUp90CmzPU3PIFsP3UbDkXxBwBqx8gCMyglPWii1fWP0
0gOcjeQ9Y1uNZXKSmgq8AyqiONhKAIib+36usysrtOPkBlhr82VoYvNF8MQ6RApSpW5MVFRN+Idh
7sT5QZ3QJhnw6bxuSIpjUtUSaCzw2idAFxWZZLOyDbmPXJpItdrkwFbslyFm0L+z5IgjtKtn43kY
aVNv6PtM8AJxdEzUstN9zRiKwoUDbsWvQydFz0QitfkOCX8aMtzuU+PYoaXsMIFkObVtTzY2Y7B8
xKk9nrNIR063sepsqc4ldE58llPbmKv6H73xrmtBdEx0a7Us5TSxJHDjGlGZfggvxUwRnC20o6yU
gozPk9nDzH6Jsg1m4Oj1w2AqroLETH5j8tSOC3FHsRg5Oll2Ya7HjoVYJqc4kGbH6EEisGBTpdyd
OlunF42spdbRyCWVvrigl0Ns+Yyi1YikGCvpUay8w26YW5G6XR7OwhvCMtYdE2NNuFXTKWjOZt5J
e56KzQ2da0C/KmkORy4y9DYq2GhIwzakGrxLqbABe7Ty4gxk2lwUyrqNYVfzq1klqT8i2nfndI68
uAQVMlh5emykWNvi3Mj30JL6LSp0IpDqojQc2ql+bw2Ta/ZRusnzovRgdoXXQuUZPUTZ5Bl6mHp6
JzQH1ni5axc7uDRrARAUEi6YNKDOW6Shus4S4yEtc4oR2BU3YzSYlwwHxUuUW9TWuMUPTRVNF66H
EsBMGT9m7QSqVy3nJyikEuzivh/AuzN7G5XYPNt2GjxGLDB3U2RI1xIO746KUsKZZTbaMTCCbCvB
7Vo8xWzS+REVgWDpnhkPtaEUd0CQqByx1NJ5ioR0Jxpa/LtuiWd+XzTIBBy7QwCBvrzbj9PSbEcc
OhR3pXZlLyZTSaUS4z1GcKCxVoX5yevTJvvG/sVg8mkuaHuA0MBUxxDrEFwlbsjkRBcwivukZt1L
+hOkdm0yj6t6jbosXmA9B00/XINMU6+UaSp3ug4Eokvo/ADTts0lyowCaeNUbIfArL6OavSkoPx2
u8yyDnzT6PorTXfntrJOCzC4S4AJ7VDoJCqGirY89xgi8o09TupbUjbylbQUwEjqWjMPWE7sjZ5U
H4NdBztFyLUfTXjQU5qlOzqt/lk2kuxpppN40sYuJqCrttKnWiqYAaTcYYbUYc9hocrUc+w2MSzw
sSTdC8J9BnJfm68LuxCHcWoZehYzADGHn5WulYQEq0UsqA+YNMc3BembB5byU+OWRIZxFbNSjYQF
8zfupNbTMRz55dhX7hggSeRz6RzTzCI3lGTyytrxUMp24WmzUB914hyvO6l5iJfmLqkk830SJUUr
hSlTE6hEVC8qksZ7E/bwVS7PwRFlYIXfipaQSeHe1lvzNI9Nza3Rt3dLZmUewKzyzejZQ1bjUt5o
FFBfgeIzOlKkDH1mPlZXYRLqD2GkC9eoMxVTTY7CZlns8ETwbf/SCckrStg/tIUsb1NFIfhxag59
XIWvLcHBH1g5ICEP9ZH+ZfSFMU5exNzjGZ1rvNMkMkMcCt35+Bkxr6fGiJ+nUyXuOD2Sz+wypU1T
onpnBmmVFxxfiPOrTsFXvrKNhjYGvwZxjpU36vNk2qlRN92W4+q+TsNRu0OFa31Nx5wOCnAp1Clr
hTUFAX4CFq1gW0CivPZACa9sohkMZ2Yvzr+6jlNDelO4f1ZEfCyu0pO5Eq6Igm3PJlyY2QkB1Hvk
XINUb+NoX+YWmp1qBqe4KnfPTF9TLlFRup08vdWcebfKaMz7ELSoyy8N3TAJ2j14GXsLW2U6Sp0a
MxGrrDe9bMS3UtLfWVqrR8Uc2s6da3ryzE78Go4AN7mUnsYpsk7oeNJjxFAwcZLlLZJVmj45KzET
TQ+l3NyRbSa7ltLgVwjALeAYiOg5FIGWf7EvWNtKXzLQG7kQVdtdKEXnLB1ClgNx4DVFozzFtdC3
4NPlDff7GzsB67ZWAaRHdVbehyb7YiVqEPAnae43TSCykyB5AM1vMZzKAhC5NDJEdozc6LY6yKYL
V27uQUXGKYr//72eYJcwvVMow1nWP4ZGoB/4C2dPHStQlKJC7JilIr/JA0lsMhWsr8K8x5VbefLm
Vo6PUhOaDmj2ctv1U4+7eepewNdHXmaB9x7M9EvXKl8JrUDjwvF4HMY8JOmgHaMb3QIyXrRl6mHn
RzWpTe03RRtSn1lWf5fIhvA/IWJlaKUblN+WpzUsI9a29mzIZrcdbWRVcxs310OYaIqfLHYTOrqa
A5lqImlPt9HEOoO4YvzayHr2pUYHvQlHK33PWbgxnWFwxWPvCz67jyaN270mcdzLbEk8eGQmRzfL
l1kIY0eBL+/lJCNGOVaIquti5bhUUvJmJ5bg2QnjvBOFxHAoyC5JR+8DhTFmKJjU+56CxO/rzN6h
T2s35kTlxUJYbOFSD1cxqb/cRxMaiU6RJE9mZuROVTngXmqLt44oe5e//Z5+B6PQHBm7cdBqpuun
RaenKHTkUYjL1U2piLdari49aRR0KUXiwtzf8oiWMP1Iz0qsY/kjo2NdXVBhZLLhp3J5NqvmYhL+
brf1urDoHTlPwbZHxS1JTOkhKfGdFU1lObXN2JKID6ZFUXRgKhpuEJyftFySiAOcxm1m9PaOVDuo
R1p+kdLiBkpQtEEqGK8U+8I1svlC349WI2Zv2HYVUS1LVQAyL3FdIcbaFgRQ8hA2NYy0k0q8n2Te
E5Yb75YkgFAmlI86MCRfzEnuYILMHdiagoMsjTgPtP7CHM1+Y6wMfEji8itbaWdMQ3ExGMNzGC/M
SESvuLJd9fsJbdYONyKCmXixDnk3X7JYfNED8+F/G/T/aoNOu4O55K836BvMs/H7H1op5def+X2D
zq+QBfNYg431J9Xht1YKFoSB/JLcGsxGa1dDz/R9g67QSrF2t0G+INI1NRqw39opVf+FtsxYIeKE
x67+l3/TTq0K2D/gZQg80jV2nwJLjCb/jJcJx0lerKrs8Ur0YYf92s5zV1cJWtF7XBsOY9aCiT9p
KJ4d/WN62bqu/+HVwRKBbMKNg3d2hR7/TG2qa4aowzLxGOzVwTdnHAtKTCLDbMb57oev5U8AUX/6
UrYF2ALbDh/d+kH8AIhqtGRQlFysh0gDblRVsNS2qCIhddTev38pPkr7UxVhoDb740stypRWs653
22xCG4Spv/YId6Cnmcz+V4/ZXxKWftJDfH6A0J1YFWhcFKzB//hS09AhXxB8gPSyeLVn9YLZxPiG
Zs6DLEtsL5o0pw5WC4PMZP7v3yfX4H98e+iZ6fe5iqFf//Q+WcIGgVZ13VYqdZC38Df8QtHrfwAN
/ecXJ1SuSwgnOr4y62dmextaGgVg0G8bWzdIV1EBWTpiqs11uptDv/n7N/UTx4dPVKjMFFb7mMpl
8nMKgagB9UYK/V84Gzju0+bD1NRvVshqTcnyK4M98a9zqr/8Dv/zYxSqipFojalED//pM/vhygyi
NBlZD/fgWYWgzAKThpmy9P/+fa1fxh9vNV6FIY9N4gMquc9kjB9eBVSyUqR12m811vhYlqVjKLXX
dGSqO8m5+If39Gef4o+v9tOlAXYmrIH09VsLICvwFqKzBjwttN5wIaB0YqFKv/79G1R/mgt9fnOW
aRliJY5xQfLc/vEOnyPcpOPIbadEhn6tl3r2GMqY6sGfWrueJsrr61tzmNFRZ0gBjA5DfyW0XY9o
YcvAefD7SR1hapvV2zRpElpF+Adq0NV3S0ORZUYhjvV6+YcHk/In378G0UcG9GWZcNrWf/7DN2O1
IWOpjtsoHtFRI/MZkS9Pk2B5K2myE7cKPYtVjh66ZhSK2aR/kRdzuukVqzqbiBjdsArta8JDfksc
+MsrU/zpn8bzeb3DBf/56U9L7MxIwT92TP0jNgeR8PAKT25tGZ3f1mH7MMVa4sqgbYA/ZKQyTwXp
J22QM0LOp27AU1fQirWrsKOQHU2pAi8oLHl19c5XYa82Z9VYpP2SImKoh67zRlMwVCco67EnD+z/
2DuT5biRbNv+yrU3Rxn6ZvAm0UdQ7EIUJWoCo5IiesABBxxwfP1boKrqJik90uqO7yStmpQQgXA4
jp+z99r36AfideRk4IhdI9gxcELL6XThFkX+qS86uRqNclhDIcKmX3oX5FJ9GcZQXoGlIUfCmQmP
c4ZsMxr9NVDa+UDqIX0Il1SXKS455qba/Gp05GnAviZew9PPhXbOfdgTshYkS3Bi2l/zN9e791fr
7w8IWn4KA556d+E3vVmsk0y8wRuXH12mV0aBH5xg2iMmqrthjim1odz+x48kV/SW5qxJ45T95vUy
i0DFhoBN+30Xw76V7rbEuhnV7ifUtVg2Iv/b+9/w93075GjBGSSyMOGgE3x9PQIxVM1v0zPoL8E3
cAw6wohztqFNMNj7l/p9meIWskEM4hxi6Oi/WaYJnIp8VA1vwZDkQugg1pHOSPDBDfzjVWifUqY4
GIvf/mTELBoVubu87vzOJNA9iIwDwJDw5v0vY/2+j/FtQssiiSWAQOi9+aGKDJeLLyK5n8gQ2DSI
HnbYUxCdyJpzeSwDSgoWvgn299SFXzs72TdukX20LdH9f/PCCD1KGDSb+Lgsy33z+7Vt486ZCiQC
+jLYjm1U7uIx73fM7aA9wTB2OUdP0bYzm59lMwbnos9Hmq+muqzm2Tl5BZFs79+axUb++2cK8JPh
EqP//7biSBiCG3HqyH2dDPXR7LxtZNKsnklNvIqlGAjZhI9fejzKZWvo64EsuDVuLbr3IU3boC5/
lpg+rwqarfM8fh9yOqooA8RnXdMuFvTzDl6Sjqdal1eG2X9UXPz5C0RkzziU9Dz/y2//t70+trqo
ApXNTaWDlDD52w2jm3xJ2cXWANbyTSwtE3yE3/PG6qqTTufHMAvuZOdHx0EA7oHYobY0bKLbBkH9
XejOP2cvrk8Oc/DdKBKy74ocgD0H+F0Hg/WD8uhtpCxvWZbF377Bm9U59lhdkkbLPYzohDC7qD71
MJSZwJubPuvY5DFsAoUxiaTQai2FW32wCpw/roIIiz+wPBs+wJvHPdTsJdobJDmPDBuXrDLvB2XV
TeBKYEeR+dSUavrK8Cj9S3brHnPWOscTi6sYoZNK5M42JZo5eKkEDlgjWiybNmrKBfeTB5vHzRPr
JxoFi60y+MwsdeuZOQlZRvRVhHl3IJ8eUbBnlQc0KY+AMD/7mgslBEqsxRjhCnx/2f9euoU+p0EX
+B+tX05LrxeNZ6N5jXM2hJbOcx3vA1hVG2MGO9zMnvNBnfiHbdunBubk6dI9DX4LxQKPW9MyhfNE
ZmqUMWPBI5bTD5yjD660nE1eV6R8LZCFRNy6CLTfFvYk5Q4iQB2z111yVwDa+5qXi2Kx0pwmPF2U
WAl8A6Oab32UffaHt69vLsNIB2wSduvlo/3tMeyTjJlXTscIefhD3IcLbuiM0/u5DPofHHn9zfu/
4Evt+dt3ZRwEHYkDt/92T4+UIacsY8lyDK/Pg0Pdo2N0GDUyH0fNP4nwvWsyBkmJFhQ3bpitlUy6
DaqiD56ePy4mz3d5sziBa759LWcD8upU8fyOIUQfc0FPuZjOQXE3dF3Tj0Ld/vDS9JkJ8zNj3Cf7
7O1BIMqLBGQEP7Lupn0ioALO9MQ/OCP+8f7SK3dZSdzeBe3x6gfNpZU0mOnlnjNyt2ZUlxJhmkdr
XHf0UKXD06ncYWMw592OMfkjdAPK7aSMi3nGoP/+r/37oTyErk61bPIMgVd987yOKIBRUxZ8GNWb
ZGgGyU5286VWiF2TyiLORlb1Pg16THcF+LL3r/42ZW7ZodkX6R4v9usQb9bre9EnKradGj+uttz0
hwi6RffSJf21zCyvWo1+g14ZnCZCaUMvOS+K4Yy3MXPBSKhqg7RYj4YeL0lGAqZg9z3dRi/x5NP7
n/MPG00IPJhxtIl9HMDY64+ZGhAIYVW2e5KKut1ADOLWlW20XYiiH9ySP1wqYv8M0H7ThuPuvL5U
lkO0arug3RMNUD27ELNuofNC8jJ883/wtahBPZfWPs/yb7uaqMXcw31r9yjyu1vavf6u0UF8kXc9
XcR/Nxpvfu0ef0ee/2ET40q0RSgRA5pab9Y8c/okbwaulBEjhMqqFp+rpLW3vN1gZqM8gxZFWMH7
F/3jreR8DegYCw7059e3MknMuo9SD/mibal15SH9ysgf2HQmvLf3L7XEp/32hqDSwLgPhjZ02LFe
Xyws3GbA38gScRf0vK813pksdcd5g7qzLtd+J21Sg4u+XLc4WYwdJ8dh2kIGoXsPLIeHC0TfHB1j
eET3tlAAO7uaKe5GlDA18Dm26SOpf8ZlQf6b3CXpYlyV9eIwrPlKzjqAxhJuIuXhJRod09EXBKlG
e8IDgnnbwA7BAwrJ484fbJRXJWZTKC9WBa3ViURqg/MnWwbGFs2SZCU4waQXCI8dhmNZ0aVfJAFt
+ljWdNf2aWZV7tYwhXWq5mky9og9lLzyqnoIL91+0PEtOLWy3vHfjXFXjZivp9XgwsvbkCDsJpe4
BhGTDJ6DXnTw0HUqg7EkobxGc7C6glmnTjobrHma3VcoQdBkDwSGHINkTMQ6HBpMKrogsWVbCU1K
ea44TmZrZBP4jKSEzraZlKcnZMI6Ni8AEcUmfYdKQMmskN4sMrfQfgxkTL8kiPuJeRnDyM/CI4lq
3/RkVN+McaA+15nb9VtttFFwNpl8JtsBM/VwpIiddm04RdnOJUMOz9NCUl1LglKg6CzuhxKufr8y
DcIiV630wi+kNCDNKys4ttJNlbXKhcDgFA639Hl3w+IlihdXESRH89zXPtIWwsMOxiJEdMhtJkEb
3o3cTYs/KWZWplxY/cXiXbJdpkjF4mdKBnVyFoeTLeRjvnievAEFxrD4oCoMUS6knq1aPFJycUsx
GjS3YBP9Pew05MKLqypf/FVycVoFPeYod8AXgAv5cW7xY6nFmYVZBo8N4a9MtfzFu+VFVbe1Fj8X
LLUZpQ/qYtAB6aWz+L44LaDCw/UzLZ4wD3NYtrjE0sUvFkcufvC8GCgqZIBk2PU2cnGYEed3bHtU
6BmRKvyjuC7oLk2j252KabI3s1m026kHYZqTXk94dlFdjA4qmcXbBiXpXBnptLXGMCX8opsh2+CF
w8iMK47S9RwvTrl68cwRVEdAbg+vZ8Lw9uwv3jrsYWITLn67oGkQei4evABp+9ExM/soF4ceTYqT
bcF+94S1Kzz9rVrcfHUWHwLP/ZwN+ps3xcAhGP+SHR9/q150gwmq8qMagnqnFlnh7Bl3xSI0lIvk
ED1OuDUXGWK5CBJxCkPAXESK6EjVTbsIF+WAvXZEy9gvosZykTdqdI5yETyGi/QRYnB1qJnQP7sS
YaT+JZIsfkkmh38qKKk0F0Fls4grixedpc3i+VrZqAE2wYsm017kmfki1BSLZLNdxJs4pWsi/6yj
OSR6aywST38Re/Ifmu3EA7GNAVVr+SnUYzLKB50CWgZVCwV5LDaztLsHw3J2Zp6QOmHYfOZ9QHDS
X1MwF+LgFBAWNjBHA3K9Ggs/m2H4fQ5AP2TOXBJsapxoz5qYKJoWjWfHncKuX5dEp1TqLqWrf2OX
uX0HeqLIjmMOusCLsvbKGu0QNTthfvAxacalcJt/+GZMPUl/V8AjM8sLwUv2r54kax8mbdKs89HL
nE/TJP3Priri54jmPg6n2sfMKGJlbmYdTl+YM1XPneh8UI8kMX6vp6DbcETzrtFDiwfIAeNGplLv
eyqWu1C7+YOS/D0a3cm26e32xKi2XGdT7R5t15Ff6cIxBkEhNu9wZLISUidqv6VJ2P7VwlfeFSTi
fMOYlx3yLu7Lo4M1YYe9TX71mhZ4ctCMmAHJQOk3wyx5OGCDe+vCdItN4sMvx8rvHAcyxzYBLeQt
p9Ko2xWcm6pDJYhiIIsuUfdtPCYziI/MYo6bjHG2bky3jdYVo8GjqNNyWYPGeEqiPP0M4BcQWtAN
NmSpXhj3AA34iiQXROlFYs98VL9Q98qehvEyiePkOgshtyEgni8x/WNVS13+VgcEgwsrBiGL7c0r
KpH25Is0vc5HKb7TukM4jnr/OkGS6G/rppoJc5qK3dhMbrUPwGddl6VQAYqi1LvmIWp5qPh1acK3
p6KK3OsgTcWPTiXdrTt31p0k+OFrlhd6P+ta78OUm4qyXF8YLM1b4XXih7ecMNe1P8OmLlpi6biz
2QGHO3+tMUw3Vue2J2L7CPJTUvzo4ap+Uyn3dQ6C9i/EIUiMZmAdCBfrKj4ldCP2Ayq1J6JzvGt3
bo1xpZoouZ4yDzrF6FeVfoJm54YQTOwRwSiWXPARnyxey2IzRnmyNohqA3tcE4HIDjXEEpQ2pkVh
ae8685r4i0Dvd+V7Q/PdT7Dl90PKIN42ZkI4cUDIJwi8NnnAYQsh2ow3iTGoi47YzANerekLeGD2
xWTRLAn+tDCN5HqIcBggifSowGvI/9eu05bHrlhkNn1EEwdz7RifgAPwL8QqwvOWjCVWh1k0w2rm
OaeNVcuvWtO0DhH5PAUJQqs41uXR6vpllQ+pwJKR297nrErVvYusMViPDR+yBFVyDvtOPDp56n8m
8QqWv6jH9Fr7VW2tpFt330rilW5CXw73ppiKc7b83EvM1Ccvt+Jz6youVBh6FwUBsgqKjPTaldy1
ME/1jZkY+tnEk7s3JterVzTt47Nd5dhoEWZ88nE5nbNmLs6U7NOXyGQiM4+KzKS5oyWOby3Vz4Gg
zYfZl+TZFf0WMB8EUI6IMIwGTT3SkAopk+HHZzflyLUSAwCnI/4bH+vkwErC792x9RI0rTbsWel1
WeTk4VUA+W8MB2QRE9OS39qUYaqOvtOEKG9l/9yEBmcmZVb5uq1GQqCb3Lp3EzFu1Citn77Kh2HN
o9feslvMz41Nqtfat1HzIbj3hp92OMxAyhUONkMIbovPm1zuzbGAYupT8t7NdonipDfZzQJf/ZxE
2N72MQCKobXFVa+0eJggTtxaOKGuY59MyT7C05rJ0IF0npK6RFS6c6yNpP/aZllt3nZAiNnjEUd5
x0aDjaaiDi45E8c7MRC4tUJLENA37Z2BgbATfp9BA17FwAj3qizVwfVJp2x5bX5ySKEF2U2E643v
SrETtSu/dELFq25On/uk4X+SQpCrpYTzA621t3MFgSaCxPQNXop67SnHJ/pAgIxkIrGBLsdz+GKO
tSpcty+ZwrVLSqldJiS+Gs1n9MGXwLmImjTNjLNM123GIcqvWvo/5pBiK69Ex2ULH7dnRR5rQCQ9
dh/G62ZmXE6+QYC79uLPpBo0x2hCacSmW2EVrhk2tug4j17Wn5TWhBzwbF6aydh9qpOgPiVprVeU
+pSAEeM/WqiPEeytYxHU+I8b5Typ0j21mWmxpYX8w5HttvYtgarZvcBT7X6l3iY6Dcj/j2hc5kxN
T/qYYR/buEFL26YUpApa+deQqIGzWacjAipx8OEZbaLRgL6etc0hHOdH+n/VQ1EBXeGdw9HKNohu
yn1OOOtAAxNZ50VBep0B50nFhnldVK7YyWFg8GUNYkOFOiJJK0zMm7n8PLSGz1YXJedBcpHBi4Ob
AVHoisa0Ju+N8M8oi/x7H/7oIcuCe2iB1Z52KRRjk1IOKLxuVk02ppdZSOOmsexj7MzWj9SMRzTT
hrnvbWvehBmWolHxMEqR9oRr0SpMNJEhFBfu19z19rU3NTseJzbgBjPqKoGGCq84ip4V9K2vk3Ct
q6iKZlQLlXuHADpfE6vg7mAneRcV5KV7zADBrcZvsvOUnNpdQF2Ijr4j02OaxM+ZURNI56TPrtqc
ZQAAJyFeDqQL2xo0R+ApuUSSBr6KAcIqmhEADrA817ab5I/k6RSnZKwPfdGW2Ltcgzy+fLqdTftr
nxnVjkdxlzlzTqHmeRRkwXBVuV78pSwaygxw4QVbYL4SYZ+dQ7PD+1I54YXUGbuXmW5TQsdWhdN5
15XwQPGnYwTMtS7no9aNuvRJiaup0YyCBw7PgUimHKG4Q1Zum88o67qu5lhaGjBpUFOP6pJwuPxb
ZbsgGiwa8LTWGt5Ys6ClMWTGdBNBgf+kaWZzqgsUwmJyM4pTNGbmGa/UqcuD6RCrfq1CWVyW/MoX
sh4Ddn0805oBD5HEsv9E3xeRHXHk1mRE3yJmppxzHrumHtZkF83rVvgK6EGdhiuleuvbpN3u2NjB
D2v2f8Zd036nYi2/Y19o2LSk8SUoPQMfNqbVPhiqW+1TsZS6sxh6I2xbJxM8Bsqh6aBssEQnw0GJ
u1Eo+4JDgDiYd4zrN9fGuERekS3WXNO+AYRphzlG7qFcIqlREObfqwq4qd2G1S3cTPh5L6G8eYrh
rJS2+aMmhvipJSNXrG2Dv7BFBXDyOvzsmmC58VtHxcPvlnHIqVJg3CtlEG5cCuKYIfOJB96W9M7m
0kKbnNCQPAK5se+ojzmZknbtnpJiImm9aPonOSxRtVIP1XNBhCpJkHMffzdlbv0oUmJLV41LXrkk
7+A7iB4O4W6c4VkXM+G4hieII7FnFQXbufAg27cTG4NMcfzvgqRXzc7F3JduhglQwCq1BwqcpgYB
kfpD4VFjNvF3z/L4M5GYiM4iKbXwNmS7soxqR/fwwCSfcpuDWwk3NSqtAOXpxEXzzK3lRTZ7PedG
s1YWTlcxgoygeOVvng2Ac0cXUyEsOWDvxt7QSwnQMyGFmzqRdJWnpltvfGi0A5HePr8SAXQwMkh0
iLHXKKyeyZDB8Y2B4z3bw8BVh9YheHx0nej7r5vpKSMZVkiQrAxGlIkyLSBOsFlxnmj2hBgla6f1
JY6Tl6YA+XP1Zw/9WL0vs5x2D8oC0hXqYioOwqILhFveI5ICsyUOwa5vPnuojgmGdJm3oqJv+X5F
4NEP6YRZ5BcSFYPCy4Pw4zJSvXpWPr3R1WB7Ir30DSu9I1/L3tdDXX+trCi4LTDEx2shQvNuTIXU
h4k2fHztDnzpg61MlgdVOZ8a1Tk/HgEOtcH8r/HITTHxXazo/ad6Q1+Gu6hIbO3ZJMCSZJxeMmT6
VMRaKvkzy2Ve7qMBfx6F7xIagAfIntYljFzqXX7O+VDT/zthsUUbzTqkovNA8eVH0+9oonTMVnI2
F/AWPOpI8fmzMMImrDtkf67qcEBWZc/TXF6nyoGvspSQZVDbPTw0O/1i5SZpsWVjnphJdwcUt85t
BXAfnkqR3c9zOn4Z8ez8aqv/r5/vAz+fQ4+c3u6/W8Obx/7xv36+qFevHquf//f/fM3kX02NV+EV
pfXXn/qXCtX/B2I2m6fdRmS0xIT929AX2f9AbeCjDHOdcJGH8H/9C6aOoS9kjoECiC4zc3c+xj9V
qCSSMSJESsa0BfXmf0hqXbrG/z0ecwn88ZhWoAZFu2Fb4KReN3pRx6bF4KX+BXtWd+gqa7rxLFbW
rDHarHv4Zx/0zv90QbRWKOEo/ZjWvOmdF3xrQeiQd4GsEt75ksU9R5wYfNKfDgBMrKu//SB/6NW/
bpv/+oLBMuWMSHmlB/pGTEFw2Swj4gMvgib1H5nlAubJc47LMHf271/q9Vj15VL81PzWyCPMwHw7
FuhS0NNDYbkXmN4JGAwYWEO6Y8v37cS66nHf3AcFNBO8FtP5/Uv/4VuykjxWQ4j89beRztgWSpuc
9i+kzTmP1Che2YZXL+DL5EOh5hudzMsXZQUSAuARuugzB3m9aKaGwiKYMhd/FWLAVSA6bDxjbhJ6
qfogp0RwsP+fAPPi5tFAieQ3MNm8L6cyM9amXX8Uifn71/dNFpMPNjggpu+tmjnHGTmUSexehKPL
140qjm2mUfCP/9m1FoMuIQcu4ti36hy8ImaZciS4cORoXdHT4vjfV9N5oKXx8P6vutzH1w8nogNG
qp4XACE0384TUcd0VEmDe6Hi9FnahHIONrX++xf5071jE1qkYib2obdKQyjkLvPQEppAIZuLPFS8
yUIy3tbWXPDye/9ib0Qsy9Lx0d5hwuNdyi18K5sm9csCLWA5F7md4SZyFNe0YgNeVNlJ8RC2hfcI
PIWHlBLlrNPeOTJVdT4Qb/9hBaNCYNvjFLzIEd4umNi27Dj2QShMYW+fwI5Zi1ibI7gwJCu0RYu/
LQp78ZXNA6XRy8PrCRha7CDd4f2b8qdfgEALPAfLLx2Yb7aooiT2rCoEDy+R7WfTNDkL19C3XNF9
pPz406V8n4ka/WbkLG9XFN2OrmEc61xkHrc3ihIeWXq3bPV0m5qL97/X662e7dt1TeawiEzQCv2+
fDmRcs5uBW1ubQKgNHB/PxBoCHNhpKBfhjbhB2vZer0FL5dcmismL27WmYsg4fXORLos2hML1rUZ
4zVwQw6nK4lf9eyPxnTO0MdWW8ejuZaGdNZfcm5RyzYXgUHmGcdpvz3MLa+/lx2kdwtB7uZswwqL
U7SBm8yCAvf+TfJeXrH//ZQvulCQQAEL8UVByavx9WeuQxoZoO/ckyxNAuWWMDa4T8YusSTdoMas
NHFtlI0d4W1NLjRODf6y267Dhr5lmMZnpHPJDxmThPGEe6p/mjjSMA1IZ54ruzXYec0OFtLKs0YO
cBbBYo9tGk7n0geFxfyif+qQkhwDzZ/byJye+mjn7UOvggZzvutwbuUGrvDM6hvAcUYH8MWO7rFE
GUSpRHFrHSy840RKBLCdNlVEcPMaSlzsLGcNWlJl3XKNkDuNH1jftC2Sr5WrKGk5NgsI72nDCqEZ
IR50g7J6b6Bv80+jcDgg90nVbTisEutblGn/VBAY+BAIJhInohH0mdSZ6cawe4hQMzG92XdLR/xk
wez4ZA6P5JncUzKz9vrCf6ReZ7W71NWP2orkE3D65Q2tlPdY6cL+iwOgfVAtqqTOJ7fDG4OWsMyE
gEn2X4WeI/J4w1iaViJQHh7SFzpdjO7RmVzuaMxckMNsto8dRz51EpSr0djWXf+SkBwxhD1LCfnG
Vug6ROTyO1U+eczW1MmnokpsbHKggLazJGFrHepFjy2WqGbA0s4ximvucpVrGpk9980dTHy1L2+5
mjc1fTqfZoGu0i4/QBKE7aqDgJXtIszXq6rWc3BKl8LEoBFxA/Ep+mTm9tJt07BNoP9BNfRq6Ilt
1rJqCsf0HgO/4G7qPBe0LZpQY7xfhk0nseyXhgo4C0lXteXenmw+DPrdxVCKU/rJb1Kevwa4D3Pt
OaR5aFSchjXjnHANTJRpbEBvjQ7lC6Xaqh3WMmFe0b00gW/vQYSHCx13uhFWyLuo7wPSqXXJe3nV
19hy1pAo58s5KGcMAlnlPSqIVI9+OkRwgeoObbynrY5859k+oDqFcg7Hyf1eK1XfhXOmL8uWHLQW
vA/Ta6O0wp2VkTiYlYTuJSUWjZXESbQe67mBmyhj/45OR0Zz1Q+JjQxI570it5h5vJs2RM4UUYS1
UjrrifbbWtezZhpqekjmUyFOhblge1mT6Wo2ZX3bC4nXMo+H6mfDcfAZQSkADZsOV8S4o15r+tDT
eijYmdYz0TvMXgVA5d7Q4ptfFp3cASv3/6IzAVW6r2GnScagO4QrAWByBLgbK28w6jeAuSJUVyP4
d5l+TxaCWND0hLL4qb9vax1fWLpHoxPK0Wc8WvU7jZaGccsIVc8FB4HT252/12WLHtOzUQVYip8x
jD3m1MVYf89FHvSbWqVyU5hM4ZdiFAPb1KIR6brKwPqc4kigeNkBLAbElsKwgkkXnwcAgEfcMeKY
d2Dw0JbqnzGNtm1qZMatjprqW4bAYl3qGg9LTT8tb0kWhfz+GPQuz0cGpyi2q3Q9qA6kpqDf1YXG
lUtSMNs/NKhmVXTYijZ+AN6LIB2ED4636vwAY9Hyy4vxE5VueMCVBPYCPtGI0jvmQgSIxogFkvQY
NgJgFlCTzdxoY2tXzfBFFD4KX1XL3eAVel2n5l9lIBt6dRnBwRGDdGkgMxxKPgc9Q/ph4K/BDLC9
f/LdduGjmvyiQWLnnxqAQzdmP4gbUAIsasOnInvUcW9dGQw45IpYZXqfjSBh9wLNFgU2zX7izdlt
+6ekM9mQmjmy7rQ5s2RNSLr3HfPQZBsOkwegGkwJUBbII2pVQaCY17YHNiW23OmmnFqDDnfZASiJ
eB+H9KpJvbHd5oLx6fK3WRPiviLr2YLYjSnMRMNuO3GOQhxCCeeDvbxTAgXZekCedHAnF5WHZxXi
QQCL4qMFIM9WRVmXD3bTJtRzKcpxyyErEFx4KkX13SPJUjxrAcFLqgBOIGpQ6ItAPn9W4dgijywM
7yuKGkJE00geykYTfFNPSTasSitPf0jVP+Y0E7eeS2LOGt5bK7+VBP8anzOmds4htNPwSnU5mpoy
K7bpOLaH3PDnnQ4XQHqUwOGLAnf8oryuOvuJeLbL+dsEu/a66O3+wL4K+dGO4BS6g7Cfkj5NnuYs
Gz8nA8r3G554HP6qSEi8SgJG8yrNyN5oSxmcfC9D9TyNpSDF02cfXxfQvcdDH03mhds2+pIcMufs
z1NmrLqqGKyVz6+AHJp+wr1RK5KuAYOXl1PXudcznI7r1nKHc8Xgeb0ohv9ylVEyf5+dH03kq4ve
F7O98mIbnBhzq2xNxzNdjUQsEoLalmwXhENtoD+5Jz2qH7Ewxs+gyAqyJwfzsssS73sx+kR/ddB0
eVeiylq12kmuIldnl91E09aIxshfpWi6H+0M3gS5i4QSZN5wYfmmQd4z7JIOtp/OdswNCSuZ8LtB
McAgPe3Ssnbu/EKIg6ph1IksxQ+kh/m2R14P3C0ZH4ayb4etKaWbnSZiSj2yZ02GKmGMAf/Kn0zE
FlE6yAOnXONTHszNF3IE7WiNo6eqGd8EZnEYWDxXzA3Fs6VaeTkIcsHpDOqLOpdkbkN6ZQTZWBwv
Uja3PRAR2p2CysJAtBqo28RWI2S2PAZkQHwLsZtT76w6XXqfQOqxjTqmjqCwC4UugrSOAYYhEZiX
PdQyb6WjFuJgWAYuG6I1/mxsf4h3kdHOu0QAkXVdJINO6c8HOQTZWVZW+2WwtLwPS4CXapqBHuRT
hmAE1ZNrpqm1muY82DgCQiDxNXP6ZFY976HeRO4fGyorSaubqKxnzinMOIJuzQA9u6a7PH0xu9GA
PN+Tqp45rbMLoS8FJP3W3q6VAWE5jZ0hdB9Yu89xmU4I7p3+r5HJ1dPo9xj/TaK4UFmVFk3TvCmD
bhXjnXye+7nNAA/PejgEvXj20im5kXnl8JbLZE9U1cQ0pWnqdgOvnzBWN+g6cirq7tooxxzNpB/3
myhZ8mlmPU0rM20CSCyD25NQOcBYMNxAfUt93SDCSOb82iTRx1zFoi6v66gEt1rTOb9NDYdf7Vdi
cfUrvxhU8ZJm/FKv/28v9INeKO8/H8/M/78XevVz/K8H+JZ/b4X+8w/9sxUaWP/g4Im1IUQDT1Lk
4rr/pyE/ICESSwI+YyYXTKZ9lN3/aoV6/zCxQmG1BnWPwXTRov6rFWrSCo1ImrQcc7FM8Rf+B7mS
r8/GWBHwWUJrxWBmetHSTHp9DrMQYyvTTJoj89WCPbNOwBF2iD1m0k42f7s1f+hKvjkav1wLYT7m
+5Au0m9tECVNY25Dqz4GCGKuZkXDIx+c6F5zBz617X/q+Fiu5y59DhTfC24ufPPdOjLcA6YjXK+y
OEBQSTLoyKeZtuS0qBn62He2zhRad6PPRO39L/tGLr1cHAOC79KcpKyiofX6xraGSYEtu/o4d33/
VJUIYHlrK9DUzJTOEye9+9g2P2p1/OEWe9wtklngK4S/+TyZ4eTdGAbV8aWp/XJwVOQ8A0XPUEIk
7Nzb97/mbxfEsWeaXI7Viw79be8hN41J2BIsSGrEdBTgAW3oXwHoDh3ju0OwwQfdQeu3+xogF8Bw
gCuMm0vv4/V9pVduzkk8KQxrE2lNgx9L+3qelzLvVx9UD5l1FZaI8QJdWOdWefV9LUQAAwh3cU3W
jwzOvbZtiJOgTRQD+1R+sqZo+qbt8INVQCeLz/P3RgcPPKNinn3mFuBe3vbHa0JikrzqB2JbncS9
Myrbiy9kUiIwTxoG0lWbWOOJ2FNd0knoPeuOZ1CfjYjq1DZT3z+9qHBekpMSR1KQMiNmLUmUJxcv
50uou1V6UvD/q23dKesKCSjFMU1FmjeDLRnWGh0F+qjtmcMyM8krmD20M4bAbC6EoaG6A/m8ibMI
O9TcIdD7ESpHMBrs5klt4YVTgnfkJt747BL+JgtVAQfGVAYWKhoh5xaVN0suzlsQfIHUBvNxMN+W
9ZNVOqEFsbIsny57Fxz57VTr8VNtpvRufC9HO7e00lYvG0GnK57TCcXFjTH26AqKFh7zFLfi4aXR
PHemc/RVwSlgUorGaeWoG8olMqCidmb7IpgogvraeY9hZ0LWeinmKxWLByeFtGW0hnXnLefrbCYn
xos8uz7WOpoefHScw5r5KUX7cu44Dy5d6I0oiOisOKC06whV8L2NIKbbDCGTjheiV0jK103cudYd
xCJ9nsM2ukf1y2nc8Om8JTSvW2f0nJ1uMk7/0WRw7n9peP5aq2meMLBOHaz4l9kyxWdOypEfk414
sLXiDCJHxdHF6HSRgkmPs+pYtPBle8YrhHxue5pJX1NFKyUU7KebHqoivEWUEf5K1b772MiQrIJE
/LPvES2tFQ4onKbQB7AyYIcYa3KVmosODhtSxeWgMwx6EZ/5NreUpxtx2JRzpkmaYgZe+BLqFaUW
GtR0kYiMYvmuoxuVTMqZp73cf9ow3toZQtDWiFXww5KjSnAG8eMv/04fxyAx6ZCyb8wp8nglbnEo
qc2YRNFuAARcrdPl8fD7AlU0h66YA7tUJsdPOQ4IOacwOjsYcDpn1YcOqb/Q+Mz8Cl2pFN4KwKI9
fRY+viTwuM0Uq12ZU1bF4KoobsvMMo+j1QcKXmBl0GOTEuXNXptDPm5A1+r4LKgSYUg2HnVwnRIO
+smeI/0AC2J8UngJiJBCW5TdjNqwx6+S25/uZV2rvbTTGpOwWaAiDJWB7LZAG+SBvicx604Q77Cd
MjRCcR0hZnTwklCyHUendXf4PZ0rL6ToU2o8xJGeLhDATXd+NSDjERxSfdvQVy6a1uUcbH2TENRI
idP+qteTdW2ADziPaSuRo8XK+04zN3JZX3KE2hBl04UKDLR3xAQgfzCXo6jZzFcEnSRPdBiIHKgy
kuSy1L8SZh2hrVgIyPAsK9DVk0Fg4pwnVNl4jp6ijDC5jTSGJNuwuKMT0fb4ciNXyWhFTnF872Cd
qDeW4X7h2IhysmsfayvIr/ISi+Th/7F3Xt11G2nW/kXwQg6X38nMFJNF32BRCRkoFEKh8OvnKUr+
hqJnpPF9r9XtbtsUDw5QqPC+ez+7x94y84Meg45OGu+9rigO5o5pqzEvL3csc4xlN4XfC+YwZZVG
q3nUwyieA2dMnhqdT+UmyuIm2ATzvNytEGKelpy9xfeaKn6VejNX6mXp4uypDEImzM6tHvAOl3+W
cuXFSnTgnaU2R4cC8+ZZLBJsrgkFxx3LaPcQwnOH4U4IMl8jOzgeJp/zoF7t5M91EM5fjbSs9WzN
/Sk+8xq5emrriGE5eBL/y3noet6nNZuDkGSv6rxORHqpLJHdShRBZ1mcPKBm7p/qUb7oZjGzf+E8
EYtGnu/EfSKynnkeZ0JxnnTC/WuyIKVu61zZVyJR0b1LomeEVUKdBd5kzTuCf5wt72V0QeKxjA+o
19ubZUKyfaBB8NRQbdh1y4A5ZG5yqqPa7bHk1X5AgcRL2+s2svxPtePx84IVSz4GeeKmn5JYFeAH
epF2hzXGNbpxs2oC4TBU1mVTFxO3rgE9uI5B9hFTRXdCzRMj1PZskiBGAlgcIastBoLhuVuoXW3E
GCD7hLdB3PfMY+0TBKZFPfhMFj7hftcyHvSZ9sr42lo0ZZ2mK5udVYfDF7tGlRKkWGY3VbgyaHqE
t3dDZse7bLHMUJpQVZMaYGo2rnEb9q8Q3jLh98ww6I7hCGxqUDwa2gtoscnMBgK6IRoQa5nAiw2E
p2UILl6WXIY1lcFd5tKfq+UsTzqfmQfngJSyI1KFmFzrGnh63PHJJYtJs/UiujyvJaMwAHV/fK0y
dZIPJgPSf1l1yYT/OgUS0JdKoGtGXaYV7dXbUbXURieh/Euwq/YR/Rppl69F5dYDx0r5SDIi3JVy
b1SzPg74Vmg84OKhvgzJHoTgGFCkBv3rhMfvl+W0gcS9kyPrPE8tAxWOkO9d9LUkD0SjQRhnoyaL
4Uw6sFD1uavckJCLSTf+cuWEGbU5Wybds3J7kd+4RGjwsBrBd1Xzyke2stDRnd+LemC1CElkaDZ1
nvUI4VRsz1GE0M4Pzyl6ljD4+kDfp1YXPIe5w8SqpQWRXUhz4q8B77NkONmDorKhmTfr8NJfvZik
ELgf93Vn2ediyq1vo0TPST0NPRfXbFpUVpQ8uYtiWMS1ZCXvk9F58GTP8pQRNA+WJfLpgGRLYe4o
cS/E7gT4hbaTiKkyIpce2/vUPNES5f7LOjWMuHpgFFlOz6lhdFdbkh8yCKvYAwBI7SfH0j7J2iyV
kboPPWS+9/P3/G0UrCaNu64wpLJUiWQ1UdVZT1kIu5uVOY9lzG45I7CAdG/iX+igEEK9L7CEEzZV
N8VuVOgw4W+6x+Y1JjxySZqv8P9d0+maUaHneHdyTYwepsnzGpH+FY+/vyPLPT+rTBY5GkokjSOW
2tkklfsmszyjTbjRJse8nlTA98AvRU5jvqGfeeHrIUV/7n3A2FPsPJlNB8fOnJ1cnWYjF1LTu5mA
X6LznLv2NVSdbQgg5JnyvFOxIxlN7rpV+MEhNlnsWNEaCvf9jEq7g8DJrPCtlajba32TLOBZaJaw
MZiId8dxYt8EjZ53iOC34aCb04KhcM/eOL1fQiLiSxMWX/a52i8+1gVwsVcL4SgfeNqsyyZmnpWv
OUJ2tDbQZ8dtDNstS+qrCRwQ+Klc39iauHoBp/lZdkTYd3NTdlsvs9lALv2xNlH34XzrNc4dO792
71rK/hbgFTn3vNkviBVxkxK8UBspn+BjYoC/Bn3IA/EnXuED7lxF2OhkYKbsCGaB/SydaaROs5lB
kDDTlconZsOx7C6Q3VsYAHQvrobKxKg2ObNNEWKL2a4zpKBNupB7fKsrRfF2Ztv9m6O4OSX9dCqJ
OZdQ86ewQGnyH+1XUmfKhBVPnETwuumfF/SU/weJzj9OP7FBy0CnM0BCDOrvWtNJmo9TSdvlVGOl
IIAJa/ZDDy+6hvDg0Bf1zdHldTr89bH0XUvc52MxekPsoO9viEfvTokcyWuv7FC9E5wRvowWqWLN
sNTLQUU581dHU/AuDHPm4n42u9xffzp1m/d3F84Ep2JecC7ivdec6A6qJ07Ynagk0k1YY4lvzMy6
ZTQw248ZDdsNfS2OJWbnjSKOyf31Ev5TsftNxY46hMsg+98rdo/jS/62WvfjD/yo1uH+/sMOMO2j
aUMWxNj5/9U6x/H/AOvi4qEnhCMGofbf1TqXap1DJqUp7v0o03kmncCGponqJKAA5P6rMt1rWePN
C8vLk3j4vfH5gxABnfnuRepYsvJOx/oqaVeLInmshNaH1yZ601DMwk7L+jZnmbgYAsxNjtaYVUjR
vtVG2kGYBuPMnO3KaaI6UzjLHXqu4LYRzoC9o6uXIo1JklL2NK+npgn9VN1ZEZph1sgElJf/mKdL
0gj6C0TS0Cade9aNOrVuksafm/NOlnJICN92uvibJyJdTCdFiWyhqRxNToFLGIxvySE27ud7MXOT
7622i9y98HPX32elkqTM4rv1bmKS5rY2H4tqW9ikwzRuhl3OX/V4Jxu/IaqoLjATEbbSRy5EOtWG
6UPbuPnDOtL34kt1u3qdrE8qbwoMYr6EadfkJTnjAcU/wOJrgPw679LphYJlsZFDQxwgHnmKEkTP
bxMs53XEgX2NXNL6SO3CoLSBG4cvUCl77i/caMW5ti1RslznWTVbZ+jkld5VlZXpe0s702rv7Kwq
DfNX0OE+ugVB2Mc5tbuxP7G00nfB81LNfYVSp6aRcyWWgcDRatMELo6E7/Kv/8wIv5kRAiqFv5oQ
ti918a2T7c+5tN//1N+zAq++0SRjTMC7S1meX/h3PolLdgkzhk2pGU4FRM2fZwUAkUwV6Azd13r3
35OD+wcld6PbYqrhSJA4/6aG7/AZb9cbGy4GSN+QVc1MEa5vivxv+UIE6ghzELpuFQ3JWRldfueV
UYWjXs0fSCLS5yVQ52pv29X4PHb+/Mi+aCEINGn7P9/cvdvvc9JbTsj7Cq25GiRw6LeRicLbNQ2U
t1fjtwQO0qWcr92+da4zaq4UEqIuzCnajR3EA+VPz9HMTpq+b8yOpy8l62G6DpG/jZOo/ZKMI2Yz
IimnnVvXziMOe5xwmv7wV0dbyAx+fcWvas+3k6u54pAeDGyoICI98F2jwC+inGerx2tvCTLIdzgR
HmfWAO9AU7PDmkltBX8sMWCbNQoRtBAr6B2bWVJxo1w6fiH0ZHDYlQv8K2PRzZuxyTlDRhJ52D7r
yvy2mpLzZkgQi7BtQeqT96/588sez0R4VSAVaY6//lbvtl48hsinAMaDQOeKMu3dFiiiCkuxoR6u
6XMkTxDh2Yn4lcvQEC3HPrXI5F6kTv3x1x/7rqFExY09XEzj22Us8hdzWW/GIhN+5osho5wQ02hx
qny6bqGVQfbKn379Se/2eK+fREWd5g6KepaNd+MMn6he0dh017GwkfYpqr1H4Fra3VQi39vE565b
etUxHAAvUM3vBo0ZFG8HDd/SNfRecNZhyOzw7uOxLxQ5MvPiOjLy3aacgpcKend9DNZm2IcSEY62
efREmPTK3fRVF30d62Q4U4n2L5fQk/bWU2VH4FvUNo+eFK63y2OtvwqODzt6ZU20DRKgLyfklev0
O1HyPx8UcGOmDdjers+7ajaxbx6UHU5BGwSpdeVMafNSyJGioWNVY+tvPK3b7Fwh5vhElUpcLmuf
H8LOXwrW9zn6NpIp1201qKktPJf5ayG96MuMTyk6//UjJv/n/V0m5ZFBBGmTuZW30/v5KkMZo03L
R++qpMKA9m4HDmiFD7t4yQG4wrSVS29/mBtEVJs8z6MtikkqsFIca1+426rumztRB82yiWqV/alK
zIGUENFVBb14xM1Fcm/fptupK+GboBSgI5GWQ3utEEXfkIvs7bPMSWihrCklD3fOm1MQjvWdW2a3
mW69ZVNPUX8N2udhRKfucYgEvYNC02Vu8KcVNpKKy8uaLJXn1J788zyMCULIljnZKjtnM8OgK86s
mObHRumY5BxFTgkiiM9i6Mf7ybZQBhCoGx3SoZ/O/NR1H/ocTesxjSw0KmteUaTzbDlvira3/pqa
qNkJMbhnVdeKMweS5pdiFtBthNdU9zR5FpLUeh+aJ7k3W819ODrsOW961Sx7n9SVg+Mszryv4YVm
21nBrdjOJKDsG8Bmu0kkN3lqZfaOnd54Yqlx0djZJZWXMao/Lo2dX7gyEfeBNwb4xTAmH4awgSsZ
dnJPCEa5HojUIk9qWewXd6jVtyETgjw7d6SK3yI/yQ4Lh2ReDqX2OpunmFCV1NS2PKgo/OiG6VwC
SJybOQKzUZIwEqX4SaMugGvjj6RqeqPVNkcZVvsM9I39QeHWw85Ogh+sSL8nvmuEnAjZNFou6Qri
ev0wqX5sGmAryO7kFxh1rrs+Dyioo4aSsGQq7z67uilHD9frOE3Cvh6rsamWc7z+63FOaBGcNaRV
ik1pgrFt6hBnpSasejvxDIAh9TYFq5XoJdyPCPFzQjAq1e/DSmU2qiOyXG7yHkFAd6p0RDVBL3Uy
XmKX9hhRKkXzpLY4/a1DaOVlejPz6oTZtqfnyoDzKoJ4aWzIZIO+k3RacHNFiP0YXi6ynNSGutsZ
KTjS5UmlB4W0i6DxlF3BIWizBjE86OWV/OLKN4Zbc0afB50NVBktdJhdVsTfsLJHBdvazoUk7MdT
fB1YaUbEnheNCEO37TL0qz4NnGJkvhdZHpk81JmuUSKHlvJXHTb6RMeuEdvA1bQAoyXQ9RFyKNVg
Hqv7pyUaCnoeilFUduT0WFiTbYt6JGLPP+lCJc2ZJ5OxJgtsDO/WafS8Q2nExhc4kQY4DVFOqs4x
lbMgb2osPHbvqJAPk+AKkIvVBorigJfcEm4r1FUTa4Y20RdC7lLHmc5pdAb1Lku9bILgOvM4i9dT
ewvTY/1aV7Q0dzEXgI8DyXF/xvHBP2VFREvGrareI+KLMJp1SnGuWkqK5LYEZOtvoUqj9m5EuVoX
VIP8A3TqjPJfnkRi70Be7c5AcilgUImfI5Xk5zYOhnliGfvMM9QkSL2bEbncX7KFuGBtCt4j99qB
HQVBKAZm4T1ok2B0Dc4XNkKb9OMVmlqWpGyIKv5AAjzKO6RF7rTPK2iv/BzcDEWRQQVrceGM2fjw
qhEHekTNM3YYvIcJHI63H0IUeJTKHVMW9fqKTCCV7gun6J9rpdhZlFk53w8kJn0SMvdOc6RgE8UV
9ED8nSm/J6i7ciEWhf70ugjP//Da63ZGi59QoYUKc3Q0/R682CVgoMV11VkbZTT3X4u7rU3G3LYt
UcJSFwfHc4v9m5aq3Rtxf65aLqwbmHQvWMGSJ8QgjO6GWRLJrpNgH0bpmbq3pZyq6s6NwducIdmk
7ToC32HzCcfqFr0levBONXx0161Uihe3QZZvV5H58ubSFfMT1yVgQkAZ4VuA4eFW5RWt0W1Szbw6
os6qglyEyDjpYSW8fG+bOu7Y5kbCqCV0EoHm7yxXcpmuQFyhdi0ADCyHBYcdEchzTwmbv0ddyjdi
AlkSx+yTx7ZBNOIl52Q3EUoe50HFuNBZ+KJaj8tYZKnvvHGxhws6IjTtO9FW5X3MakFr0kbgnmT9
M5TOsN/kfl645zTGkukizbts3mk8MvQtI+0dBVynamtHvf5cEWZ0u0yD3Z16JHfVnwBusuFEulHz
Ta+JmUNeVfOcA2JvX7jaBHuHTfKnBWQUapzg5I7EtN9rqXIQLONwkTRVGewCAsKN2BKvCLpRlzZP
ac3ZvnZbXpMVHXFy5red039tmJD1OSY43g1lZmwc5AiJDssMw5FFRvUXDuCicEuUwTiz0nqzzda7
L/+SyZw8WJpt+vmajCSejwP+m01DLWc+K5TLr1qITcUZobIwM/iiXKGlTMLD2oEYuFp0VN+XM/ir
OBpOfgON7rSqkIdT2c6wHgVAhu6qDRefOCwCL/Y5iKD5ItNK5FsAf03+wE6ErhXiAZJWo2KYN1VO
ctUmUXPcswro/r7Oeqf46HQ0OrBysAPTj2L0rIRfBthun0dWlZ1bqVCf8sy25i2K67A6KyBQfliQ
W69HSbu82BfrxCAt3LH0bpeqXoPrJoQ6aFJt7fDKd3J/IS+qVMMeszhPTcX0/0GsQDbZxMNQ753F
W+Rurt1YHhEyMPorf8E8oDEyDSTyDmH/p8JZ8FC+kgRY6YySIGuGWxLmHCZYVyQk0IMwUHD+noHS
qNjZVNUcPdIZo1escOr4VwQzxvNdT4Y6UJmMEb0XoC76AwcHvVwW3lh1lxGhhN6tu9AAOkuXLuF7
ASjMrippmX4XGECX7nkzjVd1nXL9MiGscsjjKt8RMGOf6d7nvddhGKGlSPPo6nVX+p9Kym8qKQ7l
zDf7938Yw/9f/fLp5eec1+9/5EcZJfb/MM5tB5gn7iSKBBQx/84miv/w8UfirzUFA/7KOeCHFNJD
CglcFrY/tQ0eWcKJ8u8yiv0HISMedm7q/MjC/l0Z5X1PxDRs0UI6nOpgT2Cb/vmoUTrC9QfPt06k
dPsUA0u9nqbEHx7e3JP/oT7y7tzFIQZhHrJN9HkIOP/hwlzhSmlmLovUTh+xV9fonTfZ8U2jZqAU
v/4sbujbM6r5LPBOhjrtJWgRX4mnb854PIsS/5aXnrTTJTd2KA39xfHO/dWmS43a43eka+89Dvj1
jEY5KrCRPDq4Et8di5dqCHqyP9NToWXKwtp342VHVx45tNV0KNrR0D9RSvPcAwRC8sMDXH76GHYK
kEYfZPD55hnV1bQAKxRlgS2xWygV6USCUlkKedknQ3IE550cXwUhDV1SYmwWw6Vxmg81ztIjZr3x
0SFb9zyZpThYTBLXqYbWA34nIKUSjcCR7XhzhkRL73tk+x9gH61fE6QATzl91qdIZFf2pAvcKjU7
MFHbp9X1qiu0amG8zenif3AHMCurt3Y36D7KR9cuQGyyszsEfd4aZ9bMqbJVJ7sjHbxfe/cYzyj9
Za/V3skXYgJHb7iInLG7liJWCJgq78WuM+tUh6rfrdJSp54qNFKtJUnDbWwwi0PcNJfh2iwfkm7N
iZ7rFbt/GfsHm1Pvc1HhUQCb+h3aGH1HOCJzM0DHvBXlIXoN+lavod+IzgkAt00W+CQj8VyafHCg
Le5dktmEhit7SL6U8SBKNqKSrXXjaiLG4QItBwmGjh5WTAZ5ldMQBzLi1zf2a0g56bTM4RNZgtpk
mMcmzbxKC6CKJuEcjhph535B7nnhOXfo4+1turBxyU06OvJO+dxE3XzoFnukk2xi1JcubL5IU+4n
b/mzlqXYZdh9LzIkcKgi1iBnF8LNydu0vupNVjtFBeuDx8b40n6Nch8WpzoL29km4L0oU/AwnXXv
h+S/pxQxT7PJhPd0UWEMzKYv2RCOn6rX8Pj1NUjeGsmU5xYMuzwNP/fwf5Wj5HVbU+RbovoLyE21
Mc7qlBA+1rzsMRmsgkFKgr1lsuxXq1m2JP6REAnHe5ukmFQiMV6U4AvIhhkzTd8hLl8wxJMybEVI
Z4Fc5V2o90sU9nepqt3LkF0vBGTlbGh++gxt3h4AwPOVV/kuskfAbg29/UBa41XltuuncUFGwZMN
PgHUq244S7i7ah3Huz4YrW07xnd9nxR7YHYfrUl612g24Tnrdbi2qPDsMbuo+7ZNwA45yXxAEPIB
KdifSLY691RUMfw8eplzrj+3YQHMO6Uew7F8qmi6bnQs6BOtQwl1MWuqYM+2CWCdrsEQXsaq1ssZ
2QmZ5jya9fhi0aZk61M1KMKX2XdPg6LfYnX9DlTvUD74soyRHpjYr3hWD5EmIShxhijD7JgjL7LS
qkAGxvF5k4xx2x4Rp4QRKgg/iw8Igd3gDI3LYO8w8ur4MJTsWn0aS2N4yCq1ZndzFfCTACxnwIu9
nEg7aGSrbjOQr7G3EWE/5BcJhhPCpYZUBc+uyMFcbew2tfI9O/nEfSonReZnv1DH+hIZIdomH/PR
Oq+QHkzyvgIc1PRHDLjVM7Sl6j6ZwcrhZGMa7poIaps91k9Rqi25TT031biXQlBRywzPiHxvBSbP
0KADzrznyk17VMtLcKLqBElpqXShd41xxLls58FKI0GnJkIk873Wk/oMMJD6deu04uBXaN1Myw8j
MuX6XTXV/pmAvHReLOiAxmYygeUmxw0FI43D3jdGt2iOnIODY36HybndBwIXUDvYUKAsnTc8gTT5
a5H8v57iyz0AJTpq+JQMKI4I0w+L54uvfujH6DVSwz4ydjuhk2bdTWFW53upVXfGuS25qYMifKnh
WeQbr54dCl9R88HkVNHQiBuuzQqxT3EzRlhOsayfPBs1FLTFEDrc2nT3WZOz4UYYjKts6cgT5L2t
d//ZBf6fMiptQ//43xvs7AKH6uVti51WLn/i716am/yREPVBomREDhkglb83gQDX/wCeQAueqjqt
mDd2GEw08FL5cWr9ZMk5xmbwYw8Y8K8CwDomJImGEy37f9NKe03E+e+qvrkcSuIB0ScObTuWL7Oj
ertjimbdoOLxv+bw2spvrCUpOkalXKsfd+NYuvqphPU3Hgbt1TgbB7JuP5PtJdpLpwPf6x6EZXha
VR9brJWIaI2+Kq6rfHmUdmOVTMi+CNdwU6RLhjp49qjFkspRT3qldlRCcLuhxSKwmmU2HsVHFDQc
A2sWZ1z1PiZ/MpPXCXTK0RsIFmF1ZClN5LZWixWnh3YuB1EQRp6TBf8bXct7kAkWj8QzjUb+Sx/e
fX93uiGk5juswVeBLh29d5NFOaxB1jC2RpA5Ez5ycYq2+YY0qtAPZL6g7dy6zJR8n5bq1vL4Zmz9
D7vp197c2wcG7ZVopojOAU4mGqnvHlhUukuDzyb74iArrq4EVtjqfPXNmfiYW2GhaKdHVLxgUOci
njZVuYiKsrEtuuoFOawGxBtNGFnPWcwH6InkHKzTbq0XHsV+hPbAjlCGqbXsEZz24fVKcDg/Bp2W
ne7GzvAxJr/Ztv98EvGp8ZgxSHYi4pEEIb/78yAEa0aVD+/wV1tZOrwP2sLq7po67dbbX9890+N5
c/P4IIxfRh8VUJzhbGZ6XG9Gu2aOhYK5pF9MF8bx9qJOKx/Coc0bTqWl9G/U0AW4Gum91ta4hWsX
zXestO3vglt+PhWZr+yRqWaEYrHp9rwXbDlepqmOl+GXeYhleB0IXdKkkTRUIu+c/Ri89397k+ma
4cwLOHPaKOHMFPX2u1sOock4Or3P9dTLTu96Td+t2szxmiIF/vV9/vkcZr4dExcqAI6XpLkx/f38
WS580EoUgftlcbKh8L9S+kb6fZaKiXGHDcjc4lqHRprz6w/+x0gyBKXQ/IccLRPU8vMHe7IeJJk4
w+fFBuhLLEBkqi+paxXc3V9/1LuTn/mSWBKBsxE3xIhK3hN9yq5zKkX59suApryJTnSa2scazXVP
3HeUpZm4WZI1tZvLrpBtaO+DOa/Wp3KIhPBw2TAhphu7TJvkQ1kidcC4MLdufUnAu4z1aVK+j4zv
1xf9jwdj4uYSdBg8HfufJDgnoYK+YJf63OpRchXSSqry24zKIPjYdU3YeTvSJbvxd9Fy71I4uVkB
DAykapDLyOJw3k9bqQWGWsjA+kQ/x4EukUQBeU1bDHQ5fWHHq+mMnXhNquhFkxKycIKUkrbatrEW
d36ANayoI4OzWcdPWQu9/OC1oUtcCN6f4XdqUd4LxsnbiYILxHdnXpMkJkH5/bMNMjTazSS7T3lc
AEjblLEe19shXCSDatXs4+djMlAjvLa8tOBtGpAIsxi0hKgwWSaVn+nPDMCm/BYOSCbN8ocgG/eX
Qwf52/cJ2E8Fs0uwTFn4ccAHlIJeaaKKkToDouDptHIMWYZbcFo8kRzJFlO0NeQo43Yu3bL4A+3I
cXkmbIItxAZ+acq9cJF0M8nbK6Cj8uD6SNDVBilxYUogfklcikKf5my8MR3WW17/JPhIGDxDU64A
etTGEWXSTrCdJ+cjuDBRtvsJpff6tI5eND/Msg/nu6Hkn6hN3pbMILSiw45n5gJP5aPxhcNFQIYg
LF70NOZ3ILmzyzLPDjpvwzbYDKp0+ckQoRw/UoTR0EDbJVhq/DCqqGEx0/1SMgUPEo+C3pdZwkdb
hUr4ceoP5tMQnonw2ksqujJ9XATzKQVRU1zV+DH0UTnD0l7k5BRO59MyLYylJQabq03ahqMvYnTi
LJZ2Opo1s48BjMgToPBxcLed34qqOv34AkE55nzVNrKTsNzZBFVyQwO7ZfgNS2YmsbqJbKvZU8AO
+Z8iEvRNoTVXMHh+/I5e9DgQvQIWP6Vyl7zZZePla8A9mLxC89GLyJkcNdKm8Dr7fld9wCvcuSAW
Ez+g1JhX520tJ9IXnDwxn+hZEbs2LXD25huhIzgTOyZ6M1y6ZGTV8miKM2jKNCybu3YMuig6lB5l
LkAf4J95p+Y2gQmC6UPWPDNvsfmF0GWcNDrQIAPleG4hhNCfe9oB3MNugd1T080E05fexzWsxHK3
RlNcq7OUigPi4myFgx7vSirs/DsdslvkS5QJvrmrHo9sm+07S5rnHrkzs8AeIxG1wH0Hro0rkTjD
+DtOoYQOnSfD7PNbYK7TxiYSBvN4yZPHysY+jGBfLknz7fmHasLzUe78JKeuug0JV9CfNaw5Roq3
hiFVDyqUXF4JUsPs29IZo9r1AM4u+FhMPn+zTTwdcVmln5h73M8Nd3BaFJ1uRM0gwzkKsgX0TyWG
au5PZodmiJqt9fwg4pa/9k5c8wJH5cjcwNZxZZfhq4L3nLbMaiYP0zt7KXtPmlfap9hHViKKOp5E
MLBvhOEiHG9+iKgwcBfgJAhQt+jVwS1cgUqn/LnvpZGUb6krTWZUewVqFrybyeoEpyUmsFzuSvuB
HKkimXcOsjwzM+V1jhQhtCmYVEkm0HpVOvNJlcyNqyXDarjeBlovDP94oGrt75OGskXLRgECJOEM
wVzJTc6RvbcJfiu94qZz8gK4Bnt184TB6mjbObi8y6hDySuBfE2Lrh870OA1gGp1UXGy5RpBAfJs
emL4uuClHRwAblQ0SyJM7mGypX573Q1dssTUiApf1XsmYqabPViLUvfEMU9kXG8m9u3LvEldHE6n
1EOPlGUblLR+FX5ekZT4uZlsNd85KdEKc36W+ZLn2WXV5ZMTIYulrsrgKUozpUSjwp1wqDSZ6+h8
idRjDJFv01fZRbd2K/+ud7GC0s0NPKbKoSeHBzcz3Gw8wIttOVN/DVrJZcot237iKRHWjqF53+lG
8buS3jazICChhJELIzod54M9CsVPcoTp+XejTM28VNmzKXeOpdkRYrXLmJ6EvxDNcDHmFrPDzF3k
XaDDOjCg5l56ujvj6fc6uIjpjvqnuB4wi13kizXx0b4DAIiqMMUn1nr8O6zyDbgT3rzYr80iO45T
z3BcgNh0iEvQ5jA/6Di3/JvF1lKAE9ENJkZBS5avFHeyk5u1AYmN3IdChf7cxOSzXP04hzDrm5uj
ut7rkmNFtZfguSwvyV85m0qSjbAHEae9I7KlTfc+KeL9fdovfPmiY/HXe0j7EVcclYpQo0PX5BEv
donCmMEDDt/cwR/DuinAZDPJ+J3HwF2LxWycw84y0/1gxSxa+JZs7rEXyUSC/Md2bvN+WlnBm+uD
t4qcjcJEKK7dgml3NyQVDjS4co4O/7JaVct7u1nqh8TFD8MYwmNFxksr5gqF2DyJz+ise+tCYqv1
r1Ku1NuirSj6vyi7Qh4i5qCrv/hEb8q7hrKufFEoEdTNmlg1RS6rhpYnkOsJ2PdkWJl0bgR4w3RQ
Kojna9mjQu82YWM3zqVXs6zu03icHVQwkn7DBoNhvwInb2dJvzNbqtls6VepNI4TvHhusgEvqsdn
9LqTfx/Wo/aJa6VfuCCPqEnJ7DaYK3OHYCWdZuPZmLOS1dsIQ8e6kuqB91MeUnelKkbFLZ02GJSv
lG074gA4PaOdwQZtfchKinAsfOEYnQ+U3+KN54+us9WI3Doo99k4JAaRFxFnDsWBvMigzk6R6407
kmDUepEmrW0fHeXk7iEViwMJDHnVWmzz1AusW0HfyH8kgASM/NEWkRb9PunsZXkw0rjxysLPZt35
lj+sT2PLqN5gmQzl4xqBxiUibAzpsR5j5K4r8Jk5EuEOrXuNpqwYkWmsnR83QImqznPzbSTXoY8/
OU0Zt19yXATzsqvCUff0SwIPDd4UiS4CzzUEIxkNadsH8W6q7KAOj2ljVeF14tDFro5zKNjW5l/z
uIX252y7uJrcbucEo14JIfNoe2fX0uXLlLc/dt82iSmhc6eypsOar0iAYlkSjUeywSOpvEL4O5Eq
mRJFAsaEPYqeo4DdWGorXhi5aLPXbC1JvfcovWU2y0rCRMLL3cdm+yhZwHkdcj80M1yDBJyppMAA
7qQHosRJFDBfTKj4YsUXzpY0yPuZpYeeQ8kqA5GPeKQjwEF+52EKOrP7Q1ZoTg5RCU2WUgz2CHpS
U98U4cegHUBrHx1hRVVyzKyRWoNARMI0GQwDO/sYEYpwj74bsAvGFmp20QmCAuayMkYsrOgxqJT8
eq8ZwJzNDslG3inxoT/IU0tfkzmlmRqbL8q+BI3TNggaaSbEpnZZoxU9ULYmCoYTN0i05HXWW6CE
C1cqEWzx2ROBIN16P/sBFM1tlyYLv4xI4pR3aQg6yfUPSWnmycqPan7ELZ2EK2oRCTjyJSF0mh9J
UsgFT+44yfCTUn0Lgd5F6XqJHHpmWRyFMHupVkRmy5Ino7lHY9eGo/NtsgZdJTsFL2UCZQoi0XZo
l6QL9zaxZcDtZw7XZov0Wu4JcW+wSv1YwYA4cB8r7KPMaGGC0LndOF5qcSMhUJVJd9QFjuJv9WRx
Y5lmSnMF02DlDJ+/7wSxTvDwJ4E0gfpQm/MbO5oFDfEyTqvjesOGyAzFAtguZ5ZmSYOPtXSoPX1/
jCyYjvPE8W8aH+I+XfjGHkgxntEE7M2hd4RnROW3KwTpNHmeSQIoq1MuwqxRZ1DEw/kB64nZxTqr
MMUnKXES5mf48s2mwh7pVELMdbU5yMdhz2BpqNc5y7ZQ0AjHHVJvdimZm5rd/NwJBIwnW2T/xd55
LceNZdv2V84PoALenEekT2bSiF4vCIqS4DY8sGG+/o5NVdUpsvqyut87oiM6VBKZmUiYZeYcs5P+
9dInZpWe3MjTeT/zYqvrwEKPzEeVKNjkHV5sdYk0RaMGXmXW8A8iaatCzRC0xmnDmg4ZUzSkrDUb
04NNpwzY6umaSBnz0BwIDuFPllVTBSIHVPVm76rzMRIZgV0rnSOQ/YwWr+QP/Hf1r6lK2uV6FMht
wKQnvC9zhahXlYYM8UneWhtWrd7tr8sj79l+3eFlJQNnB/DW6ouTNVky/ir9MWZ1jDcLkBirDM4F
EtpmaoJsa7e2OndFaQbluRiNWPbrWHQ+2j9+QWFR1I4VRt0VpvqC1yqXlo+g15LdMMm/qrQOZEXL
F3tB2r7IFthrEYKtrXtuLvNoWyd7NAi1C0nS4zwrdFM1gVnt0LFBFlRfSGcHlJc0nnzP/ews84U1
mvRPyB/mCV6bicbuRSYGzukV4Suq8sHkLqk1usrHjb1LJzQvM7yXt47YX8gdktuJvFS6rzJuLP4U
07OgsSHDfnq15NAs18iHdETnCZBify2TNu60PdRra7hzFwFDYKWNBsefHZNqujFMqCqsnQzV5HsB
CtUeP1bF+RF1Ucy31hcMdIH8+RpyyhSaDrslL3Aq9ngUIdwDCFOl5z000OVG8B+y4HRy0Ynzi9po
UbfKmnuyu689Z2KhV3oTp/4e8Qg7xTn3qaN+XXqlFKq0EloRlEh0sbp3zbqXslMnRjmq+RGCsTdl
Hf6OsbzS7QnnGgdkUR23E2g9B3I0CNTI93TLcX12WddSvM5jFu+ipJyGG5cIw+4APZKkdZ9lOq6F
ASQC9QHcScmtE/5oxa8JbAIrg13WlKoSNUuTuzgOtLeuccoR/yWHBvIoNykK/gFQB5MrU2yCWKou
8FdjIaJFvelqmUZSmrnKZvZVvb/Q8drSzzjRaZLY6K/GpCz5SlNjUG8dMSZPwg0+sqjvN+QN2fnZ
qxmO8A+XmTMKlrG6YfV8jRp+m7wjrCvEedstbAYSq8xfrGpSHfr8684RoDHkGMLHUmfl57O1fzEz
QrIDqkyZgRzj44DVh7oxIskbv01Rr/pMXOmo4NeaTSp2EHZDy+f9h5f8OO5kTOXTnmL/tRVy7eOc
da7L0td7lveOO6rtza9TQ5CvxqPr80/395dSWiWFFWNhpJQ87yerJkwdCGZW9Q26o7o/Va5tSYpC
btbcuz5/rbdp4PvxG4Ihw8IliKT771spUu7QySMP+TZZxUAjMyQFWLmV09sJlyF6PINn4eJW3DSG
0nYQLA5SNL5YQU+l72YKoTYbAS2vuvf8ujP/vvso21i1CKXndDwT0BqM/Onzt/+3Q2UxFqawNRBw
Gcir1N//ZcswtVHRx6PnvMA3mXgfPKBUW8jDlRbq85f62zlnMRgOWAWxCcI2/XHeTRlFHg8F1EuQ
+NYw76PZz8YHY/HUJeJG8fiPp9zHFQoaJwOHFbZApqbm3+RcbdNZfsz8/gUbq7pHIdBmijik3Nm/
xCYBI/M6Cqj3KSZm/vxDgKtrr7jbEZz3+Wf/eJjZmjp4k9VWlcsNv/37wzyW/QQIKra+MpOgdZyT
hCmVj96HO+Dnr/TxKJNfqvNpcZfxagzHPuzccgpD8rMz4+uAgTc/97VQD6g0o1PbI+VVVePnL/je
y8bSBIceY2eWvGAPKZo+nEF95i/cTOYW5Tt7IqQCwFS4zXFTnPleo7YRE1qLNJ6TYOXlTsKT8fM3
8IZp++sVSKkFL0aH4+2BL3Qs8/3BpUtMhFF75dcm0ee43LDLWvINU48kyHa/yhbZJqo0dm1b3b9/
H4prhKHQXhRuj8rjMP46OAUiNI4Ro/+Zq7jC+k23sAigvBZ1BImZ3drHwYImjPyrnru1NzrqYQmv
pQKnkUTwL5BGcHeiFuk9gnxfDRQoY0r5xohu41PMm/0hZbWMn6jKNVVbdchouFlorUlU9kqJtvnO
0FFQ23gYe/j1NUQC3pb3a0DfUdpz1yQQQhVNmd+/VXwm5KV6FWVFxp1EB+jL8Qdw1zKZNOUExuki
KXPGsp8f/r+dcNDzkIvio8dR+PdTe6CzSDR9mZ+rpIGztI/rXrVA5OqpCuD3kfXnL6mulndfOLfa
4G1Hg7sQY/+Hc5xFGXiYzh+fgxg5q7UhPczNz6Qdmbl2qXc670DRsgeaqAmYLl8EyQTq3Xz+Nj5+
cowuts6dU+k4ueY+WlNLtylHvsvkOa8Yfx6J7eqLezMfzfZkdv0/xAZ9vIMgSsVhx6TIxZuM3fnD
Se5iSifTu+u+ygb7yYOTeeq0gIGvKqvPP5f54ZLmt2M/tMEseGzeQBt8WL/GCLWFKKV5DyUMelPE
+LKPtwTNpHS6Kc4MrgUW3gX/5zGw4bycHFihlMJO64c1Y11GMLQ8an9fj5agDjUWWxXqaUyHknjc
BF4JWEjUWGvS1BjA710oCpBOXTUmRo3Fv5bEsvDhtNzhWRTHmtoUGbJQ92saghzqjaZxHxVbyO2x
/UtI/jr9b/yj+hfihQ/Hm2MQcF/RuU5tDxvmx2PgIIgPCneY7sENqSczTCB1yWljRef8+fG2PpzP
6jvl5gXvBd0xc/2P5/NY4SasDTu68+3q7bUGh9Gpog+oRxO3em5Bv3bvApEOR6GcSjUl/f1PrSSn
mdiUUefgOran5pn0gjV3OhNBPhMFLc8GbTl1XKoE4qZ1kY+72RpomDY5djeaxoWbmtz+vvhjW6SW
SBph31w7i68v/J2sCvWFL07Gq2hv23E8KeqFYUmrGa/mJOqbBDEY88MeAQx87+S9qsHy7ys0rkjO
XShOqnmOIqYcZEMYxcgI5PND6r//+pS/nU2+TlpYAN1HMQDePxMaPgEq2Dp6FdLynrKWcIatyXp0
7+Z+bTPjT/ptbE/BxeynIlrXdlTuCzMXDzJOEY6q3DuWprEVBkgSuxCCUXMf0b92AOo7mawSX6Kz
DLKbglXbq6ztjsyOFpbRil2OeyUdiKuJnnZnnkjJQreeyHytdZn1uLBHlseoHTMnrJFZ2mumhvmD
tmg9zYFAmrjCf3Ft81TKt7bQrLM3t3Ld13OzYScuHhJ2+EchTLYEmcK18RAZWeH1hviKasK5IJ0F
TfawNDpevbr17kyezy812DWCiFs3YYQRw0gzs7KE5mUND6llkcHo6xoxjRpzu2cM8eAutbq9de2u
oyyKhn02DdmWNcFcI05luYznLYAOP9iFPMIY3/RjIBnYJFn2OMAyZmoeDYRjj211t2RITyk/NQj5
yPdXkFxu7H7Wv5lz330lhgB+yeDA2pzc4iL3MMzY6Zz+U6zNu2cGJwRrZW5moB3Y6VMofDghyArP
PSTs5Xe+L+iloAvzjSuqHl5Kq7v3/3D6/YsX8xDKqcc8NdzHigSaHKVdG5TfiWUr0AhN+h3aThN7
U5GfpW0N9H9xVdywIkQ3+flr/+3Mf/uYaHVY2XAT/6gDG5wuqFDJF9+bUjmbiDcioqSwDIRvn7/Q
22/6v8fw2yG1TRPhgfJ/kxb14ZBiwMtNiVbmuzFWXDOWyeMirGh4UkTuwvtSmkWkIo40hOzCCeq1
JetU7OC1uASv9ci+EOu5V63bBsdSa7x7nrdkaTBX7B+KguIFW15Rh2Zv2DekgpU/CZf0TyXj2Rtp
zuZjkNGnhkZlQB6F1HdlEfOThJpXuExvcnZxBtk4e70N5u9ZFfesEoZ2a8SO/qJPvYWpObD+oRb6
IMLjkKgygDKI40KcmPmxJDA0r5tsRPXf7UEd/CS1kh2R0GI/LROEzUA84x6b1oMZs/RogJnt0fji
evj8m3HUkX/3zXhKrKn0ICSF8Bj/UCAZJMezPki87/HA4oBxWpuHk4+PZ92xJenXEr/c3iv6aQgB
YxRse6piXzG3OsvalUR7erF2tRixvbeWmcFZi3y4SJmnr9pcO6dz6Z1ma95hbLTumIGKq0rjSwtd
FmPzaukn1i4ZhuaVVwfeF8pGIk5HO/05u1l6aXl1uiOVxdmn5IdfFU5Pkn0VdcO3WSTDPaFz+Y1W
Yl4I3ckYt5bZo622yIC4G0WQkO7U6HyAZDKglfQxKwAvazIWITwTb21gJKc0me1Hg6l2FLJ0cKZ/
OO3Vsft4bEGn0O67dLPeR3YHsais10D+f2/A6V1qjZU94JKbUWo3pX5pjEox/vnX+YEhw1nl0Wah
ukWPZCHB+8grN8BHtwWPzh/k2thHxmaYkaJh1i4YVGZbFhE9d3onbr/XRAE+pPHUn1JMiDeaDKzt
5+/lDTr//uNTanL7NH2TVEfjoxiwHQun8+Oy/AE5kgASNyJZuGqXRK4bQA9ho5s5E45CUTcBZpNh
myWus0+Qw66ZkwTBioVnkazbCgdA2gupRr+M0EutS865m3b7xrKmS3dIyGWB62SHhNGYY9iRffRG
nCpAgxtwQ9CaO/VO47Bss7zXzvieFJJq9DRc+SR6zUQElevMSettPPL0XlUGFpKCNS8VpUUKJVZ8
USIpGTN2uCw9HxxJa0ot0t325lQekkJAE2g95DKciayLVi5Tv2srSEtWrijqSFie2Cv1rhDxqkP7
cB7roCO/I61ddLW+WRkHFX3U7nRInY99W6VPeG76n3ZK1CCo6QwN/+ffzt/vP5wpAaI5pGskF/xt
rmeZbELzacx/wCPSCZAZg+wbKo+ZrSFfGT2V933phgi7jfZtltlYoh6V9T9Z2/7VCUtsKmUzIKUA
U+GHcQdKqa7oFk/8iHCADeu3LwRMSiJOqXB7IuXw/jZtOWxnF4N/DfbiOfGhAnCekN3zD8fkX1yw
vo3bDbWlqRhxJhf0X0ZcSzGMspry7Efs6e5t4xrdF1No2lrRgi54Lg6Xg2j6Y22XxUFMlnHuS48H
2RvFVdGHECSXozwBEbV+opxvIFg3aX77D+/yfQ+grnGMeRbWPBPNNE3lh0Mmi2gugsYefjD1buJ7
KgunWzFJnMOh0+E1gVZnp9Qt5Gz7rVP9TBbdI74pMutxZ3lV9+AEIj7p3pjfm7BN2JDwFNgCfhMc
7jiDBtOw7v11vv3XbXs316Qpv3wv0hL0CE3Ka//ONREojtcnPos25YJ6b7R4+5E/jBYKZQiazKJL
oVh4M3/+AS2DZ0bphi4Yt6tKZ+Z0/cNtq7CF/NQvLJnKcP7TaWHhtDABI/LrlGiWGMr/IHeEIvXd
M87RmdLyvojHYDbM2/tYQxaN13VT7o4nI63R49Cej+yAkX3A6dYhF0jfLCinyEUcdrlJgIb+2FOJ
GnSTddHdmYXdL22oRvPmRnAO1mOGRalsav82RY+ChW81ZCWLk1U9Tna5ta0RgA92tpkMrHFkPUK/
ZoLZawcGN7IDYD2UBMSVYgb4LWVKSxb4dQluOpuOPFCkfshSdz7PRKXdISmtKSjdJ6jocjdW0otX
+hSsAyerT5nafxd0M+SgO7l5l7gppqUUYrFicChgBTeiYDMybBgxUy2YY10BRH/JCWTUa5N7Nv2P
PKe6gpWaiapOaMDx9wcAa8WunKTYoWUQ/hpAVHpwi7jxLgNWgKgsZx3joaaBn3Lrud/1bS4H2mwG
KElhE01PV7jNltZjpYecB+KOrRL3CEmQwJ2j8hnhF3oLFwnNjs6lXyddx4Msrmci35GpLUwoSabM
nEY+9a09P0RLxYq1jZt6OrDymRhjtA4f1IZ2ZD6x7G1Oo2OIXWe67cY2crkhaKwxWOu3pxHNeL3m
eTNuQMaAJkvz0TkQ6eE9BBk4AOoyKD0MliH2JJ2i90hO9bXGaF+/aaD7mG+cH0shf9w3+o/Mei9M
35hAzhsfyHcVKwjwEp0wxKB9o1BCOG+gCpkKMDQq1BAJlFCHZrOHQNTGikakFi4/yVvQXxbHwKzm
cDVulYl1o8MdeykU8Q+oTQHiCMzsLenhyQWaGPGErNcNI515xapGlrkXEmzD2my9q6KYwScpkBLQ
MgI2aybKnDTGBGuJGrPZzjKe4D20wdXkAGVqFJ5pUKAmMjYmD6If+CaSLsFmO8mA6RTszaGPMvPQ
K+QT09PoK1cDHKgSPcY3dOvQoeaul/ku7hvzjrTU4TC2hbc1BS1VGJRRd+vb8lVXwCmp0FPRG4WK
KyA9UGtYxWp+41TFCllVuIwEcoWxUubtHWphNwodnqXG2lHIqw4forXu4GA5iOguGyY630RfRGvw
NfMDgafFPnpjaGmaDk+rVmgtqSBbczWVl42TZVig3yhciGCjlaPQXERcV/du3PQowwKiOoI0fuwx
+E7M8iLxJVeIL5R99U4Cf+4rn/PQi2xsknau3yDUAW+FHCrYVqVNfQe224guakIWkB329VVbRMG2
c3XxA37FfMBXXq2Iz8pCCXU+LKP+NUNvCeZnHFeOD+UnE9SWlW2+sLV9dETrrAgmpdUKpOm1+bqh
Po4F6J4mqQf3eoTOAS0mzB0I1u1/n4o//i33Ifjdz5+KOQrZl+79k1T9zB8QiuA3QAguA/UAVLB6
+P3hPwSk/hvNRuC68PDeKJ+MPf54LLq/ofxij21DHMQM9VfQr6XgvzBBfQV14HH2Hz0XMT29fy4y
5ud/jBM9cskd3ilv4q+lJHJKk9N6sA+O8P0VzjRUj2Uvd0uUTEdgMSBotAoZTTWO83en6ryTk9sN
jxTDGL9U1aBTzNXaC3gv/Zzj50C/E1l3Lni7mCeCW67jzvYuEyG7L3Mm0ztkZGKXIy46FGw6vlZ1
5OM29LIjmudNP3fNNxZH2R5zIaB3BvNTy+6+Xl71mvjfNIpdFnBTbt6y+8qPQSnKi8izxG6w4K5P
fXmuHBMhOZyWtZYB+zZkB0ApLQCRFZprrU0t9o5FM9QijMR0VdW+gKvjB6e5iyXxHu5k3iAsCi4R
gOtnY071M2MBUo9lZTVb+hOxQ+8VPxmgsi6h51wbkzucyTq/W3QgWIaLRrNs7EADlVBbP2miFU1v
Bqdg4C5atSxUrgNkmTjLPVSxtjN1YatSLRyh199HntFbq7UwRKRwtAgoz+8bO4OfNAk729XFlO2D
ru/Xoz0Wa92bDWak5vBY+Wl01Q/JeNOTNfCKzmx+KtvBuolzrEzWnLWXrpVNN1iE0hULgnTbRMRI
6pPbfCusYVpjCvC2tRRy5xk5HyMmJNDOS7EndVHBJO3huxZYYdo6eBSC+sIsY9CANLlDio421ysy
S5zoTMJ6AVtQO4jcy9dxU4FGwK+ya4jF+hkHWRV2WZ9e9K497lw9iA6kyhbX7MsXnm5alh9ZsEba
xmK8elEjHn+I5zR49hq32FAL1ceodkdgzmNzF0R2el4Yu57HDuhzCE8gfYx6uztlQPFv7cqudwUz
jyAcUbjunUl4WDKFZd0ss5eeY+jOW1SUEIsAJjDXIyCbB1lPBFDaWfLkIoe5DlrOFaZsbrTKFlu8
DtNUX0auK/bzNFgXLovoXVG76fPge+kTcRUGMrvauSnQPe8nEF+XKKCsC3N0qn07VPEVYRXdXbZY
wWoqOnEotOFQl9EY8Wx0fPi1tflcspA+N7ENcol1xz7LhF1Abe4E06bEuRL1eGEmo83pSKq4pvcb
pgogyAeftKF5yo2NWUfeS2ONP5xmKg4xea9hgXj8UCHs3zKnJzDNK80Hy85f59Gq45UW2+az55d3
lbQQ1nf1vFv0Ur+pCANDWg988eho6DkoBn39MpHMpFej5jYv4KKyay/OG7TOlhW8QvROdqXkh+Il
FfeQNMkusbDd6KyJL7KYL3G0LMrHQYC0s0Vx61ld/412W7akUxt3yDEPPMHcYzU2O6Q1CPRcj6DR
VGT5DXta8cWJxN6dx/7oRkt5sPOiWnf1QCwbN0s4w0F68OCjbWfSN9c0vBPYpin7UncYrJepgfGY
M1ZbkpmI49rJn9BaT/ce09ebmsDhFV8og5E2yc01LXV9rbUA/Ilvv2haRFIrkqKcPit2UTfqZ3RB
xJyIGxlF8klT2+HctYybTI+tfYkjhTDjkR6XaJf21SIsKQT8sR71ydtVxgh2ThiDRvFl+U+9h/Mh
rPVFpOHozRUCwDm+Wroq32lTD2oPbjqcUTm5MATZ1YVxNG8GYqZpIaqBcLEgkPfEesIQEjkTaUFt
zG2OqWgY1K1+QfVbn+cy0jeGoT1lZs4+M46phlIRwHFwsZME+CNXQksfgWzoB8G6eUNd2YTkj1Xf
hJugD6+S4MYpfPfQdc5UhAsitJu01/K155UrhHjdi0va+S6j1bvWO7fAvFtY+qX0K33lR8WCrNkX
7ga5Y/AQ8NS4XOwkeQQkk56KRX5lte7ueSIuqznr5GUX2+Q+Mcc6dZlbrvpZC07FYLfXfRY15wyx
9YMWpeKS3qDeAKokKymo4vUCbnjjdI31yPrI3LuE9W7ayK+2yZSZPxYvHs4jQ/sX22rUw4W4qSdG
Yuk9UnkpQqAi2BqzIN4NuIQQ5MfQ2YwouTYM5p8jzXAo42a61QcOfZk4y3qe+3rTTaZ/4QMqytgA
VMkVPuaRE42CPNBQrvDNDgi2Y2vYlenUK6NIfS+GaJfi89ug6V+uc9Cam1piAQrnXl8ylKBQcZ14
2rpNJS8NGZvHgGXP17Ex8/WIyxNrDY/blEv8gmC+eo92DJsC8XXBc+666booR/1JRGCRuDNh/O3N
9Wy6zvUyZNprjV30WPe+tsVM1V3hnxcHx9aiLSCd7kbMo3+PcCnaGnqj3yYy1Xk5L9JW86y5W4uG
4bKdm29lt8yv+jJw+2dlsWBDmmwiZqzRWC9MfEOz0y6cUjcZvRPZA/sbhS5mBWVrBIBf5Kl+o7oH
nv1ZFt8NDoUIqXyNIOfbCvqbJm7Evkq4pMOp9nLGQl3LaA8mdvMzaOv8IEUCYHoatVNqFhsSpotr
Eufzfe8Mz07rQDGqOiIDwMIN3/Lefcb496JHw09cDc9+NX0pjQWIyDKy+7Ma0gRLb95gLrkzm7g+
ghb27mSdmw85A8VXFSv4iIL02SfkTuNUT7Hv5sca8aU+HOuma2S/o6NuFvdMqVXGbggDlFD6FIec
vVEygNNkOt56GKfBv276ZsZy6kY/B6KTfHq2kS8OqomJSwhW1yqq9N0wU/XsiqSuzinmxeq55gZK
7aUsZVOUbxvsY8WRFNV2rTbRa4q8/MIAEXwc2tR7dgDtfmWkH2fXEZurCy9xjPZuSJYk2okFYF+5
mrpxweQQ90723Qcprt07KMcdYFEyKkOCAfMKKW1qrUtNn3eogMutdLtHIDgjKt1YrHV6f4g89uOk
mePeTWtvNRM9ecm/nLaB8CgnRXJMW/s0kKwJvkkDbp7HPGU0DyAZtch9uSRikzD3PfIE0W5JpI9P
EI6MFSbj+ZJetrls+TaPS0+3lqTjCwlz87ENXA1NszbsjHKaQxSrlFvWYg5h4FjtRZoemBOiCZ7X
JAP12LEwd0PIwEcA1g2/on1TLKDRs0aLD4uN7WaIoujYFmZ67PX45BpCrOCB1yfwS/16jr3m62C5
+Bagx+7SRqZb/IXBBioxzXUqqs0Y2TWz8wSHXo8rYYWp2N8PjFbYfpvFztEj/ac9YLFb1RjzSZ8C
9m58d/3S9R87fWA4+zrYCux9HzW22ushl0oL8d8m7t9q4kwDIddnXdy5KvuX97PN33/mz+EmYSwM
/9GDwcuHYGz92cWhAWbuiZgGpSxbJLakf3ZxNhNRXeevuCPTW72xZ37HyNj2b2x+YeYjVUXKSdLn
fzLdtD9wZBxEKDpQeP5n0eEpMdX7Lq5eqhz37pxceXWN0wnlupbhqzOdFalR+bz3qtwqt2h5idAk
m7w+x+wLViKNk+9dhNqRXMPCrFe+npANmSwNVRetHk7O1iS+pUx90tGLej4h+W3FY7rYzanqFv17
RqIQ+Ysol2DDYX8ACaVJae1Sza3uvb73zEPXQA474pJtx3NLQ7hJ+nxiSWOKOcxnRG61QWgkVPge
N4N20kk4A7EJZHplZOVCKYYOUw4mg0kzEQcbK+5MkeAbP7iWB1DTxNxuA3D/5gY7o5OsbDdJz0JW
42EAlb7X2qE9IPTJ6hCM1HQjGw2dyGCuKzN4HMvJAtvC3IiZHHMhaq0le5ycrl5Zg1WvB4aCSWBg
7cgWo2X0NOYGSepDJTL6Ns9qHZb1KPJDsi3bbgVGNl9w9mPzTwEADMY1azFHIei6646BsXuBJ8B5
5YjMFzmepqi9W9x6OTDY7DT7wmtxEG6y1sBvOrpTvWvBM4gNxIjxXGW2SG2xRydIP19u3cVn4Lai
KYBWvweRR3wpA9O8loN3sUAzbKmlDExB5gSBNR+yRIZB3E6mPBi4ZgN5weaSnqoPJ2YUfk4+pOZ5
9bo2HftZQmf5AmsIyFUTaNP3oFQ29yAzup+Qvc0RdFvZOYVxSxKjsXX7lGVNWBMZ/1SPYrCRBgXy
NLKpxqk5QBtmWhUlsNiG7JDaQUlRJvIbeO60BigMoSHn41U3C4kvN4WuLiZaUFI96E1Mwzj6VKFM
LPVlu6RpvsM/TM1ST196d7DTdaQJc50GLQxEVl7x0fd7cj2YvmcAsjM/2tPLyH4jrBkk24SbcgmW
7qUya/Fq9o1hbYOcpwKYxAVHlx9htYp79KVh2QXGsYPbTnMTiyOu9cxA2TB8TTJb9issi861xhF0
QlrN+Gvc2pTamQ2DeHK0HRVdufZ4ubNwLYD3izHdlFVv7NDC+dmVjb0/LBqfeXhu6vmFacSwkEez
k2s/d8uDHHXnMlXDVmB9wj5hZFqOZbToJKLqCqCWvPAewd/iS90OAoRc0iFNGmyXdZnXPSVTHn1N
2oRRJNU1XEsKzLzJqQ1w2t6TI3vpoMC/UWf2VUQi09rTrXLjNsZ5ybwZjUdNpJ1VE62X1mbLEaj1
n5Ux61cVCSNPcZ0uF21jj6dK5mLfCaRRc+rGuyxj+Bshj4HDCYfYHPNux+I4uI1tsIqoQM0TGaIP
i6lflRbxjJ4Wuad8kc4Jx65Gs9uNj05TjajA2PieptQynwtnZhYBraqKw1Ho1hfGacPGKDvrp+b5
4N/IIE62+ZLxFO/Fq0slvmqxxftrbZibIMyla9/W1jglK9OT1StSlvjOyexYD6u8db71RUWrwZKb
34F3SPjCXOEi08IGT8Nh1N3qiCyzwDKWZZjScKtaZezvJ7L6QmzD0g8HVulb0kgNTvSB6YYRJMNd
ryiBguNzR+7NDad19cU35xNeX23l5FGwJ2ah9kPfaryj32ppEAa28L9PbplcB8JP9zKqyu9eqgdr
oWOzCetC190NGAadnA8D1kP2pS9an9xSZY/l7L41tIq1t0Hu9j4YrGg19ss9GcUGYH8nBs3nNSlh
uJI7+6BbXytBGVckg7aeRsOmd0EP/eyQy7m2jHr5Uk1BurK9dnyEII1chni7s4nuqqMXmF6xAsmN
xD78M85HclWdZtkQCEnCAWjYJ1iQBVKbNLiSWCiv59KptoaI+2uzbWvlJ9VvsSSSKoafOG+2OG1j
fGaN/gJoo13b01B9yWyt6lfzmFjATwe2O9Dif05LrO9LWXrPKGgWQis4tTYLt5xV0s+SjV5MzmxZ
cef3xxZBgy/ds9ksMVJezdrasWHexw3DK390kmNFF3HdUOuu+0aXHNkgmX8Ake1vEU002aoxWdx0
+IFhlxtdwdCRnaFhSPOwtDisV7bZ/CiK1AJkTcgQXprqPKFlWSHpbU9LWY03wtM2MCiDM5l/ThoS
UZZEB8vV8nOiGw38AJDhopPmXdaJ+uzV/nyrj0YH39BNgi92MPV76ffTgTjpFM1IZI94mlL9ClFB
/lgEVfMY+2V7XQ4ieqjZFV0MUzPBpveXe4NN2Qbme7ZDZzlvYNE2oU7MarK2+bSsHXpT7w+lWCSB
pd5wj/SK+VFqd6gloW2RlA5dvNET/bqh3Lc2nh9Vx3LU7H6FzhbsT0Z0OhY8wwRGYFscx358sicP
JKZM3N08FehJsyZajpBu3FeT308wdVSm13GPGNTN9OBxXpxur9sLD3q/1JXxFlbVlibcPXlpXd9F
nmxjgqxbN2fkwT5k7Y/TaWiqdtvVaNF+aQz/u/f/h72/B5zls9qYPJiqffle/XXD8etn/qyNiSO0
mdJRFVOA4pv5v9r4Ld7QteG9gXGhwUUB8vuGwzZYY5joLMlSQtPzbvHv/ob60gzQ8yB09tA7/0e1
8XvhoKPjnwGAHZDYxMvZ6Ijel8Y6LTTIIFIw2OE1gKtYpfrz8NTKwC7bY6aD62vCnE1Lku2YGQLp
PVmBKMZNDHPP8ahKq5kn/JGMEz+3zqVm4laaQ61n0UpRSSRs2u2GPOunaJeDQUrTE/wqyexh4b8i
M46A2wc2KkDm1gur7aEYpuSE6t+Zl5zQYk8DrKUxawKQUxZHxHJEMOQWmYNzCBRV6s9m2eKhqVyY
YfNt1rADtTa+jTDshr59SIKrNO3ZLAfA7sPCx7ixIocDUZgY8GXO3HmoS0E+EHD/39zP//m3Wkoo
kJxH/3+1DJCR8sdrn74O70Q2v37s9wsHyih9Kao2OBussDF2/nnheNZvmNBoNS0PaynsdtrXPy4c
rjYcpyZCgj/2f3+wSW39N7aCLkhDh3Uey8b/rKn8YELjRTyGLmh/Iat72A0+Kn8dc2Z7CQJjX5UE
M5tJyqgG5zc+0P6Jxu2bj4I5rKul35DwFqzg4XbhNM350TfyeqX3/p0v/fxIe5Wfp0GcpE84sqe5
bDoosIWuMc/LyKWaB5sNOyNtRDOFvmYAZ3FFNMG2JlF9FbgDLrvAvKm5FNZIVCBN2H6+MRpvCmOD
12QOI1cZavSVzshyDX/wSYqAmWJahU1d4cR0sm+uVutrUfDPc4MRGwqa9lDL9skgDBdrnLTCDIPc
poi8BwqUL5llfJPUZfxs/SQqIh3jHnJ25ZEh5Jo3BoQdvNh8Hree+o3eNk8uVDwYQnDLR031DzFq
76ko9bXUvENLpRaXmKgjWrSVJC4p7gucJ1n+E4PXFLouhxKrfbfWG36pkBwCG643H4HDoPuHIu26
ddTyr6TOe8CdwfogQn4/AFfYkzhab6noxNptXP42t29Gf+g36icz8qPDNBigY5O0HsYzh6AWVr9x
emO5iStxE9B6bUTHS5JW5Fz8P/bOYzmOJOvSr9I2+ygL4aHMZmYRIiUSigAIcBMGgEBorf3p50sU
2UWyrau6Fv9izHpTRhYhMjPCPfzee853TNHy8mdDD8eWF2Q0Vh6gt7unYmWMAWosoMH3vlYtES1G
p/tmtNKVzlfKYPR6r1GhaHwO7h2NkSE0qgISEOw55ECwoMTgOKBTJiahmdvfRU6UA9hnwIYTUG4a
qcrd7PDpGYSOkOBh7x1Nufu4SdJ2ZXQl2j5obO4DwoJuyskBIqK6dyR/TKQh8Z9SNW+mlBcVZ7nY
M3xivwfgENRxuRxsd9DRgJzvooGvRXl2mfYaQoq610N7QohtRRaRWQS1eIi0gB+a5iX38zvwAxra
iNW8Yk5foG5y7SV/yyKk2JOmVME8ONAU4V74REYtiI2Ys+l2I09qS0ot3v7Hj+tdcmKDLshtNcy8
X7oxroergkvf8rwYLac4qFr8ziLnruZpgPmEu9OxuVXq81pAmrLeFwl/pSJ8MTReCCuP/nwDSm3k
40LbdLeSUhXOLevEtufoMCMrPiVMuYA+9o82WFrgbFxhZ+RmcliNHx9G1bAoZoUvbfLypSQeIYxU
uz0AhjRDcuIBWOR9dFiZT96Wfdb4iDTpMJEt4RuwVTbQqPSwg4ISlJ3gIz3X3HOc9EenV5YtU3v4
SW2UAuuWepjbLEqmjxfpnBFxPtbcZUC68d9U+cnRWaiGykbgTHQ/aHMXoco6Afaf3kyJefmxvAw4
VjtVG3US2tGljSjBqGsYMKswNAIBUuJACnq1XWiLh1BrWIY5EuuPa4vC+gxwqC6sKTpvIdwCVdO6
JMDx2Xzc5dLO5QaIibtlEpWHpFa5GwRjRQAxitbQ+QY43+Es8ZtUyGprrGxj7sT6FrQXdh+XeRjn
M1OM2wi5whBOmRY9A2VVdmbCW4WXwORh1JRd5BrsXmb6wiyAS6Dl1FS8PjgH7CsQhf3SGAg6rrTo
oHZjxeFYXS7Nxdw6c/YCR4ujiD1XF1Gu5yE9d1SyUlV2sck6rRGTXaxEfm1si5usKo3qQukp7CT0
NPbeEm0LmwORXiTeiC2G/Z4m/cIP0+bJF71h+fagGgEwl95r9b7bzxaFtU3VGyxpqZI1YRqhAqDa
t2ONzW3m0n2QhqJRv0nwGoDkqNZtM7CZAGaZ6EbytqOJlwAEk1UEyWnHiYX/kKD++96ku4Qefyxa
AuUmxtPKHT87uTY7bonOFDf6eg7wiBTHMxn58tiZuZnapUFblXL96kINMFRUZF6K5XK083eOcXw0
Kyvg47O2XDMP8pIfOWpcV1Eh7BPL0AcKRmwPmGyLUFqJrnUmRAGQg2LrRO17a/O/yzGD5YgiLk7Z
T4RSpBut614dXIrI/ZHX1a39UNYUT7mSXCvzeGmf7VgGoRmHNV3A5CtFX2gBCi01xFYLaL9aFHjx
spBfcrMoJ8/iRGCFrqP1igeqLXvRCZYPmBW6hF6o+p0Z50WAUbjJTqTljQf4O1xCQyUXz4tijd5I
pqIpS+p0uE5iAYQAymeBugNgDXrNNR/UEL1Z14dMYBvNt9pWOTQEUytDXX8lvuVVpGo9erGx5O9O
ayiSwlqRssfCt8y7oerqDYlaAN6g17aG32Qda56emBLEPIoCXXOiE3gmqWwKAwzLJRmwjo2WTvTl
DvDWoDzCPZz8hDSW4iJKXAM4S1dolt+uOR0Kc4IrG8ZA+5XbauT4AHzu7oej2PXvzo5/VGN5Xafo
Vv/P/zqf+P/we3ycazC6OAbpPnic3V+tbIWr6FLU3biz05XBlkzewaU6bEHOHahDWJkUAb5I/5Kr
8bNq/9vvFQz/mQeo9r94kMlh1cFgNeNOmz82O9agkeZfqauxMjX5+5+/y5+t3N9+Gwp8+mGai/z5
FyubnGNFoAMed8XKDXI+Cbg52poYLUfw8Zv+Wzr/Remsa2Bffrgo/5JQdUqpAvp6+Ek1/+27/tAH
YmhE4EdpCtmCSvifRYBr/4Y3CsWgY2HyhMH102QJyzwGawx5HNE/CuvvkyXjN1DuZ3AFkBgTjaD5
d6pn5gH8lh9XCzSAszUKDAXeQWxZ2i/3kZHkbjmISj1WzG/PGleU/jQNtYrMpUFbmjAXxkD4ME7I
brMoBrWpxYb/tiC5wh0qIQI149qTbhcBI/Qwl8nPsP+EeMA7aHDK6zVif/X4vlxG209jy/w8CTGc
WpWOoZxdhAlpnTHQrxPFPlFZC+FPFvvPVsmSfNcNWXW0s4Wn7mLeFN1gvCiziNaj2reL4yHKHC6m
jFr/3sij0b7oZStVBtPAsEpmWsb4NZPIZSu9X/wIK4DnZpxm1n4OZN6TldWptCCxFD9hbp4TDoZT
qZxyIzVxQCNuhlnKtf0UR5QWPnbROg+h2qf32MRaj35kJelGZ5O1p0nSf7W7usWAPDIVs4dkqy/Z
VyYsK+TGNOWU3BLpNE26vs309G7NjfwaUU2U7fgS47TasMoD9MUpm7Ax4OPCgxEOmvK85Of6Sc1A
uXW9rfB0d4HUYr5b/MmhwSkTbMJs90p/q+FaPU2uuYTaMNrafnTdtj4O0o0eZOnYnyBjRXfdsOrO
npaDoQSkO5jFEUDbOZGli7LHaSZqVTF0288t2+YzQGDWMm86WG5dHFFQ8VmOJWwQ3YKKyIRvhZs6
DrHDk7xJQju15C0oKx4y2yiGrZFr9PcGwlgwxc67NZslgxNnpX8oaNdsHIiwO1GX+mMjCUBFBqLI
O7QFxTkLaLbTnVBUB4NgR/14H8NoslXEUUJfFBoixF9jCh+zVe33SWzC8iozwl6057iXHSp7hAY4
JgomnL3wkd8J6LLRHC5qxDCElMF9OslbBxEALCNBqFReY/pITdqSomYkkFguz65x6KkLcDAS1GPq
c1jIaCImmlZLpdh3+WIGpanvCeQ5mdCBPDnjhEjrS9HKFrltvhVLGR3svNpwDunvwT/cYNiyPWQP
8CnkMnjltD5pQDo3tp1Gm2iiTVxk/Z4sctIjYIxf4IJS9w0i9A0dLqRCCvTOvNf6EMZg5pViSQ9i
LPCrOnV6VIpV7lXcMFygQr93V/0LyUzCb8la8DLig3wxZEBfK6a3B6zn2b5P5xeAs8WhS0V8bC2b
44os1ZBm1LZWXL8XzbgRkqNXrrRBWioVdYqCJKPRUNvFSfJmyvbRXjBHu1ENU6BVcZaILidOVThz
4EIquqhMpq99uuJDyOSnISWCV6uhpE+YRHzSmLRrXn12zBgRMzBcBpKmDWN8a4pmDZzE4MNhse1I
nwxynARU33LYUVTtq9n81Bpo9530QmrR1u1G1c90ecfoc1uTOHZAznLLmXjP0EIPkFGGccanH5OX
TMbtfd+2W2ddTpmuLKhLRqLIAKCFU4TiKY7Eg2Wg0MPp0wdaWbwVQu1oC8xWkGH8/ZQq1clpNc13
Bwq6djDZBFPnJBqGnlnJWEulh4MwThc36phUYQk7klYH8UU+XBSNRgfNdB3foQ8jb9wRPfQqGSNw
FFfdg8V2idbHAC0KfvkSpGW2G/EYB6wK7SZO2hu4xqHi8KYwdl0ujsiei/Nulo+RTd8yQ6DVNLq4
TfUWyWUzJD4XrNs0S3OW3CaPqtJPXqEv78lQajukYuMHxofjpAPlk6TnA4F1ZPWyrd8MxsyhWFru
Ps/s28jqbuZpUDdsE86xxv9kM5q2hs/sK2OgoyabvMYYsstMHydKwnzYqlyojVq346UZm8mtsWDc
7hb1llg64JJZ+dTHuu5n7njFcGFTnctlxi22J6v+trcqdhd88tGogg4ycoOXV4vnRKSXuZHwdGgj
ijDNxdoz3BVVbm10gnY+Yag/NUrb+Ys2ZPe2kt2bMXozOETPvXQfcbju9RH8R6ONzaYsCoYr+rzp
525fW9nW1TNCi7NWXJ6nt1vaFq8VqqvQ7CRzjUG/Q4ibcwPnNZxq9O9Hs53Rz2rG7eg2F2QKP1iw
jjy9kKFa44lkpw0txf0iXNiFCMP9/LyXNopz7fTGtk+z5Xbh0pVew3zKZxt1vuQc+B8L07GAttss
NUVElFQTdA2mc21+oCU+bMyp1Y+dlTleC6ugpQaqEz9fC2dbLKPcJ6SqD012wASTb4dCpcngKjij
JgUGTQ41KkIl6szCLRl0j+JVkEzEhl0rzuUqVXGDy4tCxe7aUzESqr3OUx02mZm8NNRfPvHQjHFb
nglzca+JaVdF9cmdJA/WzHVDnXHbtPaXbWqXr9NS7WjNP2Z2XoQ4hnwLHUDu04NPj6Dv9hoYho1I
IofujmnKywXjz+SZjJoDBJva0UxNTFWKsWIYiI2nqB6bW0PVAGMq3VA1IajbioQHo7oGe9PnYB0S
yx94rjXpXO3WGgGnpmnNBsnCeKHHVeSnOtpK96xXjAzlPlHoeJAtFge15ZJURidCtfUHBQ/ClRo3
jGHFWogYwS7y9dsqUzhx97k8LJNxLxa1eVG6SYl3UVmNZKDbs8Hxv9BmxuuiXqcdz1m6U4P7ioLm
Wkto8g1iHm57s7qeYYz4ba7clGsyXpHW87nvjG4zLgyn0Rx+dnpR3C34IXSFKlzj7QV6VaD/Qyi0
m7U1ej7LV8LZjLq9gVgvzOop2eIBJIvXaXJmeoI320/Ap2IApKqjnOJpzh+IXJs9d+qdd2s04wCE
j44XzCiea8deP9mowL18dJ6MHG526ZT2g23LNGCorzJrT7K7Kq5Ub5nVfuuS/u7hgofeKc6LiAtG
WbwY6BjRibOueXlx15OhnX1tuvxlVRX71nWr6bPRTyFhMslloeZmsCKcpnHRaAzkERYi5m46QXHT
FUdg/zRCR+Qnsq/ik6YXuyFn7qGYBJ7DoGQAXyLuZLtNxhsqV2cnbTKGYYnuagTadxOtHoZDKb0J
F47yBd3ar23uvLI7Fxt6lG4wdtF4jwzkaCFR3TZutwY4D9MQVwIPCIBdwQAXwk9MEl58TDP6ZYXe
nQhGs71AOwNQdOjXi1LM7m6utSWwk/aVRGPNH5ci1a6bZtI+sUH2S4j4qHA8a5iTYivoJG8EXkoe
Xr1SPbXQWY6xtZobnN3pgzrDnwdtXdAAg3VpfCoTWtdVYVovIq0Sr5VD7CKxaT1FI/VOjnzm+hkq
IjHlcgCeDvZI9Hs6qgSd6FcRhQpqyRn3SIQRsAhKTh6ggcgpTHzUPuWcHLtxtjc5vIFPrsJBFHd5
4fplNT2gOdpb+vy1xiSxbRtbBuXQ4BHBtbOPqlr35GK6dFjULVftgAhj8Nx0QrJe15m3iPHLNDBh
1mWDh6aJzlmtNaHmUcvzL693iajQmUTN4DWOVuyMQRde0mXToVLnMOqMyyzJjPtUWN22aCznmCZl
fSQ7pPRz2/20ymRTAOu/7ZJJbFXtBW0qB6YsqsOsjO61uCvBJ+joiYQRWEnTYGjpiLnPEIZaaxXa
bbGTEJX9skP6xbQTnrhCSwmgXeBgKGY7QQsEI3LykAN7jsyTL7M7XFgc8DcqqFWvdJv7pa7q0FZp
nphpeZwREoO1csqAUgX5/qBATo/thmdiUZMJL27duRRbKyY1qhrva6jcV4olb9CskJo1mOuGjqnw
u4b4CYHRCMVOd8K1MG2Y++kPxdzRpyzK8p7uVunresajblXEmWeleEZd+Fli0nugw1Rf5KW8hzyx
bOqeM11aR+nXvNMCDUrtjUy5y5eCTAIVN4pFjss9RqiLNhnFZSfIZRzb6p3DL7OVpKd3J2s/UUjo
XMR0tSR9spHFWN53qOKCgkCFTSsqNxSCw47eOkj4lKw45TGbyzrn5QZKXntpOdGL2ndx4OaLtUU1
tdy0K2mjbm+BtS9sTj1aQ8Zwk10iAR4vdVQNkDBmH514TmyDul7qmXtQ6MbgIqkNmvPTRK/dni/A
kXytqTcKTXnSHfkcNxaup368oMxdz54HTB9yz7B3CqWibIvkXXFa8nhIErrQaH3v0EBet6lxrJaE
7TFp0Tmjkt+gvKw5r3bG1sA/p9cmSsAsOzogPTknqAc1d+5NO2G4kcrnxR5fozF+qeuc+6c2bsbh
ZNfRfT1J+GhLFX9RFJ1EX1Hsh1RKPzbsC+k6j05DXokLkTnn4ejpsYMjKdLpK1aqdiFEc5PNnM6g
cqn+MErQQ7kTq5d5VM8cz5Tr0WpRLOXlInkkZER+6jwJ0IYoTbJZHaffd9zBX9YueTMQ9kDcnlGD
GXR+vVmQdu8lZvlU1FlJ2ECqlZc8soRkKmYUHPDqzmZI2FU386AjXVGW1secnG+zVIk7v9E7NfHr
fGie9Fk79/onVHdm097PhNfspymZ9pyq871rJ9UWlaDYNKuMj7M6WpuuGu9WjOteS640KbzZNRl1
2ruZ9uNRJql1aAyn26EozQ9jHa0bcxbdHRiiGrCE/kwNn53yioSGKFavpIwnf+rrGHY3aRGjppsn
WIgibOWyQDZaIM1NVEuTLZTNgKwgANTDAYCQ16kyxJk7TlHV0suFshAH9DYUD2L8VSxGElOQ2uGg
L6IrS8PRglrzxSlH1yt1+9mOCz4xDrUnJDvVrsvWvdlN0utmPB4l9pW6T2yexe4XJmdp0DKeDbAw
TjjUkOQIzpVM2fjxvTv7BNX4MUl63K7lvBGAz+gMEJy0IEUjZrnYc27c453K/IKm8uYszgjZzVHc
lmYVFnm6zZLmimLKucUSIraUwnRcjCUDDe+6nKSFysxWJDyFZqqFy7V3j0QJ0EfMMxEA9je9Mcc/
Qdi3V6NkOtprD1MmLtJdD+jaR+iF3W7o1eOQAyLpa+O9leNpdYvOO9cWukwvNXb3EE1XeZ11XEZy
U73Mzen9FwViiJkpIsPnAQaRoxxnkaGlLXWPIIpTbNkPtYNTn/N16y/n4N9+WSC5qVu4OFNQDMiA
GzNZETyn/Chn1D0UEm+ybm6sejitpP153RoFEmkTXQbqLN0ggVZB9UzIE28PnbFl9L6aLOzKqPd3
CfreEOe3yaFlPcysVH+MCligI5wiHHFdwAHwZbKzl9Q2945or5ehXkjhWfWAEvLIFv3A/BosxLiE
lFrcydpq+8PUI/vUUuxQ2khg9zLTRpE8dMVg7LtGwzKr7J1sDOVk5X7bakzfFWbwn4loom0yzzNY
gUK7Y++81dcYDGzM3A3KBZWXM/txRzk4KKhGZeOBRqRIhc9/SJAi4FmvXirmJzdZjF6E0+y2ndsk
sBYD1aAmrm3pDsHSaHpg9Opm6E3bE12HqJaDshJYBTJRCpzsroySN0cjfEfqx9yxng2NTNLiedDK
7Tg478jPQKU5Kex4DWdTX7pBmxFXjlQukO303mCkQa6efyHFJQlboVNkNigKdYASxTmwyZY4sgK4
bxB3NTS67Fpfsjq77hI2aGDnHdy+RhXwDsZJPyic6RsPc4ruzRNF+YR6nC/iSU5iTOm5KsElFcFk
XZAAbphb69iU2rFTTTRpS8lBLC/GDV2c+MAjC7OK1OyWJ/TajhdKLbut6HVg4pBGu31atNG1w64G
IA64hFlyNG4Th6APaQ13irDKflMy/Vw3nZLPnW9oCa02ixphZfvQR0wkMKxbHXvUtJoR45R4JCvn
YmQA9NLnC0l0zOEISepG73+kX799qy+fy7f+f58HAa8cLtjnkuH//vzX/ve/AyA9d79/+kv4YbC/
Gd+69fatB5b2nd9y/sr/9B//MzkO+Jg/tekHb8Xz/Ny9/Shi+/17vmtxzLOJQ9AyFzaCnA/BzTd6
jW0i07FR1cDE/SZU++7Sd39jiET3naBNxDrc2X/AaxyyhXHUE79mEsGpq8bf6sK7+Et+bMLjLzEt
XP8Q8IhNZSTwSxM+z1AnaNJtd6u1Jo9wUqomsFA1j95CALW/2F05bJp2vS5qXc5+kSBvUG2XWC8V
mNiUVjQeDak9RulYgqykBeJDU5vfloFePnP2DJMmrvOzSLcCX09Xs/gilI6hGCSNTRWz2a6GGofk
jqN940NMqWPpe2cDo+cFm+plkZkUi86IgsMmiE+coc3dwdJUZOk1Y3bFLhDYJ13r4abrjgtRQuQq
GfivFzPbzrw4HSSe1ewpIaM9AXXDbeXG4oDP/0tmt8pjWpRMgtvK8kS7VFssZXHYxPT6GqdvruTC
uK5c+pvJib9yqOVNkgblkWd0w9Qt37hungSraShehg5nS3bPe4NlfPZUdyBKBhxsaCJr3+jtQNSY
5Lcnk35jGYvqpfZwGoCseaPOuF9z7qJpPGkkJnkJfD40fdrFwjgW9201UV3O5/8QOrqWF8JpHoHR
E4ylDcsBJcMXpC77s6nTOzvR8zX/0pqoMOy6/rRkinwihFcNGtClAUjXcTOqyCuIVPC5Be8WIwrZ
cCm5I+v8EkhvNPnRbouFhQQd9crIFQ4s9Js+xb1bPNTIqh60xUCdcNbgtHFkbGjdLbjcUQMnavne
y+aag48kt1E5cPZtn2uBSZCqn4NeGumGbzRFOCPIuC5mYuMciWDdHNoruvPdo8idO6tP6229dCQM
9TRxrSi3QwkMbOe2loPLw7kvENW3GAjm+1hEiCgJT7YRC/Tlje5G46uiwkzz7VY1bga9MC7LtE1w
2RBkiUwoQVVeJNUnQ9EoiTuYN4FeG7d9McBRcaIqAPJKXgkrx8sIlQwSOnc0eJbW3XatgUc0bjSN
Uf1aU/GYDvaOyarp1i3jEfTyQMhXp5j3NtEXR1FaKp23YQr6dUBykTKBgTOT1yjXnS7qzo999UhG
nTns60xF50wq5fquVKZUtk5X19H7Sm1xKjj+g+wjKAMtRmoAjAKk15SZ9ul/ZAs/pa9k89Xvw8+b
9sdG/MeO/v/RRn+eav7ZxPU72ewf9fs/UC6P5Uv60/D19+//vukjNCYz1MUvZ33oLxmhf9/07d80
5p4uuzrIv/O+/08BpuEgT2bEinBAI/jDtvinb7NX/gleGeB+tMumrev80/dn3jdZAo/Lf4vrPj8+
ftn0oTzj9TN1JnnwtH/Z9FetyhkjLuqODE38ae8FBFOmqPvMcYKKlmWZqoceCyoL6VHL2dmM/vfJ
/r99CWdR67+8BHQSzFJ4z7oLhO0nOkyNdbFxqCB3dbeql5F4XOld91MeVuUmznWOdkM7Bm4TV9Dp
o1PTxIiodVGFs/4kUPnJJACvEJ/Uc4updqincLLY2mV7pjkJc/IQtgQKvSVPbV6ZhPFF6OBoW3Ei
zFDlnf+4CsyH6XrfS3KIyt7rlXA1XYaCA0OAGLsAYrNq9aQ6IFtRut4wAjUHxWRUD6tDSin3xG6x
HK80mNvp9M5oX0GWkQCbIVzTOPNSGp4saGQ0g9GHfX6BtfiGnWcMKcQ9XcGPbrlPmqGEfWw/Q15A
J5ppnmsZuA0p2bAZqQzjsAUGE6fIbsxvFwVoWzt3YU5TcxqaLzyv1G1ajNdxbx8Rq77IePSHjFO9
NRdbApGotIah8KgzX8uFFllO6DENl/m1EnEQW2N/UfWziWy28Rur55fJTZobV3GZxf+1QvxHom4M
tCaL+d+runccItP0x0Pkt2/5tqFopmADYM8AIP1dsfGdgWipv+kCny/6n98Pi//cUHQdnYeGvILE
a4Ee4exV/rahaOw14N7RX0DE/9uKbvPn1Qw72XCQmSAkIdTHEeIjdvsHbCh8jUKipNA/QXmhx9rI
sl/Rr3Lc9WVRuheNiLsbZN7dK8gFOIJJrtzqbgsVWShA0ovUMf2ix6NGBkYxBwqtuIFhUWguU/PU
qyo/x1JidMDKVKdU9Yiazs0LY19jSNyMeKdDRozuha7AK0/cag5SMkK2NQe0W5kZcucyZaTMU8a3
SirgFhMxiytlSZOrpSoAmiT9MD+Tnrs+kxO8pijO+Nj8JJ6gw3d5xxS4UNsDbY3mBfJd9oxEYL1W
8hX1OpFvT7SQOp/NKrd9AyXaGwYjxq9NIcDOqOeZqXWjDUqaegR+6fejscj8LzbUD23ZH9qzj0tg
WfhRVHo4iPjOZpkfcVslmRGZEvXWJ9kZ7t40RjNs9KWzPJKIacUanD/ZnPTSva7tRr+AvsRbo5td
o/4jmXbL3GQNIcPXe1eO00lGZnKpj6L+CgpY+UwUZn+bnOHDZpplp9EctAQN8VA8FEXkbOMEmfjY
G/WV43T3A2y/ndnMF0zA9Ts90bcoRb9mrdW+/LBIvj3YftTbub+Eb/CAPcvdgJA4wD4F0rSf33Tj
WE5MIQLMui6jJ+189WNQjI9kKi3XCgFFxNIa3Z6QFwS0SUWbpySpctMjFcI4sKgvTa7xMbjmvFyd
z1aHuTbMT9HKn1qosm9khGrHGAjFVTJaCI2htFybTvRAGoK+ddO0eCC1bfKtvFB3KU9OLN+dss0n
wwrWuhtCqZbc08agTkdVGl8ra7yYO13bDWNk7lZU+QN4SSNI0YKHi4k0Wm3cZGOmT0XjkqAm6vk1
TRAOFozBXxuitfdkv3ZIk2BKRQm1GK7sDTnnyy2LMr+0J4XF1OfpLje+qpw1OzDjndUHORYEUDJx
CejMWcYgTfsWWHTmblWM+L6eoum1q4pBcMVV8sj4yU6Me9oLEiL1zytF4ZtTtIgLKjr/FmdUCsZF
2hpZbH2/c5cmPZLCo54iThXXTqVNJzNveXO6gdw9bBOZ7Wj9Zq4PFEO/VdJhueoHjQ+UbN4NeRqI
883z2lRyifh+7j+LBF6bC6ie1nPn+irYsL/IiPllz8J24hAhonEM0wxOVmjQfr539BjCUjzZym0C
GudmcAmxUKBlPgDDpjNr4w1BWMe909Xydaad7/c81VdfzGvyNWvq5bKx9OjQDmr72W4Fs6akULcY
oR4X96xTH62SsQc/JZ86s/CyiXqp4Npf1FHEoWSIZdhD4kECXuu3+LlzgZ2Kt7rSqzkxjCYhl4Tj
DeGl+nlDrfMDPe1BC82BMWuqArTxsmVaLpHGy5uP27bJkJqnKWTXrkWerTXUDnXhqI+OUvYEAGj9
50qRLdaElBK5bBLQ4oZRpS+Vmm9xP9KtQ/M/Mu0ZR2sr8JDZYe4kzpWjEj8f/vnS/fD4/LFfnT9+
2hoOpGkwhUAK7fPS/uGRMbfokGPZRbc67AYlGDRb89auVT5l0uUdaJlOGnnbK3fZmgIrNxGPNCdk
LMmydcgKWT2DNTiicmijAw275hk/drd6bjuDHmu0LnrCqsqbgQev7dt0VDZ//w1wqONlWTRhMFX9
cv9UqPg6LYnt28Kixgd6vly2TcwMyoroRfcV+0zUzuwXOrmFZ6yTEmK8aGAFqeZRm4H0sPaY2ehr
/czAQAMNtyBK1psx2rSFE90VdksORVLFnOD+/LV/PI9/+fAFjo2zKBODE0XALx9+2aWdFLN5W4+m
SW+676N37ubI2XV9V5Azl8oTIIrlqoBEvB1Kh3egV5W1d5p0OtQlZoDZ1bt9YZ41KzRR7oiUdbfu
LKhxu3asrqTTk8Kn8/7nkjxqb+jn/p3qvuESpbQho3ncq1I6E/wcuVyPYs6rrY13Ct03CshFp58z
jGP0WU+0bAf5zzkQ9YV3hI7apuiNmF5wsjx1ViW3zDmifbomNNIrG8XOoOvLG7kt7FfQlSnd+0bX
Qmk0ULjqnPznbteTIUnDKG+afSGm6KmyWeqcCZbrj6UXuUr8tYuUBMgvGsjrscqjg1w6/RbbCpD2
MmMc7+pt8lVternJMI89cedNb6IozzvI+aNBYHkY00qeBDVKykCcna9JO1z2epnfqY3O1Elgqnq0
y+zVqEuYSHGy7PNZ75lyMKJjZqtfJMvcB6ZdLJe06XiW/PmNwCGRK/3TnUCLkTMD3E/z4zj4y7GB
vRpbC+lJt0B8BzBLKgvM+9ibi3lpt2vUEhcBqi/1IDzFG45izTPKV0a3GnsSVlYEkMSR0CLJikOb
Fowd1lJNc39SsrSEB1dthha9q8dKUl/WWS3u2f6HF30W09uYMgoLMB6WdtAniAghQlfFaaoGMyRK
AEbzIio6eYVRRMWm0MBXeS6M+p0TK0uwysbeL4IhNKIH5rAJpA/AHiQ2t5ZyQ9DMOgf9qI5fSbBn
i8yrhCQFvGWLJvutYNUyRYOw7ann69rM6fAZjveOFt+0BoueytA11s9a09AOquGO8XoS4nEzFgTt
Q27WTEfcCZvHfsVZWwYdEe2HWsvUnWQepkClkO1WtuSnn/QFKZsPTzB54DmQPvTMpQsPwIBBMyot
s889cAlUHHlrxTvEyCoca8AS5B4QcQsf09ZulWk+H3C6pT6oDl1KpS8RZ0mC6jwjwZY1LAkuFlgd
bHkFnRvVQ07Gn6NhZBlAAJOR71i9EEGBc+Yujod+H6mCp47UMuMlMaJ09WPNavKjMgzn44+73sRD
WiuhjFv1pSxq9tWhLfHKsbOrvlLRnozNOT9A0Mgd0iTq+ohOJKl9k6r/Uatl6nA/jfImq2gkeBpa
6tuOs+UO1rULZxldzbtOxBRRtVIJabkwp3OsSIPn1ck5xNUDlxDrDXqtDqoJPTXuwrTllMkcpgsG
3DaKZzaRGqSGLN7xpN3STS1SPMoCececAxAsmPtf2naZXOulPUMoJUTK691V3nwspP86Ff7CqaDx
EOHh8e8r2/3X5+Qni/+37/he2GrY9dH9GNSvuNvPuKrvnTLaZJSvNKloD1HY0EL7Nh35M/qVRgsN
6z9l7Xk/o2D+O30yem6/7I7nnwD9hE6ewdYJhvT/sXcmy5Ej17b9lfsBF2Xom2n0HYNkkEkmcwJj
ZYPW0QPu8K9/C6ySKbOunso010DSQBZJMgIBHN9n77V/fU7CZGoJP8b+1Utd45gA/WzP8PxmG/ur
NVO5woNKAMA6KeTA8klnjRf9btnB95SE3JMbFA4E9tp5RghTr0VgZGe4BDivSztkx9tAaWN1qCmh
2hiUBw03kEMJEnpCz/wns2pjDABTVjo0fUWwAKYJpuE1sNOoZcNYhrusT6sjZRjc/CAcrsVssdAU
pYvdMPR2acbjf4uz9bFAeccYbMr4UjoNOttoD/vZn9qTHXXym7bYyYgh/OZGvflGH2GwN5us+dKJ
wsQeIPwjO2vMDjlfTRWm7LgDG0y8nlN1MJva3RFLMq74EmOsZ8G0S82Q+WvdsUiZOnqNRgungIe6
zriWyfweR639OkHAchcUlpUpgrxZat7mvqpvA5afDRbfV/z00SflqZkjOpuIBqqWUqG/ncB0xc4k
Hjnvtgd37OxrJwQnvRA0jZlDSRALo8tbaF2RUb5HQ+sxQePT9Agcn1t8EPuyNiZWoUF8nGPP2RWV
VX6H18kAsfC/lsG15dbT1YfIzr6PI4ywSGbqs2fRyY3un7NlXzhirSjDL7Y9FlsvyPENh/WryMQr
C+fsjgIHjXgnp7d4IMTHoF1v3SIL1l6zoGdJVk7EscW0mHmyCGStVu4C3E+b43JFfmqn3t+FrNUX
93FZHAJ7bHkIBwFASDLmm+oDh2Zy1Jw39E6wsPMLK7m5hVU8zHOv72OZmut0AaqlDtTWVWYqj5/i
1NuIDqU9LT6My6Dusyeyl+XFWyhs6ew7dzYG5B1dM/JBdm23q/pefcXIT6UFpyksWYXR/CD/kBPl
k661F2BJL52OM9BFVX8ZPqhvypfJt9ReUHBNQ6WRNaB3zmMTnDFXpfUqGwLzKqsZa0eHL2HVVYu1
sfWnaJWE/fjCVmSURHpme0dapZ3XinD6xk5SuhUX+FzxwaEjvRGdJwG8ejV8kFumBeISQXPJWn4p
8M7NCZpo/ykhPS9wTNvpj3rU9TYMy4iQHhJv5xnffO2ZPEXTHLcTjkK2hQZs6sVAwp7KoQp+ocpk
E3DfqQvOzUKbEVA9dmXimb9PhCB3dgaMpliwNPqDUOMvsJplCbTqFoBNtKBsjCIOIGvDPx1xRyQg
9+V8rj/QN+FCwQn9QjYbwdC5nUdbPwQLKke3EdAcXy0uHIdwD5DdWwn4b09t6PjipV4NAqpKMXnH
PAyDKCGH0TjzyhNRiJM14k/yaxqQOCdFVOQEsl1pXAFbSAX5nkYmEkIL1mdSAH6giFi7FO7JJiW4
v+oGN75LFxCQ7wMVolLhGSXIv0XOeOgqR9/L0ZQYg4KTN/K1XuU4+o9ZLOQhlH79kAvb2FpywQ7B
hp6fIE03d/STIAgtfKJsIRVhNYlXo+zgKn0wjCqS8+wrW5aPNVZ11Zh3AtaRuUCPEhf80byAkLh5
mtd+BNRTexXtJwsraTLbaJM40jzq1vpmSc+/Nm5bHe2FqyT60V9lC2tJUSyIchgn+26hMMVZ82wE
zRwzkzvDk15ITcJswDYYwUxkSLiPMJQFEuCCc2KiTNdWRrImGFWzyQiLcLrUA35Qqk+r0nR3bVMl
jITgoUxF81W9IKMi8iObGA7Mm1Ob6WFesFKGIhvUueCHyUF5/hsPQX1gNWR8t2CH4mwGTzUT5/qR
xwaJHmANtx5y9LrBJcmMY74nWiTbFkMTi8tp2odTb3ByYlh/41gxXDpR3noY+hhtoRw7mKbO9rKC
1wsxSy7sLHOhaPWwxJZjVqy3boK7Vbh1trYdjGqUVkybMUjd74Bfp60EzYWtlcMa90wA94VM153v
GZfUcNtV3Xjytfngei2ELz+E9TU4tf82hinfDcdvNniCyyNKorqrFjJYszDCpJe5X4qFGxYuBDEr
xginzdp6lyJxN6z+P8ULbcxeuGOEd0GQmUbsPeEPVBuo1qArovKmQZYxPXAu6EhBbgtzQZpV9HBv
gmx6lLD+XvEBUMAzsuCZFwhaXvbU9BltIl/MxG9P0UJKS4B14Ite+GncNw20HvNC4s25aT0+jFQv
rtrSLM/jAl/zuPZQJWxximtskCTpwbxZhP51kh6j0LgVc8SlRpsnex8nTtYYrcNDBs5/l4RDue2d
UazNML7kRVPsa78fmcTZEVUac55sBI0JaMw7euEyCk/Aa9iqbLd4YwXzdsftW8byHV4XOcXJ9M96
6oOvFsD53zsMTlev7x57R3hPOgQNNLvkpKOY6hrpBMduMPQ+HINx23rB9KmH0nbyfLE4NodjmgeI
FwV79wm42IEyxMBfKSPpT5kdj9SMJu6tT6r6QXOe2gCJZMmW548WFrE3Q1byEvFURjyy4unVyjLj
AATMu4gmy0+wKnf1wuUDBXNf+O6LIkmJeUuU26zC6BeQ2H6OwqTZ4+xq75twsIAIN87ObOPvYZFw
CyTttQ977M2SStdDT7HwJXVdeYa2nnyeIvyoQU+leKPLdkMiUv/w2vI5FRVOYIJDT1DMvN1gFQNu
Kcypfu7cEfWstqD1v8Q9QROy9ek9st6llOhvyleXObbcT+XCNmwXyiGmlWmfLeTDbGEgdhA8Sdhl
3Rdl4BxJItrN6wkIZiDzcVf6/ZclHoEvjGgJ0dJVgfjKGSd9N0Zv3nR4XlbBwl6MIjBKRVKe1XAO
at8FPV2L6eqWdYI5Hu8xi4jyU2741RNDVXGu2oXt6C2Yx+yD+Fgv8McoSJprScxA+E6D2w88pFxA
kZUCGZnmwCPN1E4uASexbQek9JDEC2ASDrr/0HoNZFa3tHYqhJI357kH/VN+ATWSr+sA1XEvpaXv
GxnkAPk664RfrdpB9FPv4wfXsl8Ql/EH7bKg2KNa+XPrbrxaq690qDdffMwm5gLHFEkUb/hFfohR
tLtcVFG9niujO+LxDNciL8BL6A4LEcRika8siiLuGmUXUM9BF8hJIEYYbvItHjp741aaPJPwqTX1
IlPdiiK/Z+5dD5lJp4Ht650ZNzxBZWyd9ML85CHcbFJWCQdCN+YP8F7ealjgoOMAZR8IVrK1Fmoo
o0e37QGJeoEGzwKqT53juDfXbWXnR5OP+stChj9wqo+3wQeHNJl79Nl+7EklGv2m/QNWunBL29Rc
UDEjvtZMm49BwwNpJeckp/1ysL6CIC+xGLHbBV1Trh1gG7u40mVlPYUqHvN4E5O0rb/irgI3uRJV
GYnnQKVF4Z5iunyK86DCqH6W88S7Vg/flAGXK6qYlFd551ua1XRpBdO6ImW88aKsCDZzmkDjgwE6
gJ2f1ffGR2SQEb8hM4L3mdfUX4xE0nZgT80xnmOaUqwpVBuzD7PTOIXtXUucF3OiX785fPOcYiag
rdh1Y/FtN2My23vcqg2NAo2q0NFM647C1JAIh4VfVLKjvAaj/6xh0JDz9fxvbtnA9qStA4qjF8mt
p6Pu1gmsUbmP2csQjXg0Je4l34Gej4FHjgds42y2EX02TH1QdzFvrWzZL5pTVhz8rnS3QenZZ7Pq
MXuZbMIyzwRvhmy48fwZ1E1g8PPMoqk/qWxyXyH2QN3pKXgK4OwYtJOY9MGSH8xvCDWsycphfiPq
dJ/kIW+rWUbqSUk8pFOeUPSEK97EAZwQJhxAKnXOkt3ocf+N4DMaVPQP6zKT1njMe8SzVd8AZVMi
z5+TsBzeBkZPzkyUFMyVTp6Ep/sdmKv2DrtZvscqwOnLo9bkasREpVeg0BEnx8Y8UmzQPsWxoOoV
k0O+H3XkHRGnqxsBnW6VtFb70qUdW7EmbD9XdfISI65dXEA7GTFHmC6OvWxtq4iegHEyz0EkmqcJ
cHu1ieOmCu7AyrmPVdq+BxrALtsIha/CSE29ptaBWFOmExfDWxn790U5l6856YlPYS7jPTsY4CUz
XniiFtPwqSDi822iq35NQDQ59yJpAGsiEuZdzpcQfR/buk8AZcXRg1lnaRHaxKknf9dMfeCMDIAx
Xa3mhzYIMd5VUZnduoS4tIm3rl1NAJi3fWhQV4LP+CgLN4M6rfOLR9/AUTiQmUoPm32gfC4m0/i9
DGv9CZxJDEbW8vnjnJmbhukV82vBrcLmypcEPfJA3xtzrTfl2MT7wZ7KW7XMSY7mukJKh9YMVuAU
21S8N0y+7GGi+lDlsbXOOZbVnD+XQdbyuovnMFxnlektd7BkG82tDFIuu1y0n+tBhuLeKvLegSvj
cxgDJMr0PuHgJwySkhSRGKx9/c2YCSc9WHTbHPy0xt5STcb8OlSqUc9aGjnPV2PgwDs8jGbP+oKg
WgAUB/pPp+SZt6QLw12dYJdZO71VU3Xyv8KlC80dDHXVidrHRtA+4/FXLz/JP/9iZ/vh7PlZcQ6X
hnmP0kSmMtSdxRjx8+KnaZXMS8eSV4Ah3saIqKq1bBI0lMoY+I/i5IstnP2U2yen8HaG2+281NqG
ASagkZ1ZDRRuMvaRzjHwZ/t//8shKv2ihn/8buxzIE0EFGv9ta9YWBO9xLEtr03TXYOGWREWxfR3
m8d/8UMoinShXyC9B399A/D3KQ69k7xmNh5Q/uMb5a4K6j8WVP+VJP9GkrQdlMOfPvb/A0+5fpf/
c/re9d/nnw03f77sHw4+B3+MjV+bQk+QJwvs5B+6JLZttEXKiCmuXqzZPwmTFux9KyD87IHzD5yF
e/in32bx9vHPceFHtulasBn/E2ESjMuv19Bi2+bKCT9qR4OF/PPrl8jG3AphxOsOEQ4VZ111YPfm
pGZATOPJOzMAttNT4gFWq02Op0eM2sNj2hiTwP5lzQUbpongLAgWCFscs9CY2AnbjUrWCfSB7JFw
rkkMpoKdFQEt1kzs1wTXoAMgj9pQZVfeZ7+a3kuLtQH/1PNE8dfTsCyjewBmLAs4qFcN+4XaL+Oe
iRUDDmRxfTdKl5VjiNB2Y4CAZNYM5ueosDAgI/Dbt6pip9B3xE0+9ox+wwulz90T95O6CgXTzTIs
6xZrBAZBpvBHb3fsO5raUXI1Cd0dKVxjjnNV0bw7E8FlBsXFetBDKlveqELTxtUF6e98/tnaoPnU
XElr6o4eTp9wH1o2c2kuxqMmk7QG0cILe0/2NuHnJeHDqlNEr1OuW1ScZcFOO7y+8xv2FZ69UNpM
oDGD7KkHMFjNaCuUki5Ltvl9BnFNZrUzrtIh6oh1ZhnnVdljUerycBQbu0mMt3HEhRJSCUUmcnSs
S8fJx9xLz2K3WIBi20zJaH3uPtayBSC6ESExVfdhUxo/dCppAQOJdypSxfIIW9W1IZG7//j92MJ2
R65spD8W7N3RJtIEKA+WO/TJoJK7hQS3H0cm9jpsMALWvMl9OHPT1RPrpGDI7EsSWqOPm3IoCnlh
bZymh7i0Cn3w+6FzkJACYmAOYyT26Bh/ZmXgXgCMdZyQPFgF5x+mlcT+3IBY8XdWM4cEdwskkHEQ
XAthU5xgK/aMM0vlHsVQ2XZpOnyCOV++dIZTPqVNNy/FaP0lJDJN9dkU7pA5O3/TMjWeKm9MznHr
pq/5jJG/jGYPXYwPO/RztkzF4MGyJBu//kBzetruq71nRi4dly1hA/ArHH3zRr/pSs770O2RjEvb
+SF9cBTrGL25XlmOVukmsfOMEEBuDum1oLCFyXUsm51fE1e2aQuY+ISRDfHabIek6G+xwN2QacmZ
pi6yjR5Myu18kUHUSWS4t4bI2nVl6ryUY1jsRagM6pfAdpcIIpkI94Vl9k9D7X72hpJgqWe+VqGa
wa9NrYRuzyZNb2Hn34kk1sO6t3x/l4Xs/tyAFo7R5DQL8ppTJo6fjsRiWT/0vhaPveH4OznP4gFR
xjqNSUX5BqF21rC+u+TZh60dufqUum1RUi0gnbUsPecTHQ8mYuMcKtpyQZHIRYh2e05blV1lXFSS
RiFaH9V2KSwqsfflej3SKEqK2+nvRifK71VIwVBlSO8B1j2kgnTCrWoG1NesElHGC0syci9lhIlj
I9GBP0/s0+9iy0q+zl2e49Csj93MR6+bCOAiWGrESItJeDXnDvKXyWveEVL50htYB6tDUov2qWXa
zTlTWthrU5ayGIMrzb4Bfp7O2/Q6OU130qw3Xgyfch67DehnprCxhsyTNKaxrWZtNTA3B2KLadUT
ra/Q8iU3Cms10tG2mXx/PkvOoI+p0hhw+Psdug21yo+NqIN+g2DUnSjv4VA7+6NeFTIsoPJUHoZE
sx1HTM5Bba0hbHbrrrTTZz+grGKtSkQouxP5ecLmO6+njh2BmdtAF5DaMA9Ek9qnJqqJnMV7rc2W
LqHZPtYx5cqEN4znomCwI3WS6kUsz1kfVeWA6hnq7qELadf4ADHWsPYebX/irtT7Y/z2cWdpiyH+
ESlRnNgy90D5NLvgj29R43PTUuySXjrJltg3TG6r0xIDxtjEE6arfaiZnO+pJiTdy9dB2jfLg/hY
k95RG0BZ/CblVOg7aUr48amkK/fK036+Er2u5029EIF7cL53HcXe548Z4L/j0t+MSwDUl+rWf7PB
rb5lf+kw+vM1f85KoftbgHcEkwNrV/fnUSkMfwM0FEVEDIg8mBi9/rnEhVFNSxFZscBj2oYX8s9Z
KfgNmJa5vIwsxAeD7i/hhn8XdmCu/susRA6ecBtxDM9hEWnTa/vLgWO0+zTTqTKOMXfsjdOW5buX
4/1bjWAvucw0sh390jMOvxGbxbpIcOn5aSfutB+T7baIS8CszaZvAZvMex2riiB1TvgniQqoLLxK
bBR9YDtR6eqL8LBpmr5l33eZpAYnnzrnjq8FDsIiF6iAZKj8feaHT7TXlLdOjdO9Ob2LusOW3KfF
yzCZ3RsPhwng2lTibyrMRr2zPhWKZLiBK8ZwEjveKApv1MoZaMrcNn5b/A4aAV3C6QQR8tnu4i3+
ZxrL2O30dNJG4x1qD1mt0Yw18lxH3dO2BLjirHEMkzrIw9zZtxE+n6WcM704eTCF3PKCLIACQN0M
W7ei/tpg8X6r8Uxex34GeOeU/ZkYn/yKJFy9YQDzSuhwyXxGn2wf5yZP3rEA88TJ7Zp86rjjhgIp
eMTfp7JQQkZT9QOHYsouZEh6D/+QDEAIZcU1dIR65K4JwHmmLq2vj5g8RpavpDCmasTd6s57aWfB
gwUN2SanIr4qMKiEqkT4QHkA8hWRxidnxkQF57rf4t50qO9urJKphIehNyTBJgdsfCYiTTxQ91Z7
mjQEj5WZeLhUqEIMLrTh2NW6M+byxRHN+DS69LHlowVxbSwm63MWFPHnwUBHbaRHDriKjIvUpMcx
0vqrmgrNtVSxvujEGl/LYm7atReJ7iLjrj2jSE40D3KgBVO7FF/2JVL05FbltmH7l5PIidBUOfRM
d6WhKHECXF68t3NebhM6YLw9zFgUADuX/RdqXamYk3HbNquidRJCl+DmDpzPs1vaFM6rnQiGe+3x
0zBWd08WIffd2Kbu2bLzyVylY50egK8kbEvqZmMPU3uQszXdEgot177I1ZtR8diCoxx9Z3MXdDvf
ZF/DOCTDDDp0G92i3CcqCsOgphY0cfwHeFkVy9MwBswe0XP+1WVYjxbCOA4yExhuhJ+cbTrGJD7H
4hNbw/QhUHl/11tzegpww0Vbi/JWevMql7UhDYUbLtf6OXRaAAndwKHAaPn/rTpxqUVxx3qLKtJc
c87VGWOJ4Fv+WVVWvpSZJkSSeHsUilJziiBs8D91ZSUDnVXRNOc+u7NImeWlMlnj4WLuMY0fhGQj
HU/ajG+wqJz5lHopBEXpP1gUScFJCfQaKg9rbhzLTwr/37TtodO/xTEav1XGU7kJRiwW8LfsmrVl
7z2NozcuFUfWAJNpbtdpRWIfipu6DPgX9m6be6u+7hdC4IxUFJOPCpkz1h3fl1vcM9jA05rKTyqW
jrj442DmD0HW6zLauI0ezSdX91J0JcHyyiOg2BoHOXYvbkmhs1GEjEuqc+TR6abTlFT+XY3usRcD
PbWlKvW+GcX82NahjY2eupo69BI2tX35CBqIPbTM1dot8mwX02uxBUouNmTeViJGE7YYoeCyr0Yx
LG7nDFTmCb2Rf8kx2v0YxO02yuw3H21v5eXGKaeRigoWc0WyAWi3T22Fanv3JcU6dIyxYqwt3pYd
7Qn9fWa6b9HYJBupHbYucjLuwFDFLDW4W88jI7E1NIiuRN+L+VvXT3AoeQ/jwTznmT3MaysqzJ3Z
p5+Uk1JmkdcvYKeCowibrxQsllvFMdTEjL2JCTgkTnfvyzx/GNrqMzohKvN8BvBr7oRZP02ZA/xR
BcNamjMbSgl1BUTWRHWwasJDkFoFm9yqRFjtW6hyqX/Xsoo+dU5/hhEEVywKYbpwTthYPZxigmQB
rVmEik9dErgZfx7HELTY/g5KsrvzmS5tLqOzz6d9MZPOZis6VjeTFuK94VXGYtzmakKrvM5gNWOu
H8IC1Ic0j+08RzcUS3RTNprlY2Eoee9H3begTs1TkSXWWYuo3Ro9KiScC2Utt9nWEKuQy+85MKHm
eJZXb1rl2Vud9YL4WDJfS6XZoE9W90kXZM8Mj6WjHWWPXme0fCUKdsXT1F9FB9iDzbR4mso4fvTs
mPjdIjt4NdVjDh9TFJtyU9hO+l6q+D2FW/poN4F8sFWkzhkBvJufRdXTKGvauRz/1OOkWauRSyc3
zFevBzjjGfxXmquYegd+U7sIvkpFRTxniGCtRzXvCOhEO5J65Q84otUVp2E/anIZg4vTtBt798o9
xrhQJx6wAkhFe/Ow9m/aoCrOTgDwx6MYdx+pPv3qliXfLbwK/TooxhsXYUlHqVk+5N6iJ1d+sAWn
h15hmQ+B27ubwc5JFGjHeShDJ9pQJAYrRVpfvKnzWecbxZMAVAInOrBfOeS1u17SPsCVkXLqYi7w
YeQGFTXUNpwlop17q+lwfEx+dPJ6OR+qMFNHf+ARqQrtHw3o19YfQaP/zsl/OydH4b+VFY+1fP9Z
ULTIZPGCP4fkyPzN8oKAyfmXCTnyf2Onu7C0AysK7I+Y4D9sjs5vUB6skFYeahl43T8nZNdEaFxm
bhDOS1AYCfk/mZAdcoC/yN4RGqcLcGKxgtuB4/wlDjCLYaD8LAtPZivU2QAYCRDILm7K8Ypv8Nf0
UcaDS7y+9JKEe2pcXB1HdG957hN0jYPeeADyaiartJmnB9cZ4pdC8/U+t5lSX9MBwxw18WhS67ji
/r9u8VbtRkgH2xiW88vsDfJx7BAEgOdw4j+leVh+m6bZu0ztGL6kqibJpMsOt+SAOjezMmJjSibq
mEYseHAilNs8dWBp+VVEIxraqP8tZJ3zvTKDY1KW+ppHanodsta9wSof9WacmvjH4NAnB9TwDjgL
D4KZ2NObjp32HaLA9KoSULz23IPpcuizp+XSa9tVp4KHBp8aI//s9HzTE3Wng84C2EXg5EcgDOOx
rnJW/sEkkutk2IAZ3AYvRdKHFkjX2nEvRAiLHLOitiLMPrgCNEHnQ+nH/dab4vSNEpJErZ0QwacP
PDBfkcBeOltpes/EcPTqsU4OmSyTfQK760TOe9qbtWqcjRbCfxJporO9rtIyoHg0tWmwsGwEhhSj
Iw5Rt46+zZaJ7ZIIWoBJsJzGM88BCHlx0aJIFJQRIB3BEK1r+ttbFZ0XqzkPah5lKyBz4dVlXufB
PwXjbQpEe0gwfh8Kw+w5hcThsI5oGa7XLi2kT20ph5MVhBS1QU9+rKOyHEhvVuW9xYbcpF1P5/fE
luoR/GYwfS5HKuOo4BzCs5XW7MZSvTQ1xkkQMXb61KQmQub0ylTdPW6ibk3vcUvAwG+wfkj6Smn7
7IcT8inEBD9VyUM4ND96/pURfKpuAUmGTv2DGlFYz47UpVzRtTF8RRv2ac2gqfMlHhFpSGy1W8JI
uYNi4U/vDWr8gy+7aVM3lbcDUdgBNnZaZ2fVEQcvlVnyXg99kr+0ZhGr6VEbYVaXmO2w1O8Da8pu
ktKMB1yLs1V+49MlBUF9TZfx3pJ0wDpwIRM019nV9GlAvSYUum6EVbOFdIeJ3bMkgTNbtA2G/Iy4
hyBU6ie3V8lWVuza1oNlTdUhroCNGjVE14pvKKVAtGDPAxTnXhSCr7fTwVrCLpYUchVUFkp5hNWw
NxsBMteKd9DPl+4POm0y8mDIXY7YlIV1thEn72oThrSCIMhy64DM5V10A+RzNjvqH8xqPviq5X0f
lcKwNbnAsKqw4wp0q9a8GlSe+Zu+HyGAdDFWmlwPJ1t0YpvlDGCOiuRlBHy8kdh09603jjCQhG7P
ft+OJ4wr4ga8wKVVpPa9vZ9XWKaj/lGnfDGLOv+hQ+cTId+VX4bFN+gZ7ib3UarrLO+fjdEur4Ra
AMpV5Psz5VlPNMpw1wqxVXAucQnbA2ta48FASZWAxSebxe40Fg94aV4ityvXieaLbdTOIR+Sm4+d
bCuIfKxBfVXrPDMnb8X5kxSV9nGAFf7ybtfymRBiujGnOToGtau3dulj2bNz++Y3dMpwe6IJxu28
I5ZPsfUxtlMe4/bjncecum1VjhkJO8CrA9ueXQM4WfrAS5odUs5G4xA8o7GM50b6gISjpOeewpjC
vTLzYuOrqRVo7LRI9L1JAyyLYprboX6V3wEjhoea3PBhpG/2Ii0jUpwoE7WLbQ1CoDLFGjmTjVBW
tFcoWNkeGlB4LiDfkfieV/jipp2KhcaA0w7sYiaT/TlvyqPkAL2NNXwYnFsl77bt5HxRGcKir1k2
8xAJnYl2vEwNak26qLpkXtrf59SPfJtMknJTVdBRP9jm1gwJ4ORuMNIzEorPnEbCh3RISGImfPyf
c4zutjfie6P7+d6axmwzl4n5jIm5/NHP7vAWWIn7FED2eYTtnGxnFvW7Erfw3aQHSqxM1GqSNwYe
7tAuuemm2fiUuQ6G3LR33p2eS9pxWnlRdgt022r6gzI8656tREHdJXpGL+T8lFhiIUEYVnYdJuic
Joe1S++xPzZTL19DzC6wqITcMsvkHvhWfsgIVWEKHgOwiVMYrBPu+cCLCa8R2kn1ySxBJwokI/bE
Zfwpxe6Uktr0+i+Mf1mx0saUXeyp6A+9DcmUHI/6XQxjsSbopp+dybExhOaQnssyGxLgeP0nPI/2
RePsvmhZTziDfDPnemvTm+ePIGKTyd7pOm82s6QPau3PQ/ratE3/4GifXH1fL50vy92eJ7p6Twss
dk7qsp8jHE0btHSwy8BtXOdclSevGx4H+hlyzueONQyfzdZfhtuZI0xhfp6NBFYh9uEueyXjGlcc
Wmp/5ElUmBQZ6xpMEvjDUWxHC/8xLRBKbBs2a9/CgVbVuJg5BhNjDMBIupxwuk7G9CLM416a4lkq
wmtZIZMtF2l85KMsN2NVlY/OoiTRUcyKw2g2rd9l6//qyB+8tb+ZjwFJLPH8/7+OvKzdD++iQW39
lZf25yv/sXk3f1uAZNbSWLLoxf/g5ths3QPEWwATf4jJ/5SSvd947FseTZykdAizkiH6c+3u2r8h
+6I9I0ADYiKo+x8Nyr+OydQWAmRzfKg+pJeX2ftXIdk1fEbCMNCHooIDyXcCSqaf/I0/hj/x51n8
jx8C5idaKkr5H7T5n+0xQ02GHwwQu9DCblcq6PUmJRe7Zj86bH96//+FFecvY//Hj3J5W3isYGVA
Hf/1R4FMUC36nD6oCYNzVuImtG3suNZS90z31nAQ8Hz3SnvuCn56/Tc/nvPLr38pozrIBtKL8OyY
Tv5iBIJPHzLQ2O0hr+Qz8bzXMPs7zNDyT/zkNWK1wY9YzBiRyecGneTXv7BDskXtttqDZ8ln5Tkv
dK/X69FmhDF1+/3fv51YQP7vj3NtynHYZ8BSjEwuxJ8/O/AQrq/YVx9c6bSnpBBWs6ZeT5wKLxan
ktYHN2ayWbnU7bE2deDd4iuP4JGIohPdhhssPmY74QnOEag4olLgJJ/qKYJGWpbYyPo+otjObq1m
6diOVpQd0iXApPs78u8+mfrhR+Uuae1uMO0X4KoNu8WIDR6IeudKyU60oXfH2TBiq5c5j7sL9eqS
pYEdAEFzW9ylvlcmr9kc1Bw6OucxTmrv3huq4uYvxrnJxZY3JkNyHacKBprA0VuHI8KL6bVI+1of
AQPfwX6ddo4QP9ygvNWZ+5VWgcehQ7eRbihO3Me/JBOewUjk/pYqZjQ0vCGboiEzW7Rs57vK2nh9
Lr/juG6PpKvumxlMAK66buvaYtzKWvpXBeh9HRl+fLIT5yUwqLLL02xYtz1WN5TR70z0AO6qnqnA
IjsH6DAhqk7lCtt1PMlTsglq+s2UjKeDzsqYjjOV3lW9h9kOCGscUjLjJSZFbqR5eCQmWHej4wA5
VeGNAJ7XsiPBVOxZazvMgktDISWFRo0Vw8ZQXed/cjH+vaZAIO6rmkaabaiU/VxbxXSm35cDiYOh
Meu6AQG/9dJzLNrujqY5b2tXbbETMuISEW3+0Nb1vM5lZW0n4kE7YoHmi0vwFnJ9q2C3Zvb4xkKr
xW5pztbF0EHynC2guyqrrVXsC5fyOp9ZR2ZWdNRGF18AUXSPjSbhI7r+gkrtvLU6HJ6J5f0/9s5s
S27j2rZfBA0E+njNPqvvWGTxBaNYlNA3Eejx9XdGSroWeWz5+DzbGoOWZVVlJhLYEbH3WnMVJ0xs
4hbKX3Cq6KFDew8yjEv1fORw/cb+E4lmkYHczkN3PnldJh/tAEaXxdj8dk2s5mEol53TDcttwgZU
bWVb2gc95eqNrTsbwCzgSC1mPztq6Q3XWTwVm5j26EMWdoc4xhDPNihk2CGSrznO6TM/9nkeDekv
VvBjp8d2KT4BtTBQoJy2J32K6550z02W4qwbh4QWdzwJequZfRJ2W57oc+CtaDt1vTRwhsyEp7mv
FtYN7mhGh8YYZD+6sVreO6uxCaZkYzomuXXdJ4Fz5HSCZrSkyQo9uS4OBfP0nbIx6gELM2IXaVmu
OeOSpdOmy9VsRfEbE/16G0eJPCZxPF3POYGlYTMQVS6t9MiOOebZr6yN43EQ8Th3biu/kOyiy+lq
hX1wMyNFO8R5IF9xE+VQnLN6F4Tpuxu7n6VYSZUBvPIEQcY+OaP7lSilGysqk+eisRnKhFxpqOBX
vcfpeowZW60euSfxNIIoiQTW6jW/tToF3lvF5a5W6/cMA14ExpEzYEQb5BxbybAHrfOILv7QzzQe
cgtTSiPb6bgW5tAeB+qTFlaIO76bMPcokvwGgIrv3YigtknbgEEI3qjEffH9FnaoKHR9rsOxexhw
q70bqtQ5qyYXen5abmccfvs0BYOM1LVd7+KyQDXkxu3yqRFReUNBWs+Co+Kmdfw33UwkDmG7YXoY
N9gNY8DIdopICRoPC8CmGu2xRxQOS6NkwnTXVdG5HJ1PRZVii4sFvOtIX3k6skgfshDcF1Z0m8TF
r/EsEb6pbh8Ojvc+2F77LR/c8b71gA1v/JJnj5IQ3GcLBzRQM+U5qBx9clHl75ppnb40M0Gd7IZ4
ZVvmy7ItAx4gZqlz/pvMrfKzmJRNHP3qPbprHuzcUoqtKKu82zR+CXyzTPs9IjsSi+Zg/l5Vi3Vf
KM6qXVdvCx3mxgBIwIikybBVujQJarO3zT2qRxkRLzmsIcIZYKQKgv863lcoo0+ICYlEVOEHzu6E
463ke0e7l4ODjsIX5GLiiAKlwifiLdtwXLKTU3jAswOZnoYMk38zD+Cdet+/DzJRwCtIkq8RwAZ4
mMeSbtOuQzv+SVC5dg490gMXiXNClIitb4sWLivzpWdPBftgqqrP/VJ4X+cxSO8CHayfu9rdMftG
mZ63Wt8Nou1JhMBS0xNTdvIK0CokrFk7Fs/f6qLjrKR0cQiSuDuzPk7nkXxlIDDkKQfXoKIXB4dc
2Q3/bYL/r0B2DsTxvxWL3DJFbwad/bUR/scP/akWkb8AnpPozWhb/2WDL6Ehw6KRwQ9W/8thAA0Z
cU6GdWxe/E9FbfALzC80uJwWYAmBAvtPtvbsrX/cu3F4CR3Bk4EU0lD27J8291oEuRogsFxhBsa4
wW4roGx4eezAIw+88c1OqpAGlt88Ze1i5kYEkamossW2JgN7L4jPfc77gopMu6u4T9FvFki7ASTL
UB9xR7pXfT0I6lFGo9KPkL1tmlh6xjpF7MnCOPl6xHzPUI/kxE3jlDctdsMH08s5VrZMjzHt0iOP
AFEmSUWlgvYRHNcs1WeSEoNb5BiQ59cO+6I7LBj+Kwi71+HcTF+LKiBKew4xI0ILGY+5ZYIU6iZ+
apTHNiyzpvk82N+KYm3eSUmKbnE+xWi25ghwmscxehqDmRVvDu6neI5wSoH8o3MMkeWMINg70RSy
PqZGq9/CFmepm9cRgrNK/5rMdCdocrbiIUvb4di7jI6ZhU1XeYG+erMU+YLPOnd+zRGMkVfM0Jjw
NZdYmSUJ7hK7Tq67drU+6oA5/waqlXMHxao+L5nC+Derpxyz17FIo/FT2vb9s5T9zPEFyt83Lw6T
L0DSC7kdfCI4AnYoA5YXWCtDVJ8J/gnhGtmZPqe02kKCTIRGWDFPw9bxps/gDilmQ11+o4PSn+Sa
9QeBnvNjtQmdz2x9b62Jf1Xovr3S8bpiDS9xWvlsYMI5Qi6siWFh+s1+Db+OkxRfCAGiGcZVGvht
ldUdnM4trxf64Fv2xgEflDVn04l4uMFobJ1y306PMyvzS1MjZi36LC2I0Gld2ihz0+wrAugFuUg+
zp3UcQu2ktx7JPjR3kJqQLbu0JBTvUHAER9SgyEqEzILaesBwylX11iKGCv/hjaH9lwL05nhSdkx
+c/T+iELaER6pKPcJEDQdj4N9I3DEOa27a0c1qKL9ruoJtyTjbeA7fdRfb+ynDlAB4fE+4bTw+gs
Wp8YlJKVuGnt6rS2K5IbMjCIpYA+dLdWvnxM4iXdTpGFH7Mi52gZd4H277JSjh+QmYqzrUnTmnIy
DHcjW0qii9L5el37oDvksq8/ySaPv1hVkFhXBBWqfC/rUHwnFq1DaG1PzChoeMXsnAvx1ssyZs2v
1fAohlp9hT+L37ydxHuBqgHO89IvTx3z4ejkkVXCTAqD3SljEMRpxZ09051Ls80QC/fVHe30Wtmp
9438ExuRDjjLZBvqtTwx0Im+5qEd3uIqW+wzUe/yhSFKQ5QZaCgOgYxdyl2bdM0hAk347iep/KRh
Y1k2HICgRTWGzHr51UfqjJFMiKaGfhXXSGqGTmxLnQN0JCJMv/UhiTcb1sf2zBao35HzRQQpC7S8
YfZDhE+vH0UXIW9WGc8zoQTKTH48vHDtuiVBJNgg7u52s9dmJuGcVIipV1dFI/D222C1V5fjKNfB
y48NvnsyLlCFbS3Z2sex9LInZ7T8Y5PZxYyfp48xy4bafnOKVO5Xj2I6Ojb9WolTH4hv35Znep3q
jmywwUzP3f5JR5nHhYWE9bnIcoY5SjDdo5jFeKOTGaZXZE3t1zFcWk0wZ9SdlC05t/n20t17nbY+
Gj9E8t+JfHxY1IKepFg5HjdWjgMOk8d4sKJUfQ2mZfpVoX55W7xa3GJejKs9Sn2AuK6PXGKLh1nd
p4uMcTg7LSnd6RSfUwcexJYjxDMK7nYXFXIi947OYQWxaRfQTPRMV3E0/UVpOo2j6TnmpvvYCE8d
ZxqSCZL0Y2d6lNmlXdldWpcQRGsyHOlnKtPZXC9NztH0O7EIVMT3mSZoafqhsy3MlM4rVUCn1NNT
m31eLy3UJfRq+qnRUhD7t0l/77UOl8ZrPEOQcZBj3QvMeAfkCfopqEr7CRdL8kBZnI+46NYz0vNX
YjvqJyWj6GkQXYyqJMvj1wm+2hfX0hHuQNwBV+mSFK9RHSBt6yYeqyhr6wd7mKsHpJ6oFZKKGVRW
eHcyIVuSyCH4M75mlylY7bZztWR3gyMHstlClSP5qCoGs3b/ZQgK6wB8kUyaroRhOdHW4PSiu+BG
YQy5J63UuYVUF+MOXPv42Yt0cEZ4P70QbREh+GBo+qu7Wst9zWmlOvaWam4We4mRY7TtMwGcjIH5
4B/kFDLMXrQP/ILW/Rwr4tG9HAz2qqz1lIhyIT1jgf5BjO1e9RjfMQtQj4ZMrAzA1vCcZiCuGEA+
qBIFoq8c9z4G6+pRZIv4aVrJGAhy5xZSV4LKa2VsvkRD85CsYQYSJKhfsC+KG5mv+kS5CI+50mzr
i3Ek38eZSBqWa4rD2ctABhBWgxFybnkdu18gbYXLIwiQ6SgXKc+jGLpXHTfVw4iO+sTzRIRCPTRA
5VsaR3xFyYjDc1nsHVnGKeE+rlSPE9I9RKu5C12L3tw+9Tkf56r07gneiZlly/kMGgfbQosRrpbR
h91k8kN0LvpNv/PVlwwUxFdgQsW5a6z2WLupBep6pNRw+6Us0kg2/S1gpfCQjXnxQDDk9LVFurkr
ehG8OU0W3TtLzZOXmqI5wQdkWj1N/roHfOc0z/Uiv2ROnVCxU8AM14rpn8CJGwHgGGmJvGVWXDz7
jFHUQ6C7rDu5oYSbsQZB4eMjZ8Rz4wTEW5GlJ2pbbRhkZOjba8mVJ8diedYqQT/rRsiB0iA8tBLa
dgrgMN7m9A1W4RAJ2+uyq05Db6Vf/Nb1M86pPOJbABOcr/S0EuW6KZh2rsGtEPM8EvuaFJA5r7hl
HY2IfqwDq3uHCvPGtnf+TIpt/ZGPs/Mq+yF8ESppr5TKXhREqX3lqurMjKbdhsNY0SKYn4IS/0k8
/OZl6XveB2/hMA3f3KZjB8GwEICaP7yFFwNoGJUPwED2k1dZN3w5zibSpBTURa9+c1cfwkbfqoLW
D+GEINSGrDzpZukfXfBty3YYPDRTrSaj8QW3st5Xq7M+piv7HWAjk0934r8jkv/NiASxlUNL+F+P
SK7f6+69++vZ6Y8f+VNE5P3i80yGnE58z5OOoKP/Jwbcdn6xfc5DZjxxmYL8Yz5C1/sfhyYpoW8Z
7ndgZiziPzk0odP/+dAEOtfmaCYC36W9/nN/XcV9VObJHFxXThvRAg1CMe0CwSpLBHVnteSBhJAH
Ec4WldvEd029oFLQvm0hrlx7VsLnEpwNHfKuC3Am7y0gm158iuJBBJSrkeYo+Yhre1ekHifHQ6VH
Yi7vervI0hmRe4iAwuss2A0kSZGUfjN6qvsoeIYpoOyqhWOFW8884iV4HQx4PPetKQBWtMIvXC91
Qf1eJAz3aj1yBCCOr55F6W/zzmbbGl4qTKnocj/AOCsoHrF869g+I2y8VCbMlHlLeKdO0dxTuzBT
eQ0vsQTrfr5UN6oflc41Rc815Y82TkDgJiXRMsUR/ABDeWR/h2ZYIA1cqmh+qajNpboSi9sei7Uq
z7kpvoEpw5wdqMiEWcuPhipdzstdZOscu1lRLWf+iG/HIXDvM1PgGZ6JfW+K/nyp/6NZCobLqmBf
FojLWoFOiXUDdRFdlstqMpmFBWpw9TCYxQbIZHx29ELnzyxFsnOWK7QDCtE+Bw9rEzPTPqVlnn3n
fvAf88uqNuIhvAfFEh1nP9Cnzix/6Mnql9QsiatZHFEhhNsRqgCSoYil3vNH57N1WVUDs8A2XmLC
IFAUVWEY4mZlMca5yLqcDR7dSYdEBWCtkDVg0B3ciZlWeVnV4ZeuX62lag9RVmI6M8s/ObHrB4p+
lvJOsDkw24TBbBiay97BM9uIeViDUYBEGXEs0lP+879pXXljemv5hpiwzewqRMWgRunV+ipvu2Sq
r5A/T2WzC4lMz+XB0RbaUxygeKEm6KjrHlassD/+W1H/NxXV9SNK2N9U1M/vjJvrpG/qv1bVP37s
j6oqBHEtwiVxhOIKN9KjNfRnVXW8X0L3/2e4/KnMpIWFjoEBHz/008AZc7gH35QIF4fMBaCR/0mB
/XEWTIwC3TBxCYkRDMPRjv44T1ybVQ1WNwQw0ctq3dbZPDyyKTHm1El1X/9yYf7JNNj8sn/MSi8v
JiUiVJxXHguV/9M0OPFnrwzT3ntMiWR4QyTovCxIWV6LrNfBBmhC+5bYofcux1yf/g8vzX6QqTrc
BS7qj58zswpBqqHwHldQ8m+11JbkrA50jNZ7IOgdz2R4UYsJjuowFGe/70f+ZRjNj6uY+eQkxzh0
EbGb8cX9/PIMiLC7wqR4JAgMfkdkjT2oKngu7VXWmJebqyi6+fuPbBb+ny43L8qt4hmCuAh/Hr7X
bU1KaysddPC181K7kXt2qmBVB/I85Gvb+9GNl7m8OIVXd8e0H/rvuDuzY2kh5N0qIiyPbZjk8wn0
GzvldV29d2bgNEpif7TFNQJX4imytbEYGLQC2PtcEhv9u9zlX167H9umv1+7AM+f6eWCf/R+mrBH
E36UOUydR4GI7LUYiLyYy6GYDxGDhJeSiKzrufC7739/9X5ULvzxqgb0CkODF5Y/3TB4S4EJ+1o8
5mIUL6xP2RF9fvqbnc9YzsQ6PzE5Enekm6XrZkmH/4wTcnl9PIUIAAJbct/8/KyMBIgXqpjFY4Am
5CkzDwxTdsInRiX+DS1E/JMbxRVwQlCd8IK0p398OOIlRIlnD+LRy+T8ZLUpo0cWQIPhc93u+1x4
3jvOAPN02hW2jXDiYbHycH7IC1rBf3/h/2dFQh4OwMKF10AP/ee71vGsRioI9qQKKx4SDxpgc+Pg
2h8RFhby//CQGMk8zyV/hciYf/zsEMjszHJH51F3PdFUS1quW4958vUQ2s11pXPv7I5dc80xiruc
EBpxV9EThjiUC2vamMDoaysY56dE+YhkC9uJbvrCmMl6I2hLMc3zW3OeMj+qyUiVKZ3dw99fMtAe
/+NJh6iAO1agTSLW96dHJC+TeIgWKR7jOKdJglhcny73zdxX7ZvWFZDUaKLuLVzACnjiPslWMNbd
QspGu1QgvmmpMM5b0SprSJx2h7YV4tnfv89/9jZBlhCpghrIg9Hz47W2ZmcY8buKR38FVIxGhcuM
vaR9EyhoXlSp/92dbYY9P5TAwPa5q1lzbcGJRvz8ilUPPIExc/c4tW5z7feV/x7L2fzhQtgdbHd+
0G5A3kicxbHe2yNNaaJpF/mckb/bkmi19N/dZuROt6kAtsVDQHeNwmnuicsl6lg1go3IUkm4WNjQ
anejGzAj3hnBC83nZWh+95H/64J4WZX/upAGfBK+Z5c718GcYZzNf1UBrfQH4VkuyWPDT9FZXla9
y0Mrv1duufSnGsDBhERyzPud41slgZkjWbcHmQIWptlnu/Z2Ie1i6+TOuLcrDgUjgor+lEKKZNgk
aJ6iVPDjdWe7KxZVIMPWp9aqkn5nE/hIojZifH/rkXfd7WzH5snIu4ldcpUSYVvkZUOafFs/DnWf
XkddRSu/ipo7AumJpI0aDXehdUrri1jC4l40S/lhF53YMQPRCHmXdcU3wIz++2LE3Ff9ktY7Al16
wPTSh6qm3Lx9oCeO1mcGP0oaW9PZRBik9OnGMLTaVyYq+bRz4zBkWAMgb4MKDSqHdkY1bio/0SsW
V0m+btA70TdlYfwwdsm+OK3zihRA0bEAXaKWDE83h+EbJxkgybVjfIUuWT5jz8S5Fnpjoh+tCc3g
JkfA5KMKoiW9xRzRtg8h7UBC6xm/xTtIZfI1SQeW3YJ7BFoBj1zAQW6vqpQmLlsDuQ9Fv/LuGt9/
7wh4ybZ1RLVhC0ghHltWgS5b+LElpIu5I9TbAiAdYzCYRV7iIC4wiLEyi1REphE12GF75Sa4yG9B
2qkbaybT6ZAsTYXzuDWsPC/JgFAUsv+ICFXFa+6k9pGmrN5JF18J03l90JJEKdW0b5Ntr19o8WdX
jgH1EYvkfFv6BhQ/vPwjY9f44MBj+VoZwF/jwiUGjQz0z+D/EggUPcZEoID2wNfDUK+vjzAufKwH
kAO5sSobewPwc6CCi+ELRoAGPYWMAPlOAkL3AiIc64iE7iua4IjIwpHJIGfNtFyacFeFoGqKTb8g
m+Mw5fkyNocqASLFb7cw2iyBIH+BglHRXRey/cJhLnB5u0VOojIN/QoZgW02P7jFn5qi4EoDwG6u
7SRiM0QF995VNIUu3MaJiBHoJ5hirY5vbIl7FoVlcdG/hJK6IgkmOGYLd+WGvGoWU5wJ/A5mru2b
1IQnbcEm8qVmOaMa2yaqdpITt1eddHz1JM28MaRJHtFt47Ncl8B7j334Pklms1/ty4hqVE3+O35v
+To5Tve9W1PvHAwBhYfhyk3oVXJf6RTJtuIJhXuJTwUTsPJ5c5w4mmu2dfHrECAsK0gHui7qwnlR
tm/+paaUN31vUskoZzGKFk9WyU4IwsU2CUp/hE8ZGx/HtvkHa1g0xSHyuTjaMdzevqR9uNGpyO+Y
fFFiiHSLbhJFQps0HUfHD1jUM4uKeqmR7OGim9hnEQ0545/iJuq+K2Riwxavk3gxPo6BDQfvthoG
oAOu8uaHhm0ngio/Wx7UZS9SlIGH+g2J4ylJRnE3rHwjOEOoxs4kXkaxSjrf+fI0ZBw33DJ3Xpi6
szz3qLx2i9k9Lg7XHjUHH4pHklcq0Hh9zxpuhtz83aiXFhVWzu7TLkb/HTq23KPl7b63Jautkol6
y2lBMYMgOujpslFY6cEg0srL4N2Z2d/nAKrftOLNYAzPv+MGDbkWbIewrln2nZ3ySAdNDHoaBmJz
w23Ed+eYd1s3ioWna+htYA9+snObTXjTKLn3RdG+MeViNV8Kx9L7GIrOe9CtSILGBsvTWXWadz7y
MyO46AkovrJ0TRKT2eAAF5DQqvL++++HH0xhXLRc5vhx/AUVo2cVCphhi1vqdvKX6CatfO89DV1d
Hll2eIOtMzNQjywolnsSyeNvpUUPZ1NfHiGB7Gc+jLM22yBWnn6np8fIm7rvkED5jto4YnPH/5SJ
YAGuPZywTKY4qhRpRTTvItgY2IF7Dvim7+oOxDAfp7l2Rzjh2TIs2IjoBlU7bBn6NE2suL25Pf26
FHc2wjpQQt7Ab85HtqseSXrDbTslVnqqMIWwSwtq7tohxdazj/jPjRP73MBYmbhmvYjkK8rl8CUv
EDvte2VDnXIk9wh+Xf89rSauKS4kPv+lCBSlOz8tWc1VKYtM3gQLAYIoXnngAvPy1dRH29w89WUv
2jcQQs21hKl2YruvTip2+VYzhzTokoWc6zDxDck6i18tk3o2o1Z411HP82qXVbUnQMYKdonPE6/p
KI6IGrgTPXKiuuspowT4gj36XgD2IewzUUn3IGfQg+eoMV9QrpjqHRyYPadKC/ma9essacevVrdf
A3SOGyciQXvjTEn1vNi5/+7muXhxrIgzAB05lqY5Ei+Tq7nIroMAgIl1LksadbJ9CxJas1slpvnh
8glZidgjdwEVSDeELl8OvGAk27cVuMoLbADnJaN0w0njSPsyKP4h6le+lt7s0tZo4nu67Bgvy+ay
2txRbWm5ZzdK+ewrsr+b2kGkB5+TqJxh4CRjrppux1nu8kmU6w4PJQ99wKcosth7bwekIts6TeQN
Adg8VuvixrsQrhhJg6WImEUllKOs4OFyPMZE0FPgIuBBdWbGlWhVnsiaDlykKyHx5mBJqr0PnMt/
mvVUa4i4XrFuLabh795sKgv/tnytGbSCvRy8c6EaC9i2jKbyCvguP41J1FHPwnYmbpG44EKvZnHJ
8kvtmx1UqE0iKPJsRaDoMfvuOa+kFffE5QL8XovMwR26JXXBFFZM/qw4l3uXQTfL2twz4p7DbPmm
WYYeL/en5wzxMacRcMSO7xW34RBxi0T2wA3lF+NVmiw6+uOGqKYq+q0Nx2Lc0izXJ8swn8ul9d8T
UkheLndFMBMICMUrFneBV/MgK4QYuW+6DUVnZc02qGvB0MivqUTkwFnbUDk0IbSfZ+smMx/Imiru
vkwDe9HexP+3sBHSO86e4k54fARuOfHip0Ez7Yiq5skC+cAKEzque2habpohb6j2bibu8X2sDM5X
bmrbwqi67ScelUsF9Iq+qHYNygD8vrFllm9kVWhaw4nHxixACB8S+C7blixcdJOJRumirEhSrgbz
bnMMcvPeVQuvm7TL/FRhtQs2LUe1VzkvbPz8hM8N8Q7O6oThDyS/p2ex0eyF1udRYKknr3Gs03vR
IVE615TRO22b5CU/YsbIyt9wt9siXvVL7w9sQhKrkK82I/pjjaaGzxvK6cEbnPB5iObqnvCaD1yy
1raQeXfySwULnHHx9VQk+W+J2zUMTVSMBpgjNep/sATuzPKYZy0r0pJN65Y0jV6yQ1mCV+RTXOes
5Qtt/Gmdj4hzAafX0TKC/oVWlmKcOmdtm9+6HiqSLasmk0bXmU/YRGtEqW1b38YNeko5l+wXAmem
GLLJjDe6c/poP8/Q8K+UKf5XECtoRMo0ZU81EJSMuLIuz1bj0IWhyzZsVRlP1nOSYySB9dDyJ9MV
LpLrk/JGB3DC+TchktWm+KuRPU5ltnQqjSB4kzcF+EdZ20FNPDPmoEyyJhfGlTyqMlU1SlrN24uZ
Ur8WTsP+AEcF73S+LCZxSt1eSUsofm3YY7K6yFbuUai7Z2EhZ0A+wx10ORgm8NHaq7LMUaHrnprW
BMjjrumnaaAdjbzJZOKdp1aKu2T25auw+u47gyPAZsDIjYCF79UIIeYDIxfu1iqhWiGSd16MonZ7
qZsyLyiOjJnd/aJqnonS7DfbWEY3FZKXahe3tK8mdDdvBREumwbtzLtWPEJ9yc2DQ7C4shr/ECSm
Mq8rs19sguAWHT/NfvXGwO6u/XbgiestUMVkbsob6/cdhmL3YLEyV0UdeWCTVozwHNjm/tRxvtlE
w6CPTd+BqvccB3lN1/vvdrGKFyw1tOyQw2Vb+jxckjC3WDbi2OEkUQUsLMG4BC8pHevdqkK80XBC
7vSamHJw2TL7dvVbkGD5pUtW2aR5V2G0x0voHHjl9CXVpGXMaWAA/kv2qR0SkEc8IVRnTjsr9ENn
CAHWVMiyFq+1HrQVNLhyV1lHe1fjNnAS3/oYWtf/nsth/bVkV0nQ5dyx3cYSD3B0cehcMMUTbMoA
N0bTF5Csgd4NcVymG6XqXO1VM6sr352zuyxso12SB9nnqu2TZzwS47wdKuwLRefbxyXylzvptlgw
rbD4aNTCb/JrPObslAkyI1TD4sRa2skEq69nAkcy+Bi8Xboz/8Vu/BtbITNq0zD7m5k5wuXho1j+
Ot/544f+mO9EhIKFkomGNKQMhy7UH9OdSP7i06RhkB7SloNcQ0vsjxGPK3+he0Nvl3ZLwOjFpgP9
jxk6qnXpStO7D2hd/UfwDWG6Qf/oFuF/c2zoH8wgXBePgOP81HZj+JRqAJ3J1SgQFm5dchIfJ5Gs
TDHr/pgpoAej/S03At32otXNm0g+4QnrTzqsxqOrhDoCWLLtf9fqdX7sspu3xoejM2c7gcMD8jM4
b+78xS+cKDiHo9829xI3+n20Bkzzc/pPnN+H5jlDw+TtMx1v+gSkl9WOZDLMcoi/R+whHjvsh0rv
2yXE37e2VnK3pGpCwMbo9a1K0z7Q+3IENIsj3WJn7eckhEDGijqLGI/eik5TQaPLA1zap2wk2LPN
+KjDQn9CJZqcmtki3JlzbKmeorjjmcWODJEJtpu8ivQgDAMv388giZnfU3r2konFwyqCAdEoZoRJ
q2qkc0w8zmbAnfStWir7iVDm5uJ1IwIDuRc8iggVpziMsZOWV73blAXSpoUQRxwhoPEVEctTMh1q
Hb/OcWIddbbqK5XkApau231kdqrvZeXPuyDvruHBX7XkvryETPRguM/LMeyGnpCJdMQ1NGJzC1dm
6iXKvTvluctNnaQHKyMvBj6baJ4sT77Zbt5tLApcs1uLMv1CemuLq3Hwp1sL8NrjOiDvIxRz6fZT
Ns43Sbg+20NS3utlYKJFNSXlYApEcogKy/um6QNuJEDdzcyEFEara2fBkx0V7RPsaHdbxRFs2HEN
CQFytShu8fZ37qc8oSc4k6ENS1btoT04ByXL6WWx7ZnMW7c+z0HrU4Or+tCGPeploYNh22HoNWGt
4jTj69mD6rc2LoeG/Wy3zdlb+2mLPCp45Kqra84dGptZaV8lDF6vpAiiK5afMtnFtV1+IRS54zAC
/UFNDC22BZ6iZ9Vl651bO/MNEt3wexKmwcGLe7UHQIg50hn7bbmMmlNawzSV6+4dVjUhVW2LNn0v
uO05NOl523OnbVbm+k92CLEdVeJ47U/dsC+Zxhw9lXLutFYcmRMhVGvdu6RJVxrE4upsEris3NK6
CuMDfqtuQWPoBV+wq3pbAqBQS0RIbX2J8thJgMBWWIR+dVQS39Lj8HYYBdnetx7N4h6MxxtaC0Lm
4zAVZ2cM6AM2k4tqeu3DejmisUCTGfod1i1HVaEDYFDR6KVRvezKpEzWDbQr68WfO5hxnlX2Zzlr
cS1bv/H3M9fxPIY0DDaVKPFOAYq4nlNy1FyO54xcRgOEGUk8WxwfiHYUex/oviciNcpJv6xTW9/I
klMy0RCqQKiZxwe3kWQ3scnh6aL1620SFCXjkYOUiyWnl9NjyBrqwxhvgnPR608yndZv4bjO+3jq
vLMMcmLiAqKUdq0gBItKOL2NKbrlTRsFBMdVyYpHtMg06n50F9NCIIkOv9ZxKIedrzShcA1G8/EO
ZCNDSYECfEMqWkiuzNin1Q2NSXrJchnHc5MEjb+D1gDwJ4f/cu/DvdG00hLnHhrj9BjoUUBYqNlL
QwnqynuPB+M4ORGQYUgKjXXQSEnGXQv44y6gHFxjzi2NSLysXmmnqqdscPtmP3PYvyUVmoavMszC
0OALMwMyDBHJlDsxZN7ONqDDgHuUrB6DPxxXX99OTpo+ZM5UfOL4Ub9EBpiYLBh7q3YCXXHhKfpd
UXzkCfGqAG04O8AJ1cEDfWma+a2bwGScFXhGxzWkxvBCbUxahMwHz8Ac9YpneanE9EYYFghPA30U
Bv+IfXNHL8MiSsTAIe0LJ7I3yMgULcAhnEb9jB0LomQsgvRR+I7zuRmr7Clc5kqcOt0lD8QhtMCS
l74otw5dz68NScNo4EVNddAGZRkbqGUKpVlsfDGPt31EjOMmEZOfbhY3MtRpVJz31mwQmf7Y8XIc
K9n4OYt8wks5HVRI6hJ+X14ikfZ641GbD/ni5mddOPNeTaA5qQ3zOTe4Tg7Igj+46fA085AXgOo2
i90YVN/K3JTkJpifucF/igsJNFwcQwXtAIRimUDgjUpguO7JN798bWRUp9cVejHYNy4fchThvkuD
j9yFaTdFHn1uNbuvoB7bc44c7EG6qeBVqw821pIb0S/c+9lqb3IcbTRM8DkuUQzOtDnLEDk/7uuZ
gN7K2kU2WZZt6+V3bOgxBCEN4wfW2bknKhwS52Soqv4AX9VxBmdXpciZB80fWWRbX3NDZdWOO197
vqKF2DFQfqMjP36MhuRKYmm401UzH82+hG4hxFfuUp8e1QUE6zG4ivaL4cN2JM+luC5dfe1GhjHr
u3Qet6JbQ28/0M33drAnpXtYND2F3QyP8jXI+77eK0Or9S7g2uUCsU08A7T9f+ydR3PkSLal/8rY
rAdtDuEQi9kEEJIMajLFBkZmkdDaIX/9fGBVv5fJ7M58NevelHVZFwMBhAPwe+8530m7FW6r3kG3
buyMqCXdlUL5jsLtVyougafZE1s4fi6StKx0uNbIML6bhX2fTaHcp++AXdNqYXGWXWyeu3cELwIM
4zrMSkiSKq6+ziurV/VQe8HY8nuRvgbMV8Oz9NWUTcFnwvo1KNW20KZASjorC9htOv2y43HGXbSy
gqN3bDD7LhDCuUt4zwaDWfaMwOZLp+l2IBk1gn1NvfqUAj51Ntx1GrwpELyx31Mll1utaoo7UjrV
VZWm861l68n9lA/CDOwOb+aGSkij19XdRd7Iy5pMlTOBj+g4Km6xy8SwdRnAIYQ+OCIVKeGwW0BC
EdEHITSlbyNiiBfXa2rgKIvmnSAQEtsHCo4404LmyxahhLI27dgueD/t1fBf9fYlw/zFYgaV96jg
sZEj4UzTAR0+PawNk1qCHdrSsqXP9qT9ZKTOrN0OplVY+56XPlKlahmhKzhWuPWq3D4hF+JNgG2q
bA5EZFpTgNs+Ji/Jsdh/Vbnp3k+TbgVV45BSatHTYHRLCbaJKbr2LvER6bmN52zyebTjF4B3/9Qa
XnMHcdb52oQuppR3a1iWZNo35nHaySWSvtzTWocSp63Tq02MU5o5oxP3+2S1ohlJFBcn0uy966h3
yDMthZX41HDiWLspzrYSDsemM3tbBBN4XFNd2O5sQEP7T1n3PxHuGaa+akf+fVm30mLOr1Py7Yfw
6L/+7J/CPWGuHlC0x0gIyI4W1G//FO4JNHoAMJGq/FX3/Xdp5/BH8GA8yhvEokge/ru0I8CFos9G
0IwO7l1w9ze4ivJDaQfBnMNzV1pSYocEsvKjEKBJrXwZozK9bI0+mZ+tykLOXFqOshCBevQOeCZA
RJgPCWO5QjtWRlzLlmLGAYw0JmKPfQB+rYmjxddELX26gMNyMcEVfcXu7QQJarp2aQ4lfIKM7mmW
j7N1r4G6c0GADr1h1IxynBJYmJgjBDYMk5Y09q5R1Sjndqj6QTe3ta3aer43KV6Ub4+DIgPaHJFu
rawAWnotBRBJZQkWLH9yHRxFQyHpCjNwBLoVX+KKaGr3PiZxqxqhGromSQl6YSm4Jind0u6hc02b
CKeUmZr4xEZOLT2d0cE1Cr8TRSkuEqJBcZ2Jhr5o1+6cpp5vJK1FrGfzmPKn9qwtX2tojsn5Pzfg
/+QG1D3DNX91A15WfdL9BP7/86/+2Vhx/4GHADkihFKELvRW/uv+8yxi3ZE6wV6yudPd1bj9z9YK
N61B1wNtK9RTHN9ICv9qrRh8oEe/h06x4XGTen9LPWt+uP90nTcsTFNdrhEDP6vHkrkd+yrRyfXh
zeEGaarpdwIkytllSL6rmtQlOrJ2xEunOeGDE3sEURZleNLaJDx1bMABnjoYhgTBFaTTDOumjtwM
l4L5wWVdBw73K4RmQaiPDnP4Wi+1/jVtiQ+Y4ih/sgyoeHXhJqRCIsYHyEH0YGk4Q9A2MBj1SODk
UgW+MzYC9n1f9tNvxIM/arokV8Cy6N1ILgPX9CdhbUq1RKeoro/UetMNeFEwJHOPtEip9bz43t8t
kZs/21b/q+yLm4q8qO7//u8fFV1/Ho9nMc9UfCgOysgfn3iGBlU0yrL6OGqtSVM+f6HqGPwk5Br8
+kg/6k7fj8SMQnfwskh6e+Z65t+e79B687X0/7OgC8bpbueQaWm+GOyfKOWkticEPrknStPaz3Ea
/kYi9y9Oz0E2RcMOKSIQsPX//+6gqTCgqVP+HYk/Ig1cW+HVHewCGfSoUefNr0/xXx1N0mJE4u5a
KF0/XMyIyWNSFim5yWKU2blsi2U32UxJr/vce/j1sfT1XfRdG3JdKSR8chDHRP/9k9ScyWMeF5lI
jk085dA5Y5ppQdMUVeAyh9zEM/lSPf20y5H2+IFsYFVvk87u/vY5IzyEs4YEEZ8TD5Ufr3CuM50o
ekq2BjMiO91uJiYHcs6DZ9fA4X990j+vIYAjaznqoqq18E79eLCWTpWJtp04Hn1Zbiu37QKlcQfX
JCXEZNImkDad0svc3xz35x9WvmMr2GnY9KTF+tz6bhkx5RuTyK7TYzk25NwM/Jqj2a8ZYQlgnV+f
44djWSh4ALGujWx+Xl2sm53vj4W0imSz2EuOCQ01wO1o+ja1aOeLaB7Nx18f68Pz9v1YUic2BLKc
QAfw4cdLC0WTgOLpuMzLqL9PbU95Yg568OvjfOxLr+fE3s71bB4yLFfjx3Pq7bxrGQklxGbLIaWc
oKDfWHMJDGYw5X2cMKHeTIRCIIFq6zRERBnFf+4b/r3Mk2N8d7+s5wrulwedbkMyQUX543egO5Il
jVR8h6HDUqYPDQ0/DNnn0JyLUxW59JNsc/7N8/yDlliuh8VXwokzM+Qd+lFbOgAlqZbQIdTUhf/U
pnZxsk1rvqpxcu1bsy7RxWjVhEx2niLHD0fm2sfRLqc/oGE37bcacPUpC0vCElbXHcJa/rGk2u2v
f6F/9T0lPwyuMnYHnvhoDMykGY7IiLWDMB37ZZ4RbPoDqDt+IvA9NpYyeiDkc2mOQxk8ZmcxGMSi
mmUYHvussi485YVH8mHMK/BunbOzh7hKgyr2nGH/6+/686pdhfWmIDKKHclPHkbhkR+GajAhTl4Q
jJhF7pTRPOh+R1v8+U4k75OfjDYAEEvn47sx0QwuitYlcOTJ1fKQB8HayCp5gXdc3v/6nD4+zlkn
rliDKHk7ylU7/2F5zm4nO7RGPM7JhAwiNxwCkeNYI5UkA+9bR8A+xvlCx7vxRSvKaE9PQf3mwuri
3Qfx413iYhdwEP6yKeDrfHiF5W2tGdwZ4QHvcjsfndzgYaq8yayPUV8vtxglxYuMQyKESbjGRVjH
acT/zpCzMACWF12EqNeDZnCDFcnoN10DFgqRgeoR/WTFcs5jMi5jUoLvltwM3wbiO57cOV/OSOWZ
qHtNa98D/82gTLvyYkC3UW+6YjTuJPCcezuuxQEhmX4Zl9bcB6JOtAfNGZfbOQpNYhXp+F4XrVDP
eTiLl0VjG4etlS6VN5XhG6pWWZ/KogGBXKKWOyydboEkoc0QI1Fp1z1ClVlig8IUWZ4X6t/YXJmP
o2nWsD3DAel/N4XWWz4oawwKNZkxaYtpfCY1pzhRLqLtbIfkpY95eFddJN8Y7bgGami2jfRDhBsR
J+lFPfnutrUfLcFmqHQmDAJAy7bMuZ0vbjO27h2UatYbd38EuA52G636utVuXaPj2QkmxfmykG0S
TJkXnZ31bzs6TQRGSdPaNsnYQQpPcu0BWsd85j2TPzXNPF6/X97QHkkHLGNxW5tNnBEPD7jsGOqR
bZ4MUcTnLPIANhISnzLqeX9a9fp80SpAML6rT9rXsspYkZWYyJLLcx32KYglurHoiomzEyJGtpRY
n/pW5JpvgAS6MTPDWbHQfM4IkOFsK+JgCFhJXlrhjSVhhO0cERKM0nODK0Pewzk1H91yaPHGGFzb
wjSSlzwqjJ0OJvyZPi96FG4a+GJhUiy3cqTT7KusRbUCYBHIG77PgCjW5CsUNx5NwDSe9FlY+dZc
12EBX+bk9mDD/Rn0E8mOE3r7QC+qZVcOOWvJWUNCo3HOQ8JWUaFuVDcst4XUmNwuBfucPu6gpKSc
AGOYFJCED6qO0Ogurp+RoQuGnS6rV2aIbNuQUIRDH1MxEHOiPdgg29fIKgvcopanp8zNt95Cp3xq
rekaC1izUynjtmhcqm2DTNUnybC9jfA/H4XblhdMLy0fZn8S2EYnzrpZLqcebSdkBRk+RMrZVtaa
OmWX2XnmaH4YSue6WJx9lmAIQJkzrep084tLkNamtoq9gDDAHLY3A6FNC11/A4YKHumdN2ENgFhD
uDpXFRpCMlzjwJtPqe7t4hiePokI1YmBOeNOjXwkGEMeul9OC+Ze68fEF0K9VMCIOou5s7S+tAx9
zyRbXbcTofDDYE7BMLsWLUrD3MkmebQBYG7nrjYuchRrogcTUaty3GdeIXxkL2vIAIIWr7bQt3nx
XRfPL15tIEJEb5lqhRkg9GbMR9P3SGjpZ0iaYbkZzDrHCwE/Muxr42thWqfFdHV4N8lVbCfwLiz7
YRjCi6oERKUwnm/RvEynOC94AFvrHqkw5is7Mc0zEUXNrZ7k3UkbZAb6xr7MnGZ2641VpA6pWOtD
JOpeiRaoD7NeAbIqwyGEbRGZ6UmvrJXyqUXOZS9zvlCVWyaW49lYHuVimbtpzGGZqMHwwOLpzTUb
JSsORnudXDsif6QDFD0yMxjvZ1TVJbO02o3QMS7zOXMWcxsWeOhR47l/pAW8rCm3pyPTmoKDsos+
t5G4g+Y73jmEiG7Npe+36/sHHH5VD7Gf1E1x0ym68g53Wn5EM8BWwMgquFcze5HMZVqclXbn27R4
eBSVCOot8GEbJ/KcQ51S+mD0zoKCbd7OWwTN5nFgptLWRnHdCfXk5EsT6Ey6rywYpqkfkWyXBsoG
7rJDVACIv+5IIk0zufJqup3t9NEnBezjwuynQIEfPaVjLwj7woD11UynDroQkZTkxPKcPOJJjU9Q
4In3MkbwQ8tQsDBT9g6UCLl2m8+tsy3m9nNJSNYO087wpbdK900RQgx3rNQNCMfS+TSNYDX2QiZQ
oPqRUIuqZz9WTs2hXhbvatIae3X4zqTDVqB7VeMcqKC9A+ASQ21qrKCvteG625q24alR5tkpLHH2
wnZEDO7plwxyQENGpUPEVu7d5mETMt8A5Ubxn8YWbYpWf9ASje6Dyr0TPypRZZI8FF7CpHLgqbC+
TYvobh3i7I5TU3Y4ghoDRwlLgLwFLAhhJPejQ2S5DYh9yyjResTDBeBGdSbZX3p6DNPGOHMFk8CE
5tUMob4fpGRhe+XZpn3gE4Jr3ERNDkYSBdkl4BFcCfUi70PZ6AEWOFRbYql3ORL7515xSjxoGn/o
mLL7SKxbdKqhdPfxUBoE+Y3MZqMujJ5KMZlXvXCra7GEbPs9s0Lp2SGB3c6ZVlkI1IZ8j5rY+SIz
myZO1UQX0PzdKghDKz/Omje/KsrxS2WO/a2yNBwvZk0Wto+ghHe65Y0Ih6tBXlGxA2SARkABoFcn
YrAVd5eqz2Na5De1LdU17onpYDZd7PmJ5x6KiejT0S21DUof96JqpvCc9lARrGgoXrKS8eU2q73m
k0XOzM4mqPgNP1USYrBAE0HGF72kNG+fnK7+WvDR27apmN95pBczxQuX4VkwEySiTuu0Y1T37GVd
XcBCjksZWCkRh3o4I+qrkMPIPtlmhfGNhNUahEIdku3imd22jKL5zPy8enH0cjgRVcu40eMdyARk
2c8SwCCTb3Wji6F7SduMZ3aT89bgIdCi3vQHy2ky+ahEXzrdN5KPXGsjrHKK32KNeDuVYI7ixlYI
Tk2lvTV2XJ4nWRtXySj7Ry0KhxerTdwvUe9BNFtzFMk9FnDCee2RDOQUPh2R8qDZ1nxC8OCRT2wP
n2ZF6oLIiibQ3IH0x7RZpQNjpvvsolAcGbMTKET7vomslvCcfDL5VgpscZmKszUmOfEmI+8MZsmw
CPO+t212l1Xc4yBtpoMergE2qFn7QFlGxeNsXqJ7F2bh7JOERh6PN/Ea0ekOsS4Zi/lRt2gP4OvE
zssqfjdeCntT1OpUL0n/raY2WseT8Ha1gquAFPRriAscNCpbnHPs1EaJBLidDrYww6dZGuazZtTa
m4H26hImdfQgyyX19YqPnazJe9TJWt4YvWy/hrWVsJ3Ee4UE5pGNcbhVoS0IAGnubPMpQjSxmUm1
pg4LWVTFk0DKuBGuducMU7ZJnXLxhePuoGDgyCtBXhORUmwmNieB48TxRi9bJLTU2JvStCrfm5KX
jGzi0teok/FqqIpXZXSABmLsent8VWT07anlLQi1hrfLCLzywVGejA5WmJ4MADFlvwOQHPmAmLXA
CVnO+Lj1i1kWEGx1spH44Ljq3b0xN9kGDG6+J2Z0um9seFBGD248LYc3rWbO1yxFubGHwTghlhZb
WEnTKWnn/OAJ2gPGNAB6q9t+X8cK2qUCtE6Nz1uHjdCJ0Ehr23lJA3VbkcSjpvQSMME+syN282y4
fIpqO1DjdD2iC9zE1mQfZNvEvigGl9KkDgjtxiLJVvBm0jvBKDsFPKK6V9ViJai1atnrdrKmoHpg
B7Vih20JTG1N72Bh8piO3W1vas+Jbe2qMJ7Zp3hXGB9PhdZ8GYsFQFd4IiTjsW7DM49cGkaYMi8Y
Ab2lTfSke96dY5T7mt20X6b5syeSFdFMk9JR3gse3M4HWgVIRdPlY5UnWGor42XydDZWWsRDPjaO
ud2qwDPELu1rJEDOCBrb/oapGqtJQVd7IzUqgmjs+0+LuXybhuRo4+lAfJEnoz97c/RJwEGB00aQ
NFRlhs8zNqCkSsy9TjR5k3yehqk79Cq+lM2jcIceZR5WqbhL7h0zig/O6GV+2wz9Z81oUZ8zkDoM
1DCXSJa1A7Ke9TafBdrdxPlsd1bJRLex3aCLx/aYNDbt0RFVt4+kOJ72FbE2WwifmUVACppjNUit
3cUFhADD9v4QNuPrk1bnNHRQi3cE0RsD6eYXyE+6Lt00KH5ucqNdP89osvR5puk80rhArAlRTrGi
nTFDf0FX08JGKdJc38EkJ4QqYz90cEwslVewG5wkgCmeQjX1aJra3UjJmRFI3/YGkPAoC9+6EFvG
hqMyYpCIkFq2IhRSgeFWlEURy76HjBzm9JnWmcZcEcndRxQIodZQY1SGJN1yma4a3nFPbhPOZ80C
pE86rrZVc2OLq1STybBV3kzZ0Ts8lsaOxO1SX6sTPZmG13QxxuvUBh8v9GzZ6REUszgbwy/gZmly
R5aj3+mdBEotWyoRJBDiBdOaLc8qHtaS11NA6mNZd58asNWBC6tC7GvdbI/s7flozS41glkp0NFH
oHF1dIxXgpTkr/hrjCBp2f4BxqxvZEtaMllWuC3QGyy88o9G1vEi7czwZMaSpgAAprPbO/QI1knN
+/GG2tK2M9KtI74fZjZZTiwafsvP7/+J5xbGHSh/+75yUm8P02I5wEytn7tCUYNNrUGXAHfC9biw
7cEYtM56ltK+9zIuJkwmidVaNbv3RnGdT4xRpsoN+oy+cY4bRmwSfOZ7zeMr4hvOTvaCkdYuZPep
wjt9NJKUT+Q5siCLBRZBzLv+uegFvzoAR77zOLXHVpbTTTax3120WByWrF/OUz3Pyp9QsB+B34cP
taTsa4a4xt87pw20w3p1sPS50wZDtoL0k4WuCM1LHgY9ZsxQgNuqrEE2xywEEsH6F4uGhTGqn2n+
YZ3PUjqK7nLhtXg+CKv1FC0Z8F4xttel2qlsHCGJk1pxJVFkXVTpwoRskTSvwiU7va87LSmX3ZDy
C5iLyp9IxgQih1GNMmnCTcqrgcQ9DfUGTRHKrNu8X69J3jNl0/lXfqvpqsK3dLJpUvqWXi9nAxfS
vlpbce+p784cErCWjy5J8MmyI8ZhOStrdbp6w/qBeWrfRxgAt16MrwRaFP38Vds/lY74XAj+BAlQ
e3wPt68rxdXS7YkFq5vOfB74oC0KS08GzaiJz7EurRRgYebtk451H2tsr3WHPiuhohT8OsF+bwvI
h4shZTWZC4dMJ616ppUIw5zX+fCojJX0qI/haYCU/BzGYrqZEZvW2CK5hS2zZzY5qvAU1nr1nDkd
qsxm0oAiQ84XyHbyUL+jOOAMSzTaPRl4JA34LuKhPc5D45K6pf2kyB1INoXIs1NflcsZ+IFxN2aK
POn1hjW6LP6jWIoah3TCoae+G065msOjouVKmIcLpHABWxsJOnJgPdABtwlRMMi/etmB49VJh6lV
/a2EoON7DPP23dDitVf8OkqF3OwTd2DYzx4di9Lbq3ZQ2wgbxtmkBX6uiyH80mJPlfhjFv0ijwz9
ujQJ7QByzzdXVD4yKHkc7oUpaX4wFnUDua6CsaY1J2tJS0ECcfUzF3UtwMieVYKl5QUDff3MKFKr
EGnV3NNVK8kjoTpFgsvz0bO4UmTUag+gZMM3J6w5YU+ta7AVMytP1uEJlefqpiMX9qDhrAsc16Hs
c+14eHVt6mScgvr0uauS6es0uEyhOjbkLa3UOtrGbCt4M9Yp0dPdUF7Fo+ofEjG6f9SDFb4l1YR8
X+KC30QjbyYLFP9uls6Mj43gvSPBLuGX1IZsuumAD2NvrGhwB5h/qnn73hL+j4HkdwYSyPB0v/+9
0uj8nJSvP7hH/vyLv0QONnAw0ybSx8T97rL+mB/8JTJy9H9gjmAcwzjaYd9Kx/8vjYPl/MOSLo1+
god4ZRjkTv1T42Ahf5ArwpExMvqgVf7wdzRGH8ZQTBMomPkcZlHYR+x1uPHdKHH2TNJW51VBEG7h
Vcj5DCv4u6vx+5k+szxEHmDx2T7ylVFS/HgIRkjr5tBbDgNA+GwhJWUuN67NJf2va/7/cRSu5fcn
QhjkNOGVXg5O+bXTvlbTq5K/kQysH/H9MOLjiXwYTzpJZVG6c4h+uXXE7ZwEzfLy67NYP+KHQ7jo
VhxpI2LxdBdw9o9nYaPvLgfNxeturbQTjaImqavbomj2MqYn+uuj/XRC70cDXSdcxDeQ6H48mjPJ
SaEAbg9zFbE3YTyANxezax7VefD3D4XKAtGcJFCLuv3HQ4nOrideZpxY7EYPU2o10BYG/SzUkP1m
Yv1hKg8QCAke3WC2J9DYnI9sLz2TYs5NDlW2ZX+Z5WBf7Dad/XBapk0TTcWe6ML5764NDmpgZTdR
MknGlh9+OJmEkEKrpDvAcJEbgxbMxoZ3TjOFf/z6Un6cXq/nZ5AmhPYQlYz1MUUuM7EV17XWHoo5
Jmwtx9V80Bo3PWYGnhkSxZubetYnxHxLfO7zafrN8ddV8XGNYrJep8hEXRgf1QdzZNWE+0TdwS20
iXgZTtBuxsdfn+S6Hj4exCTYz13lHEwijR/Xy6RXalae0R6UavS9M8YEukSOGV7lhlgOy4w7dOiJ
G61a3DK/PvS/Wj+mgUJHgMxZ4Yk/Hhod5qRHhtkeULrPtF4k4ZepBq/e0UTebCgxJUg4FW5/fVhg
dz/f/fhJLE7W4KWg6x9pZSu5PIUA1x6kVrbfSKAR45a9gLGlpF0OMszyO9irbJzynt15J+CPdyY/
Ac2OPUSlcZ8QefNkxIuJS3vp0qBFpGnIYpABZeh46ZEnQWOgFYGppmFHpkN4j/6cwssp+vRhXrvo
TuqkF51NYKBb0Sd06yB13W6bV/pw6NPWxxYEcIm9rE0knBOfcX8T5NX01cZO2opeQk8lIHLnQuD0
YzTsEPIWyzk+i0az2bpBtFoEM5FYkwOxWEXPQp1UHmA36y97r1geicrIg7iODT91mm82wX7IDAoA
HlozBJ2zFHvL6C6tzFCPUzlbtyOsX0zrTr6tcIVT4RAim/e6tevAemycqdbPLs29bWpa04aH0HBn
OooPYS946SzpvK0Wl4yWYe70M7lhvArpC/pR1ce3YTqM3zxVzLfDYva0ecKJZTDgytOS5XUE9/2Z
SJI2DQrmhI/oEqQZjIv+2raTlvtM0NWb1lhTjPA2V0+ekbgxCixl3Q6YymB0c4ERcJ0rOnRqw0i2
JjJV2lhyQnVJmLdJqKIVFduQvFGYWZ1OVp1UDur/VLtKI+tVdTgCxln1f6TL9GgtxqtHfvmXySB0
1+q15LPKyKEWMzMfqD3cSDArXtdimHzAsVkOKakBm5S5/kTHYFFPveDzionvkU5Odio82T0BJ3R8
TPXOReH2MZvxMdyaoBP3PW4AgnqN9BiV5hB4bd3ucDSJPVYyxL28cCLiEOaQxDr4Iv6Su9EJ6Ixx
oI/CAYxlTZFK1R7eREZQSToQObb094rQWdpMXsfCcBNw9kCtNgJcxglFi4X1rOq3AFWsa9fjckIL
08OgYIwTGGybrtTopekxZUK7q3NovZupAXXo9y2FEFa0iLl8QsxOCWFyU4+JvMZSn+7jKBJ73WrD
lxBqIZHqhhZeGaPHeCmLmWavPqN+k9Ljv57j1gjmaIZdtUTWaa7bBuLO2tcoluFoe7V9E2qmtscW
Y944ehFdQjx5IpWP0gjfEgpoOQgGr/Qej02rMAv1E6nB4KjDF4X4AA/lCHTB1HpgIEyC3yzoNG90
tpXfaR25EY7uvcRER26jvrGIqiJodKt10BxCIM5cj5CU5gCC5R85Y9rU74Yp30IsEwe90+dD4XrG
JYZ364G2wbINZxewCzwvfe8i895LTHmfXSMcsMHJ+FYUjTgMxAfbgdVPVPROMjCjYcDxTc+ISG+K
vrjqzWl8bk2zPJd95F1jlDMfqP8ZJ2Mm1LZTo8uL0YjmG3OgJxTVrXsD8KB8hjE33rYzEJcpjdXV
1DX2pT5RSRNaLi+ymgaM3sjBJxrDvq+xcAUKXdiB4todfCkMDtAA+4g3uRGq2xZAQblZRJgRagKp
N0D6U+G3HQX8e5t0xDiv4vsG0PYfcrG7gz7wEMq0AihJiA1mQn+/q4FA7SHWR0XQ1WSJsqHEiCSs
5iIfybmjh9zEDwvFXrSJBlxG3DSxHaQenHDUBMuJbxs9GHq1nOZsbi4YG0LHkGHS+KldihR/Teod
kbLLHX4dGzFA5B1l59EeoY2wrcXq+42zhNh122RNMCCgw+UJtRVz2x7/bCjFDZkD2F+0rROu5CND
5B7BfIrrMFVscAwaJDclm4CXsVHkPFVDdptXFrOuVMw+BL7ma5J4y7YCpXdQWPFeAYsvOwPB2cV7
u2SsktwF+ERh3JHg8oI9FK1BTtn+1kG/IRN0QrehC3pda3fFKG15j92UhuKEGgLjmbM2wBAzdy4j
rcHNqERZwwtXFwSnpUfrUHY9JGN/mqo0YAe/nw3KdjNfe+qZ6j45k+oCyl7+U6s1tW2Cj/P83skz
usi4YyBE1WvF1dOQFIR1eH25pxkXbpNFF7yr19xx8l18Ma11ftU/48ZXR2CsLp6DPpWBG2ZEVoxr
osHcDlce8yYaVTG54aCSkrOd4R8E2BF5Gwbl06FirEckAn3II8Y3cq/pOhentNNpAziVrfp1PLYc
FF4FGrmTvRy8hC6hjlf287tII7HWpuy7klvW5Ao6o03fYql7DksISXiaFpeQvpZeFs4j7aFObNSc
2sRP75pg5iuHDmifm/Ef782gbG1UFa0tL0K9QpFtdyiYmwgzXcN+c08h2h7NWsueRvKi9mXZ0IJs
bG0rrZbMDkVTMXpvHa8vu85j+KmttNfRptFr6nRNKo9JbEw7+cZsZwtuGnQseMPLCTdbRr4Zciv0
mwS2W6J8TXmHH5F84NLI7OWJhRTd2GT6Xau09+7LlAmubaEbT9q63LutaX9W1KJq0ydGeJmPJVvx
96aPEWrTjSL/7HbRxPA6lKH2WDh1SPNWkVHlavZfv1OmpvBtFnzZyTLHnbBWINiqLSJzkYeMuQ4V
QYBsNTklX8q+c289EJ/g/3r5iVwz69PQatanVNbzFW8qexc3sRbMSaIFtBUZH4RhtQaQtndwtMqt
AUxtq2XmdPV+1ZVElFN1LgEkmYCSU1a8+Lr0QrbIJ5oK/nzZ45OtWIi7SVbiwmF8uoUOrY7FrMxt
3RQ6nWJhcRM73nzqaaFdw6CMjqh9mLi+r+XF1RH4aRZsG1oNFwsEoSunK8MtE8yIjEZMtRtaPtm1
aNLiaDNU+uyFeKNViKp2Q6aOEWDB4+df8CpkXUWzEYsoJmegPD4axZhHoL52JFE7ZfN0xUNhPhp1
WF6TPLUESSVx/yB2mZ8Esj65ITk+3S4kAtFvBzGbe3O66TMnvTYBBO96k7631ReMD8AH3ejOyEih
rafrxul4dTsxGAoHFhZ6/qVwssDQW1KKyQ6F0Y1b8ei1KBQ2odUx+1Z5CaHUKauHHhHqrueBwx6I
WfAFtA113TAxYOJhDxgi6N3Oo16fGuRjO5T+YCWbrNQeOiFormH+Zcdsmd0mJ4DVF1HHralknWLG
X2XZ7tAw7KsHGpB6mT+t4MptUdOUNr1Ef3nXQVkF2hZrHMXLjBWs30xJBTfVWuWCCEa2CcJwBtxI
/drMcU72aM1bV83tEZsfXVJzHtDIFZ6NEVENiPg2ZWcut8JmEopVNKdtHPIvD5bWEG/k0dS97ElF
80P+05vUxDy6gd4eHkiksvYJoNYjLlB7PzYQjjijayeeDJ++Z3ylL4lBTltS3BPd1m6RrZTbpY61
PbU9IX6mnI2vczm7Ke+G5t4cTHSyWaJdMCy/6QFrbCowBBhNtVe3gRWrWyQ29UzB83QOLzmNLACh
xJNTRjirXLcdtxUd2H0YMjImYkddoPtrUYY2wtmyQ4yZUUtgW/F8Y9CG9PGVFd+cUvtGu/96Mjpz
Z0wjmcSm3hwx6RobZ0kexipe/NbVogNPqz0XYvDRopdBhISHEbj7mfTpFozBmpKbdA3I1ZFg2sxk
1ihchbxG1tY2d2rOF0O4xa7KsC2e2KgD6vBcA4HzMyB0WzvJEXVX5tATQJHGX6N+kIeMrA4Qf/00
bCd3qe5rLDHweCLRoKMz4os4teubsszqz1qUlRve6gUW3Zo5/OAgDtVRyAW5S15OP8zLyUi8bG/l
cX/QYpgfQRU11g15U8tNGtntfR0l2Rbxj8Pof2oJCCNzaDuRuuuHbRzvCW9Kd0OT0Y0TeXICAAJs
SVfNi9cuxYXuaSYjnVx6kNKqyByZDvdTll105Qvbe/3LRDl+1r1eCb81ZHU7NCkBJEbVjyCvoEUC
2/X2qRZ3O+WihjKKguC/DPc7ZuGWXzHABP1ixVYz+v+PvTNZjhvLsu2vlNUcaWgvALOqN4DD3eHO
TuwlTWCURKEHLvrm62tBkU3I6Y/MqHENMs0iQiKI7uLcc/Zee4iX+cbUuvS2tDryeHFDfREN9ZU3
abF+PTtuB3Qqto/gV8tnKOMkEddlbzyp6xdSaIVk2uXEwVSW/UWcOOZVXLTdM4gLK5i6ejzmVjRc
jMqcfe9IyURABy/Rq/ou/DTYsvhRtLa6GYRmvjBHrfC3gyc5asRnXDYdO3CBVYg5x1Ca7HVbMjxm
pTMfjdIutkh7NEZYmMuvK2V+zQbb+axXdomeZ3E2UZQvO3Sa6SYdihlaSbwwRY0LxBq9MpE+Mzes
ZGmeBqkccqI7bZXby9f2OLOrQEFuLN6oAXwiVNLHz/2g5Iyky46GFqu8R88W0LjLyDrT5HNjpIaf
CUY6CEbsGq4ElfG+ckXxUGVFddktuX5oGsQb1PMF0ihs8pl0eiUw2lEpArZLQnmduxyx2NhYB60X
zhPhZCWUQvQM7GJGT1eS8JFBSEdgmZ1/olRMXybNqB7TOqs/y15O9l4q2Mm9JIR2COrDCi0vyyhp
iHIub01DG8vNr/FE1ggdziOe0uOg96/R6DC+p7NLiLRTXhhUtt9LCbZ3Dm1sNUp2vVQDkJDWUPJ9
h9pww0C4ugRxO8Yop2V3TSMwuiZnTXh4WdMWCKdVo/UjJqttUv2O9/8HcHqIB3zTXK/HAI9QoluO
btX2nzJ8VL6Jr+hpalqDDxcJNFpZhLctuO9vtMG+mmk7fkUQeb/0SDl3NiMXH1KpRibawsouidPm
VcvvyUSCGYQ0tLmzVEK5NiHBjyLu1d0yDD2jodgEv1CZ+zgW9qWeCeYrWdMT8AJBOEhTPfrG9Anv
LSuhB+YQ5k002Q9sdfieIE7+Gha2ShSj+2xO5nihSk3f81N0/DJ1d28m5g/SIJubgaYWhrZw2A0Z
ujeu25xeue4y7ofG5opVjrOH+TM19Fe4KACun+0hNh+SoQJg0xMLrTcuxISSmmqOhbuziE3sjFj/
xB7kiQU5u5nkIo416lKvGzuxlXkZvlQr/C5nJkab0EivBWRhvP5klRPGSXULpgkq3DCWdyWgGipc
hX5z0R06Zy5uw0QRn+xajQAPCf1aiwfjpxaRYlalo9w2fRIdwzLub0oLI29uZda9KVE1ImJeQqX/
kpZQauIM8BvL7XaQBiSQblIh2fcigLTcb6ouq/Yz6Ij7jhXX6yfYFK47qHviqAnnW0Dz2aoAdV3N
e7COX2O3tIM0ivliUQgeWUiVoDDc4ZJSzj6OJnqtNqoz6t+q/Nl36ZD4eSe/Gej+v7RO1yMAihCZ
f6vUNFWhvPXhBfDR1KdbAgswavWHXlemmXBKfOEkiDaRvqnKup48o6mktatL2sgbJ25Q1sxN/lAW
bokCaXb3cbIaeWhhPaCAfp0m9MUqIUBIUYzmqC7jd9ti12DlmJYpqtgk1YiJFo3JeZG4GnwcLVDQ
pB15/63PdiGeCsR0GzMkMJ2qMPdpd3xv9QQRhzqHKJz4vs7jGPSTeLHZgoDpvbQa9ZYaStA5o02k
9I723XTz8cKsLGMraoNGSlY2N1GowaRVwp+xMKxPhGnpt+3k/qwnU3mKePUedeD2sW+1Vc1ovJlI
CnY0m9xxq9qr7tRDPaoJke+iwXPwI3zgUXrbBdWZOql8oGlxw6Bg9PXnSY7RuqKyE/qvRDzmR60Y
HmG5E60o2N26No389/uu54YgGIXx1hBd4OA1/v1wUVOrGnogDgfC8KHW6z07AGgvoa1+MG55Y6pZ
O/eGi/WTMpyJi3raWSZw9o+mtlj68Xv7q0k/h/2PqaNJr8CkxS+B3kU4i/oSkwccdCP9uPdP91z3
nrBrjP2mgQf1zfTANjqYAioETTsyby2APFcyok/6/lHOXVRu4drDVhl8nrprTTwpvVkwg/k1DiEZ
gH6kO0+eZqbyg/t37oTMNXrHNGjNYVL8/f5lU18CUgMJOo41YKix+iqc6oNoo4+OcTLdSSwyvHhb
CdzUu6tFNHvTKT5yvK03/3TiwfMHgYxH0bLfPBxu6oyN3jWB5AN2FfWqftSJu9ssw5h8jhVGLUiU
1JuoodcKREUlqtf4aLTz9tUjRMmij8r757J/Wa/Dn6bBJixQYw1oIccU5EMH2mwzall9mSspyh/p
lv77j8nb68rxbEKTWEzxYp++ezW1lTNj+gkKwlMuTDHfQiezP1hP3j6L8CJWOiP9HR2h7MkLDnoc
kESW10HSRZDjZJVs8BRc2ikNzfdP58yROAnHsiHt4GuyTx4Tt00SwlKdKmBpQ7WktBfEHD/IJn16
/zhnbpNmm7qKYW4dE695Y3++TUIWmeE2dhUsibpt8hfFyTdpVq6Cq+P7R3qLcHTgRf7pUCdzWzaq
YnVuYBUaXLp3pRmRCm932GPdAUvWUC6Ps8VgGnZm2Pi1SYtPbdCkCOrWbbfo3TZlBLTXW/bSRWPQ
BStMBF+Wk0owiBNC8zFerkIo+HdmXRqIRWkZU1x121zv0u5oD/l0PVY9bawZ3+6GvTbENJEsH5yo
+XtKEqzKdZRJc1/lBSCd6HTql+eLYrhk32LBi7tnF6jItTY4d7MQyUux9PYRCD9DlBwlEl73nZ3N
bJwmcRD4ghKL8YxWywwx8WMRUh11IkbmX9zJ0bkiC2Ih9yOrty0icSK0DRt7WWqgwxwrNFqDbh+V
VOk3E4CXgAHX6HcdHj2Ok/rs4+3LzETLkGZQkCbWa9+Nxs1iR5NvssC4XC0dBhVZ7eo3exV2vf8E
nHnWAP5qKDj4ZvHdP3nWwmKoGcPOXJdUaS8HzTUO3PUpiNIGkfwUGmPw/gHfTn4NY42+s3DwQPA4
nfziSRiGURZV4Dod2L2kKrZ11HSXwpDdPnSi7jKm//IAPjH6IHnnzOvLWBsQEK5XvKanr28TzYMS
96LEPTjPnwcxal9rmr4PGNXT1798kkx5WY3Y8PC/0xk6wxGKzrkvg2JoaI1i6Gjo2RChjtWkOUAQ
TpxNy5Rt9kadzt37Bz9zntRVBol7aN6QEpyUIXYWwUaoypK0CVDy9Vg+RKvXm/SE5i+XAYRW8T5h
4IXHQMbb7wsVG8E2wjiaB1iOnue5HH3dga3f5Ibxlx9Tyg0EUwijkGG88YtLMKZ9NPQ5w8We3HdB
98VIb8bREjt2nz/+6gU0VTKnVsATBAbr9LMVJbksCVLntMgrCrDzlhWDBBq7bW5kHxEt3r6AHIzS
htLAYqp1+vmqGRDHoi84M8V8iA3lGXvaj3QyHhAEflCDrO/y7yUIh0KfIzg11vzTVDpiZJK5VJjG
YkvcGjRM3MrKPTsfFtCVuHlyMtXfv5Lnjwj/Bxnb+tKdfl5MaTsYkrOg1oYjsPWXChi90WQ1al+R
A6vVP0iEe/vsmyqFN55yqg6OePJEWtBWcN/aWaD0/XHOh8A0s5tEqB8c5m1hsx4GjQyJe1Qfp8oq
ogCmJOFHB4Oir4ZwyIFy4ov4/tV7u1RyFMDjMMJ0Vbwx6eOQmUpCO7KgMdjWst1DU9r/tEtxm9Yd
UzVn2Rik5Lx/0JPgyfVLyVFZONC3W5AZTtEMYbHgAIhRVblAvLwxB+a/KWWGzNxlVLeQ4uSRPIfN
AMMccVmweck+ghq776Y6OuQMk3YjZdEyW/UdQlzoAlJSHKxlQb2aENDGiEdXB/KAI9D64Lc/e2MA
f/DEaXiGTm8Mc8k4p72ZB7Soym06u+lRmWh2vH+Nzj5l6CptF0wW8seTkrMwaz4jUZUDVrNBFFZD
oGaQ8e3uo6rlzAtLeCW1LeuQYA/7+/pq2blRyrpkIZqkwTQ7jA+TUKfd+2dzbgUSlADgF9iUc+1+
P8oCtmiKeiVDQYCjZbD5TGEARFPf5t/Q6//1Kpo9IzJRPhkrI+l0h4r3XYBV5RWds/DHeu2aRNwW
Tfj8/lmde3lWMrmNJJeNweljPLVZqS0VL0+eWM6nbNbos4fWDzqu1a6JLOf7mEPYQcXSfvCpOrfm
/YpOR0F3ZtND/0SNDXPICLPSb7pSwUER7WT6RALHPcv1B0c798Cz7dF52NlZvlELAkNAR4Z1OZCR
zPaFsOzbUceV+f7FfMNrWRcFLqKt8zkykDmfrKtur0+9Rd8tcPpRfUpitdopKI69MDWGnAa9PT6m
mlNt+qobbuq5zK6t3Db2sYOwa8HExnQplb5W4zHHn8FQtu/Tj3a32tkrb7PD5s2EZXZa+DRhq1pj
UfC1mUx6hV39onVutUFa0h4S23nuJ7oTtozpZJZG8pSNQ3sI3eprzFh3Eav7cizMA10k14MnKOFS
cx7vX8gz7xqDLUpQwJKwBU4/iLnN75BMlNtjufyQi9btVImiKswZYs8v7x/rzOXQfgkNrVWxStX9
+3utQ59QSUuntA+1HyoNB7+w1Jd2zsvAdssUk5boPqgwzrx0mkbbnoqGL9abEnto8nlqoorTS63P
cRJB42B0TzOTAAwDd+Zj3Yy1z0h2CP76ucIoc9eOFAXi6UppEjKfNE5bBezVrvH4Nchz81tkyRHO
1uiJjI7og9Lm3J2kZKMNQAqCy1J2cnUFI4fWrKtAUSNSd7SB0WRpdLcj0IOgEGyk3z/DM98cTpAa
yuDDRrF48gYWYWPGScWlnYYICbfZEClUV7VvIIv73xzKxf3uwExFdHfyQZC2mXRFyRZNc6vyE9Rz
3Jp2Jy6SXtM+WL7OPaMkrvJ4miwrb3TAA7qYcqEzELRF/wDV49Wy6oe85f4lUX3rYGr/y5sjFjBM
FzogMnTkpy+gNtFw19ulDBZ9Qehjj3dN3/iSPsAHBzqzMKMthkNm0HnGxrHezz/12uSCW08N2QLm
kfUcTdPeWeqHDx4Jg59xUtD/doyTZ8JV0iw1TY6BqlfzQCjLI4ga607viVUN87HlKpKoZI2NhDaW
Ro/V2ACathjY9DCUaf71SKLKhHGPOSGDMTQNYANu6MTomuNimvGt7kaAlWccWqFUy31BZCZRhc68
QQsXHmLLQa2tTpgVtZVmBFZau1vcAsVFqcHTqIq22atDHbq/gGM3kJOpDqvVHA6Y/yYmGXyvNe18
yDGMXg9GXFwNSjMETuY+kNLUbrjC2a6gV9R4MWqhAIVS4VXjIrdhH1soBrPxsjKNBMpR2u/ev7zn
nk0TBLDGcwJ/9nT9BH1Sd7Pg2UQr+FJP3QsZcjemoeyMosJUS1zA+8c794ZTc1Ps0b5HGa///sRY
8VzWRjSXAez8ted0PerZYezKD4rXt/6ClXiKwp9eJm069+QwAEdio5ncMkBJeitl0iAccr7X2SOT
qCum0pve0r9GTfnBlsk4f1y6tFxRNtenBZkrwWDJ0aInUs3L53hScQk1pnKL2l3NtwzO2ePUVgGP
IBtqPycdhglXyUJe68OBnFrPSkflYKi9stM6s9yEqMN44OQe4wdjLDf9ZmkkAoxEfW1A0kS+22mC
3ou9+KRT3usZPn5nsWoP56NJ2OyCPS/l9wH9IF8Rfmuf0l80+QkLHo4u/j3JY5u47dKtDbvgqTas
j27FuTsuANBCuaXNAFT69zueqK1VlNlQBgDEZqZL3jyq+0zrhg+erHNr0Z+Oc1oYDXIo8grsVeBY
K7qcfgMpx/H2/cf33AdRQOtjrsC8DSrp7yej1rqsarBNAUMnZzOvlkWVoIeMCIy4nT8wnZ09GP1K
9iwrRft0EyEaFqMy511RYkGaD+AEaD87ZGAIKrvkg8t3biEQtP35WmDZe1P85oQDixQpRdCkzS1A
NLGBlPJc5c1rl2DeisUHV1I791zY7JLYwOKlsk/nNEsrc64vdVo65dBEFl07OkszHnR68X5lkH9q
yhrHt3SNu0QN42COUDZHQHmvnMjJdm5lzo82vgA02mEEsur9O33212NBpI1E/9Y9XRjHKWyVLKbM
GWv5arjRU6wP97nBMPl/cRzbYafI9nf1zfz+RLWDMscSUU7ATlTSzeleylkZ/apvPviQnitbV7Qt
LZb1/+yT99AYXWTcCLCCDuF43KJzG8vbprJIZtBu8qp+KHL3g0bFuQf4T4c8LVjTxcwR6qhFQHDX
ntyUV9fMUbiKY1MNH+w5jHPP7wriphcNbpte0u/XsVvTRZbJLlhm9PlrF8ufMAHFBhSOs6F9G21W
PgCpXGq5TepVcKxoqzyrQfkD2ujZpKnyHNZQrXod2TLWFswGcdfcR4sL/rfMc9KfWmc32aPz5Fis
mgCtWlQTSjuRPbW2Niv9pzrqaNrhIUxS/ZpW/TWeRLklbuM1cYbRK2Yj2fbFrN9LlJd87HXrg6fp
3FVwV6cuLQ6e29MBbJ7Lti0RKQeLXA5Lt2hep5rPmMcv6Jk+d8k8fnDAc7d4tWfgGLRptp5edplq
0UxcdBEkNcyBQfaN3P2iExikj4deuwpT339hzpwi3/XVbQyHncr9ZE/iitkBOWLkAZRGcxs3s7gq
Yyq0Oa3a5xROM5Fw8bf3j/lLr3FShKK90bmovKJsbU+erkiZcyazeRGIYnE38diLezPWhk1pzNZF
XOX5Eww22Acmkq1fOmUnBv9Q9AtALLREe2UE5/fBpdfejvtAmlPdsPlhz/Rm7xtN1iLDgTe6XUL0
bEZk7lClGbs2JIoW5rLh8aQgn7LAIBJRtpmZySC/Nj9CERtn1srVF44cA2Y2gzb993dPRRohii4p
8C2nYFR+iZsTA/QFAsvSuuB22YcuRZKIzwJKWU4TWVMK5qjwRIZPozGqu3kOwU384st3i/qZsrjc
xyOPFLaJbIeyx9qjy32dUWSyZA9bU6TxFsGg6TdK2QWxqO3tFPe270QXepUZ95lRTje8tjhRZl6E
59jp3WOu2l9UoGAfbMzPnT8TMDzo9jqhP20c0W5L87YzOP88m+7BlCJIE1PynGhKvHv/STx3KNSX
aA1wo/PZOClAGDrBI18/S0BIY1/WzmrpmWR2dOM8en7/WL/u2+lTv3Z/DXavfAZPt/+lIvKeiGM2
BwMwHo8cuBnHx2Jq+1BWA4zVXLvQKjX81E36eK3rSnSrdwrcEiOXe4IqmsOvX+gv4Ruuku9N1VY/
u/9a/9r3Ss4NMTXdL3zAv/7poUJ8Wrz7R/av1fVL8dqe/qHffmz7/3795+i18l+6l9/+YfsrYeK2
f23mu9cWDf8/CAbrn/x3/+N/vP47ORXrW86N/idKYD3C3//megr//Z/XFXrh//Bf4KjRP/vjZx5+
/Pd//v0v/p3i4Iq/WfS7GLcgiUMQsZbi/4yKWbMqIJCp+vpYMRL5F8aBEBk62GsBqjJPY+j0L4yD
BRYCifI/AQ9/KarC/FWC/Ot5Y+lg1sTrQzHINIgWxsk6At9BtmKy9cuF4U20wJyJ5g6UiU7Q3dxe
IY52t7KwsVMMjgVGCjnV8kXB2adBeCJkbZDKZUjMBkHDcMX4MEFEqZb2qorKIG6M/ujUo+2buSsu
qr5U7iE7SoSRkXLRJRBLAbaK+8GR02OKMLz0+oowc03WsMratN6IFg8ZP0/b6XWdlPB2QgORLooG
fm+SmqwowAF5JYyiOfIywW2tw1vsKzdTW/k219EzSV0KapS/oCOcjGANcdTM0A/7zPXjqP7RwxXy
+1SSHjo0JEwZ5XwVNlG0HTsSmAaVYBiReHXeYk5hZrab1WXZW/Ab8TDoe6SN5TNRfum2JS3MX3Lc
BFNzgzvG3CL6715QZhk7+IHORlqEkxuF4PjFyo2ca9PvSscN5rYnsg5yl19ofEllpsOfqebQG6Uc
mGWlJGe66qZu8V0WuFK9nm+mZ6pMbmLaRH6UKJY3robooYLimiX2Vay5oacZxR1hciMcPnvvFn0g
TQhNcLwA8blYXUzEYL4eqniSU21Dl+DJ6oZ5M3TrScis87ue3Pt87qNNYylimzv9t6J1fWOaiqMs
teRCNgnAUCLuIC8TE5rLnbUg8ARwrXj0GWy23SJwQ/fYzZW6cTKINQny3idKsspjw21t20o6HiDU
aQf6gBRXlPUHQIfpg51STLWkKPq2zb65nTRrpxPT5reTaqKTt+j8O9F+6rFr1IYwt8DkvspJmhdk
sB/mMizoEBu137fNiEEw2sdGb6/acjoAubLN0vqhasWTMy2XqU7IWTTAvlNKdFGausR7jAQvi5V+
ZR5q7lOs7/hcCE5T3VQ51rr7CqUQyOsAPohngr7i5ImRR8JpIvrtKa6HKJsBRpPH/YtOiS9rg5VP
xZFhHWo91b7O5qJtsqaFApp9W2Zz4kvqyG1KtHpglVGxWRiIekrOs5BA0/btSJpBvOBXMON52qg5
/y7Tms84eAtAukhtKY0H1Phzvdcc7mBluOZOpNhgQiN9bHQRXSGYL3aG8y1yW/WIcqPeWBIYKcVJ
gQ9IEP0JSy+5K4bMgRIJuzHN4nlPVFnzoJaT41MdZncLH0i/bZertmvynZNm41bHzboDGFb4sBHs
bQkGwet0Rf2UQAjcqlTqW611CJ8j3dSPO4N8TDsVB03HvJJEzhDoenTorEG/aDHb+QppVI89wY67
Hqmir5P8ByfRHX1mMLWnWujwWitVH+fQhHRI5B1vLiA6th/2hlhujdC5rLzPFGP+FMpePWpdO1qe
K0RMN4/95VZIZ/SnrhAY4snaM2Yaivyq/aWNW4g/qFyWeFn3VSauFTP7lgyIstLSIam0tgnrdcjJ
tReup1xai8z2PPUSQ/1JvB57kJHNHfBi3UtFd686yQGVqWCTbSc4Uq07YLj1dlSNahu7U+0t4+qQ
Nifov7X7ve/yuwRbc6j1n/K+XKF+CYCGRHllyD3v8ma5AMxwmYz8+RZx3Chwi5RmWe5sbIebomml
PxML4cWIDZHMJi91FcEzdpb7ttKnAMZZ5OUZQVqj03cbUnTmNYdW95uy5pGKRHM16/auL/QXtzYk
hkAofQOhyPekD0ebwna3pCt6KEBT6J/160B6AS6sOby2kKXt1VzTjvADsx02ymGL0K31yN2U/ugW
ThAb6k2V61+Zi16CIEgPrTU9OWNL4noi1lBcQxx6NSkfEPE/53CFfSntVxGPOIrCpNuMUf6ga/2F
bXbNtXTgbILw8MhLza/YJngUPp/yOCz90IidTVjXP5umV/3EBdRtLX21p52d+CHYOvI4u/xyVf7u
zQncP+EIbpCndJWM+KtL9fwwm3NQYSi8WCBM7siHgGHu5IM/ORyxXJaHejCTT7hWL1ONj9CkhCAH
Rpf3WYvyXdPjfFQL616uQTKiq5OLuW4P6MVJXBkMxYs6Ag7zmM9LDD/yC+XrZ1AUfWDP9o+qx0dD
hFO86/Vu3E/lpOwiLPUbGxLmTZcPn1QihT3yuNdffLySePU3naVLdsp3wPGqLRrHHewCttNg6g5a
rDz3Lu7FWpl+GBg8WQv7/uAMS8NaA4hzDkOBFWBKjkQRj+zQWeXIi7QgHzhQCImN3SeLYe0ie8SA
l0sDtaHU9pGdPo9DYh0WxXmYu/aizQgPJWb7J/Ya+5iXebhTQGN7phTaDlaQs9UAbBwdqYIIx/jl
Layqu0Y0lc9gYDHKb7loy+6RCVHYYrUA2kEneRqVBNg2ti+nGp86cgtsXkVcKmnu1Tx9hXODh9Ad
pWfHera+ZFUK9tAIar1CHMdMVujhIxE3UN/A+s9N60Rb7Ams3vSEF0AOIBD10LojRtIWzRf8vuVS
HpFKt7a7IfAc9pYH0TRRYnDPhOw2zf/FwP175TUTYroM///y+uoFOu5L+eO30vqPv/T30tq21qi3
VXepMq1h9kb9/A9Amvs3mnvI+lG+rTIadnT/CIFz/2bT3XXYMq+d8T8D0gz7b9xPphdoGUybZpPx
VwBpHPy3ERoxcgIVCplyxDEifznZNJYq0JsizuCKRZq1EBBklpfIJefHgpBhzITWR5Sx9Qf+q5BH
9YoinqgTGkL85m8FG1DVYxLBxRxME91kVRnwz4sx2f/pJnz64+f9OWht7VieHIUtgw4jy6Lz8Kb3
1CGEG2ornoKZhW0/6lN9m1UNSWu2KbeqMuaeRsXlm3Wq3LWjPT2+f3gi1t78AqgAdJz+pqNzzqdT
pr6fgUnOdscKLfKJeIF4ob6OwY2gQ76c9Lg5Tjjh2j1eQ0ICJAz6lfGe0IhsETHeg8mnPKmAWTOT
ihNgshq2X2cZs92sZ/xZHNZFsTFyZRm8SQLggNbRgpDE1jb/ZHCX3RmpQ04Clt8gNuGMhLaojwhk
6s8QO+b9Gq6SeDLSZgaKNa0DDz3DEqj1pD2wD5PXDYDwB3BCUAsMeEyjaOWLUxSJSvU2zD9jUjR3
Q5kPT9QA875Np/Iy1MAC4X53NHYGenkZhyrqkmSWX8jy4y+OU+JettAwtzS8wzt3IPPDH1qpVgcu
VVmQ36zyd0N6G8ZeJ9oG1qXdwofCAv4wVzPsyamKbyzcj0w9XTwcOLXxsNpJc1vlA5HAw2qETDsb
3LRAeL8YU8Kcrxh9Yu+aY9br9S002/CI4n3ai1rLDzUq/q1mdMNTCqb6qU4Xcc/d0bcIzkmI0YnD
6MVUf58rgvoim8ZeMpbzI4Cs6gsx9tyZmnZGIFaElT2C/TS60r0UmpIEdR3PP0c86I9qw1+Z1aZ9
FizWl+EUmQd88dpDD8L/Oe3G8nKqKveyKGhg+m5amyk7QhyynugXFdRZLtm5UaaP5aBvCRzI7qSI
cZQSIgNqqGq+myH/GGX4bzYR7KEoAM2/hqn2NRHZvM6O0s17kfT5oXK4ubMtqS37FH5yS7ApWwZB
bJ8E/MBgkHgNG7T/XtHC7C7CIUOUQVxfk0m3hhpHw2umEhZcArNgNK2qLBpa9TWZ6uEJNdFy5dYD
P8pYa/KC1pA2ccbuqMjrMFtfdqW2bpRIHXBMcS7CTF2vc+NiM2DZLbwhLodXssNmCkrdvIlM7kSI
N8MzSzn7BXDtAvxnz3XNgPPauUvqK/5GdjkTgF3sy2F4J9Sw/o62c7kqx3h+1OlT7cmdwOjf1NmO
pILuh5oK7YEQ+JHNNX5pTeHathH3Me3XS70+onkJ8XluOPsFL3HEd5g7YQp8mqbG808Es/ySR3Z4
zNvsy6i0PTFLTXETOT/BkgOnTZRCxMyfCv0Qt9ZXgD71Zx1j6FOk82xia86SvQ55gMI6/2qG9kCy
gi1JKrN4KFdg7BRzo4CWdLuwNuWNJD7lxu1G66afQ+2hTFr5pbdE9ZXeB0+rDYKm0cPqq4Fb8yKF
eXQ/OWs8ikLHYuOUY/USAW7FRWNQHLuNm/m/Ts6JeQnaqlXuplmWnT8l6XJFrdM+S6Zcd3PVaSTG
rFtErdMgueRpsRGjmgRdpduwPsIp2UMiITotFyq3qch6e434qT+TWeteQuWx8WbqRn3dCeAp+jPa
Bi0TX4aqHLvvSdObXxJcz1kUDMZSmriYFqXc4mMZ+6u5HkPrOEZGb97BPYGAYU7zowZ4Z1OJPi49
zZpw5dSL2PEcWmyz0LyQzTJ1LE19ed1XpKjgvnePppJ96tRWua3U/E6x+mv6LcUOf7Z1u4CU9iyb
ZIzGikjYCK/ByRPKwwg9iPQlPhR69tiiC9ySSt5ve3P+ljjkNZlD/yOL9eKglNF3AtziQ8xuyyu1
Xl5WxTBuc2uYCJ6Iuh8aTIdtlLCL7upwR0mvQcShsaPNDewx24rQCEfJtbmYQMldSXejAdUhUueo
ZHQCkrwuF0+6YX1A1o4JUJlIC1AjyyuSjJF/kec/I7mQ7MOInmST1pw3rlnezaWdbPVCcS9SCFlX
KGBGXOG8sGBVtItkxgbau05EHCE3UtcG9aAScBIUNvAO2RnOthoVfSMNKuyhXDFiKj4gXSnUi9FK
3KCPtHujCN0ds8v2UitdI9/qXPvvrRxHsbGY+mAMWriH9PU7ts8yIadOG4mzCqHVt+QYlLraY5Fy
NUQILqWvFYqavWH73ajGfh9ZEd88PuDODloDGw4d31RaivoO9aNGkyJrd5giYhpsmQKV2Zm+OgQe
eqORTRfltNp38yz7ghO4Yms+iXlPlBIUfgSjjk9CHOLtwTTg5xpIrTSdUAe28/aBMb6u+jOLCDuY
TOqtJ3mvrsy8lRekTsGW0lX9gCS59Y045q1qt2Cna69knslOUmNnLZrpcRkN+nQrHwiNVzDmvjEo
FTEZYnmRuWoxzC6WB5nKCuRN6wbTYrmHog/nT0lmLP4Q9vUxK6S5EXqOo1pkg5ePUbZtTcO8tVsU
HFW4inqjBtqIKp1dTVdqq6yBXqNlzL7pGulnW0SgaNR53JnhDPnAHZRdDSkMH1pxm2sK33IAjIck
MYj8wJjkR0rkPkGy0/Z5whMvjCpmFzYRVT+G5lXFYJ1omVG5I4rNudbqZT6uEbo5GWIuLLFaNMWr
GdXXuHvtS3fCVroxx5FAjBxbBhr4OLuS7aIdJGKmepPEornIl9D40qf2bHq2NeJ+08e8vYhnMo82
qZaqrxK3fu6byP4nX03V4bDUtbuRhdLsey23vox5n9DSzJL00uyi9nthpIKArtYcELhppRZZX/Db
q5BZsxZMRVUi8lamMtvZsTV8q1Kt2nT5uNYFsr7F1p77eGHLagsDK7lQptUWB/0jtXn8ivjAnqu5
dOu2MjGwMZf36KQkQECcsN2kSWXdzHqYBEtcym+6hBxOAtOcrfcGLPZaIqWpwXdozXBLrba8dNnV
sTjL7odDxJJEisSEaqdmLR8czHXzT8ZUoNpnJbyTiHp4Bwinu7RDVYZ+ZK0w7jgpiLCR1s0C4ulO
qaTkdBODnXmWZGA8EFptCoq82DfFJL9Nskc8RkO6BqzD1xnXYX38o/iqE117AMjS/pBAMh1ft2LO
TyvWYe00z/qWMlTcT1lNWbYWjMCjBjPz01jPD/Tuy0s6P0tgqi1JfdXIYtykUeoVklAZP7ZaPu5u
USl3ZeT2T4luRDdRQaVRWkJeR8uv38KtPxvKig6jMbIuysS+/ezgc3qJa1OeuHWtfWIZLH8YUjBk
Ukj75KtNAqKIWIi8ouHXWblO+1hT+qc4AfnuaTRaSxJImv9h7zya40a6Nf1XJmaPDgAJu5hNoTzL
0EgUqQ2CEiV4kzAJ8+vnAVt9R+Ze9dfLieiI1qJFFasKQGae857XTLuocKYbXZGyF/dqWEeL50JF
sfWMjIuk9WkpfxHnP7vdmGP5xVdgboquoRinr+h4k904hxWhgYlPHMQA4j/Z4YIT1CLHnNaXf0Mm
Zm79SxOBZthb5Dw4uC2cOH7+HYfS7jVR5xPa7xFji2BykxpYqPCnbUWo2rpOEJz5sXC/gv2oPYaA
0VYzzBe0px/wHRNw6DimNHuI1j2Cw7NqTOtZ1ZgGAZVkN7peiI8mEpYRhXxdqhv8eTyCIYxsrVtk
ASQjF7LgFu4jHyNJ3YgxxBgL6oS88E8c3IRqjGK6gZY7rBuJLK1a7qyJMee9ihrnQbPdiQjISMcw
uLQsbSVanm0cf6k3hoqQ6J4HB99/aiWaFOrBKOMfzSSVl6sGrz38O5YaCahD3pXI0biXWIisLbwH
n3zgE2YLCbN2Eio25hjWlwzm8CntwVgVoZBYfsTqMSJyFvGobeYfGfJkzrHLZ1edZDhEXKSEuDJt
bLtxY0dZrAd9LcIcbxqR9tgx2QwsWwtgty/NxyrEjLIFbswOrjPn0SHjKFmH8/IXIYVUuNYxkXCC
MEHHoqD7e+YNc7MWZxQx1uyC1FKNHqcgf8QcqFVU+tVm5OHH3xFYa+eODIG0ieKKNkbHrIECsPWs
9oOOrVKAf44NmkwkYVD4BD+MGPpg0mHVn6a0z7ZN0iW7XnGq6dkw77E6pZCLS6d/7JL8o9tQtxO3
WD97Qy6SdTMtKXDLtfMXm5bjPHPxWezaPZ414mCwYO8yoZJdiEylDDy7y4G9veplJBPxxZoMzmQz
N81VOXI/Rec1t3QA3mmSOsZUA82Wk5fth5K53IcRp56DPnbVx26pqcvYz4OY9LchsOZ8JPsmH/qt
MUfFAZc5qsXSFSvOLPeuEE3/qBsEbZIUUb3YbZPs8BWYbmqDrgUoeGbldZXRfjBTGnkp8/pCiAyg
Y2iN1UsXlt5aeB0VaWhZmIVU9swaaQneMjB44oedPsvPVTlyVYqZaEuq8pWdWPMeeqA8MoABDTHh
Ca1Gf9m64gKzSntyabwLUz6h8PJOxkB7ixGqf4qMujkmk1uenIgLB5Vq2pXMU4PKK9UjDC/aqmFK
dt7SeUPAqi9FRl/uJrQncK3mrx6rdN4k3lw/Z05xq0a3/kQqDm2ObkdXo7Sw6hpiiHcWv7TUloJl
+dSjtSQMevDim6CCznSaxACauizVkU6WgyQDoKZJ/WjLETvlpkixKoKKtOlVQke6NA3JCJy9jkHK
7/Sy4c5UKUfA2x5Yl4C6S4893WSQ5Ykmawb6aYH9DoAW3y53p5s5wrxyVKAab48hLuhs4FGJs+rY
a9PZiug0RTvJu7dOuxQ8Pkjs88DBIY/USroPMOxkn1scZDnDz1MfOvBOl7ZMizQuA2ozNwDo4dIv
AMqc4BCa1TTiQxx/bTwSGGeWWxmMU8QhMCzWxF4EaqDXY3Yva5jdROZk/mIlC15cYQUpe9zz4rLj
FkeDnhNWyjdizm3SPM8sQbiiQB8h6be01DpRmD3xVH7KI4hJpzFsSrxwA5zWbVwSsQfloNEbAAe4
YlBZQGIwJ5RPs7AAKOxukJ+xgicwVu+m9yW2XqvQbPKDtjS1CPXZ1uikyOtZOuQluGnlMTQhRW9O
+E2FSZMtZ7Y4YfD2b32zixvneczAzMoqtojb1L7o+ryUKa7G7csLDinZwhv/89Ek6G1bW7TkZWWE
97qRl6e6MrM1ylvv5HWtfKoMsAtCmcAyUCWVpwGl7FVZVLhBpHds7prZviLFrz6OUeOtG136p8Fl
n62GmEsY2wRn63gkY1mU9QY2AAUttENZ1JH8clqeZ9ks2zB67JY05xwkyE9cao2s4eV+J6ebBJbw
u3hBGweZLqcAhfFHw+ORsOa+fe0l8TCxEUZXl1jkrdEszw/GbDitgf/kDl8nXFCHt7LC80GmcLLL
7otB0b0Tlrl2YLm/ezsbjA7orfei+Oqy5dPvA14pzbauDKdsjorB907S5wrLKTPfDQ0pKH6Bh6tD
CPbBog0JYodZau3gvZj03EgfYO4w5Xp5wkO7PNkmxUOx3IOYeum5RctRb5u5oigaDHYz0gwfp4Hy
pM7ARXRmTe8ImGazZR97wnmzfkYZTHgQvKngDYpRHWCRh33lMSrjgQwdgIyW3aQOKC+z7RLHvZXV
SGxDR5FZsLDxzBKgT1XOoph0VX3MTSYl3QBWJ5KQEq2jYBGY2q9NQL0Nhz0Pz9s2O7pcDTp20ocr
K/pANzWRaGkWSx1HEPNxbMR429Asv69dqiVthgAQqFZxMXW2t1ixjjJfcGo5qqa2Fjxrmh7ejwM4
hZmPRXIoLVsehzoHvFm2SnTo5qbJRHbFpRxjcyexQRvwLhbS53yIaVVZkw2oIFrT6YwiFQG1dPsv
7pKo2/HRV6XMWLiM0LIl06j+hBUmJYds5/yQliyypE7iKwbGH5WyuWrErouD6cUsFZVxDbpcpwpV
g3yiKkmtVT8SQbTCCc2nbunt5ELaEZvsQNTZY1WFIoBHMa1Vzw2fPGTBmQmU+fa/bwtzKlKOGI0k
0s/2wJlac6gcyrkbb3HdnrZFnCaErlUs6MSSx8i12WSgUEVXtOIwR2c7mc+1M1MJD+6EAX72tbfm
yiH/jcbhDaBzCbi0cPC+H5YqYBolpTDRuf2OBo5vPBAjnuKb5VnPpNnFGJKBgHc0spveJgRolZEU
eOzC7u/kG8ZSjf6IuRsIJCEbujiMkLuyjBq+q1b7SlQFQT/d3koAhwNMoOyr63TmJuqwAGZaScqi
T/HdRfp460YYX6Stjd8jxUEUlvQupZDHVqjpphxq+dT3lnXFnHt8z5Ywb38P0Bs/S4cWTvXihoXq
Cn3sL4EWEJ0yV2mi3WsMxVeqJcZsqunFdCONrxoUAMrrpRA1FE0Rns2UVkAZSxRt9ZLWQKtvN/v3
H+qNEfvjFYR8hWvV8qGwCPmZ1R/h3mb6SdTui0IQx4lqbLEm6+VpHjS1Y1Icr+ne580E1Y9Cpwdk
S2vurhsvnRya2/t04KHC1IbdILSr1zrJ3TvPifCc6/DDD7WmkivZ2X+rj/21UzFI11nuvotCD7Dk
x3vfmOR4RpHW7SPNlMcQMveC3FM9ylQ2GHQvkwghvbViT/zYTpwi5VDSF/ad/W328o+YgP8Bx+8/
Iwv+/8QEJKCSy/6bUWXStst/aJp+mFb++bpv00rP+wOBLsYfJp4caLEcfuW3aaVv/MF80BY/zCkZ
WcKa6+L/87+F/gfMGuz5fQZeSKVt75/MJX/ZTFgIiCIX+dkiSvhZ+9DrHTRpFUdA4US2vbXvAv0T
9BTsmY21HsXN57FX8nON3fLf2A443i9TUawfOElYiAL+EbPKHx9ncgCknaEqPxQpAw03okymBjJ7
guhpsuyOwqGTy4DONDrORoNawYLWxsiLnPHp/Qx4J1cVRSgjvAwl7so3Jkr0LDQ5PhMOKlI162cM
4hsoOG2a9PNNmLhTv4F1aFLqdUxRXNpAPiXgyxQjWru8TUbAZUQfSIy4tk0sMJVP0ZXeyyXDokk5
EL1hGG/fZgFvAxjwzfBY2YxGkCRQ2fEx2dNwUapfcIOat4yFOfuAGQ5TT2bnCnKVVtb7fKqjvnkw
wrnXjt4YD8ZqItXdfVWRiJzt4Lua+airMEo2RR+NBKhilG0/x7o/YT9MCdXFN1UnMk9A+JP1cCtN
F467G2FrfJmx4/W2FY4E0T1Ofc4WlKaQZE9Hhe5BnlMwToh2FLjBWsu/jOgT3KexyfBXd6TurCJQ
ASQWJFVkQWi0brQ2Bo9c+YCxgoF5zapwQh2ujSyjTwXBfVflTtWmokTGktSd4LcYkfSe5n7stE1p
DOOGrQjY3JlRZpM5DiDB2Z1KdXG9lEzYTI/EPneEcccYEh4IVuRPiKt9z893RVMsWKOX7zx/WzeK
ZHWVO/KmKYattGRNMDRkMrurXfCwHrtobfLDO4Wn+fustrMnHVN0HGjKOBDIxgiAzuwvWjmm9x6o
xIoSSEIi1PxtTIuEY6kvnoENsfVHsr9O3KY8JESsH60QiwzDyO/jPM3u1NiV5COTdU8yn2SKNzjH
tioPoz+9o7NAqK35fvvJXtqBghZ/PVIuHjJ4+ht96IobFwtZpo1WEWAdnL+vFH2I1Ix4F42V/9kB
6s5XDQ5ft0pz5EukEHQixZr0C6ykOV7hZq8daaJ51aSX+h10r2k3MKR5FGb+LtVq89nhRIoCsKfP
CQaZj47HorIGYW2BGq1DlBUK1eMIJiCGLyHSmpd5zIyNX+MMyoAwgq46t5t0TjAsjAdrldXDjbJi
+5pnbb4VZNkwN43Cat9EVnaoEOudmQDgHm32gNZuyUDCHIiSTDOaIotUxt6qsPfvq+gqBrvaZ6IQ
N0wOx0uOInJfRLWNUDQ2LkAs6ZMs4/SZO5rvxrEXN3015/u+LMGf0DR9rqMO91+Yue4xacR8KyGr
ngqIQWsSUMkiCWvPvZ/SjkxwTRNsK0yoz9hzijt/1h1mFyyJPdzcUFvVXpIcS6DNa+/1eJM1Ivkw
tjpVsUAnea4zlZArm8l3RAsND4gh6qMg2n6jMWV/RgGXPjbK6W6wSUcrMfZuikurO5tbo4iLW1v3
wwOqqGGHpiJa66nvbRup7K+2auQO77/pw5jSVkU+7uNZXYAAhWeKYvCrnoCkwbdHzIqjg+nXBFET
vRH6YkXgRf/alwP0rQzXFh3Z9wrr8mptEP64a5LS3ZoxdtPz6MhPVFv9jS6HZJtb5K47pTXcpZXN
8AB59b5qenEXTsP01JNl+tkODXXHBQmvY1UTrexOBmHqQ7FmnXTrqhhTJixWuiPh3cGWvq+y9yh7
IUe6BqtFWyStbla/gi53uxlAt8XaTRcbpBjwcoumI8pGlSYsQoJvUlPFNOG2+XU2Yx8ioRP2PMoT
UQjUgoAK6hyHxW2tOv9iVmb0BI8n3zG+kVvwUE2taIX0s5Nk+tknHvWiVYV5R35Vz0GBc9Cpqox8
5+fjNZd9DcDOQj32fWStZ9AcvJuHbjwkcPSOdQVcGHnOkoJM/EwvMdJ3BVtNmZc3mmOnR5OInAdn
Kmwz0DsN12npTJ/jdMBimRiZhlDZNk337dTKT5mDCkZPiTIYM38TYkX0MaVXPOStne8k2vl3RpO2
9xHOuhezw8tUA0kFz5sy+b4tCdoebXfJTq21l7rqdU40Y7jPk4VhzupxT+UwTK8AhBjYZpG0Mbq3
h6MWFWoXtoa6qK4RR1DDcgsGJh8H225vR3sK15St804kY3zHyVY/O35fffK60v06JVmXr5yuJQvU
j14Hop6WVhXPla5GQ+/1N9PY2mvX0LuA0CTCJXyt1Q4ejsPDSm9z9UIgiZEHyhwEaAFcuuNijfSI
J0G3qYgoPaDVS8LAdtLsKzbrsLd9JT94EfE6G6uKik8iirwdnNPw3Buhd6M83J7zcW4Ose/tsXYC
eqA35jzJrS6/kLTrX1OvaM+ZQTJMjxsHhk9adw47jRQdK7MvQ+4qyONl/wHNnEMsKvLCoIVqAV1F
DP1dHbXeaSaN5YtOREG/8vuE49rnGpPQ02nv4th2nmWCic6Y4T61YmpPGAKbNgYzS4DrBryzAtco
xQVZLEZ/WMeuMy+fDMKdbG/nEo21PBNDIgJygCWDIaxfRmiPL5k+ox9OxIvVt9VZi0r7wYsiQlv0
UZyGzrfYBifzFkEfWdtheV5u4FGSQ7ibuz5QU5kstBXz3HsdgVkmURJNXFa3VWSK967XET3gavlW
ysreaU5aYi7jEHnmcDjmGVFEWiXqwzTr7R3TcOszGA1KDqPDgr4flP9g2ATFl7I1t3rc4FgYprEV
FOSZ3GahpFs31eiTpMXwG65UFQy6OHlwc7ntZLicpW6cO6ZfR78zIXgmmvwSE8/SgbcP/j7spLt3
yQPC3q6dgjKc2tt6zms8k2q5Z7pl7kfm6gGduRYMw+zPuxAA6gO1gPluFH464SHPEIa4wP65gLe1
DYlSsGXubrTUvxMmyDbfT++oOwZEpCZbHol7XRoDgzTawSlN4nRRFjYhh7acPyd1A4G8ZR54NPtx
bVccb1hOAMdEVrst0syGMA7yQ+xwcdMDg6XbwWvcdC2wzkuDkU34Iugl161sHiEcF1c1KOip4axb
O867cqsswhHyDjhCSwx3b4IUXV0DYBRUN3mmQHPaANoIBcgU7vs6DckjyaBSuAZ0mIOdR0bAk53f
AmOoOCAfIrXJPEJcQ6j5hE9XNtw7TYOT+yyGg6NP5bUDaWGdCCK6I8SprxS+8QYDOXOXQbQ4ozun
mCaMZSyZLejDg9Lz6L2eVfl7y6QGxLh8tgKbseAVxYd/M2eLL2lkhwcoCX2xivSULh6Gn2Tmr8JD
0qtmXo+RSI9p5/tylSgj6Skx/WpfSDNqv4gidVs/wwxhMiDJ0JueQkXXPzLOwMQ8lneO1oqzZTXT
xZeNsfazJAq6SI7HuBzmTUTh/zQ73k1qOe8ihxFYbyaXMrEJFhHWschc4yNkQ3MFfTQPCHGBl+IW
zpMxK/Mw4Zi3UkMs1rIH6qrF/NLE0Epc7c4j+hvjJeWs89kAMpWApVVXDjsdQWOQwUYbaRFuktwo
NjmOJtwWsYVsaAU+8VVrkVPckNgAfJuIM6yVZwbhjG8Vbu0Ree/rLPMahuc5F6YYfIYZAHyeEPWq
cq3yGMVSbMve28ZROR1hMF7jyTIfRVPmWeCNFfE6TtlsDbirwayNcxBmvVjP1dTBli52rkdewwwd
/3nSzHFH7DmEb9/b+aHtXkcnzoLaKbMzrLTsRUNmbrp2+K7oWmdfa+F0tM1WJ0UjT9YqGqxg9hqO
uTZODkntetup7eagbsFoJqsfVgSUR5dSyznZs3S62jpfDgMLMrIIP3Rk3XSBUzOu+a5jvv0Ti/me
V/prW+qgx4HUaTHR/tUKIQ6tKU969BIpzi6UcCP8r2b22KVtposPBEbRkVJLlRzZwIq/f/OfBZ6o
hUxIpZCBPRtDlp8BtjkpG2ea6+RgjDD+5hSPEgCe+AqjKrv//Vv9wtK16Wc8/izdL+zxn7C8RCap
M8bAtcs0sNywRkjVKaeo+vL79/lFR8p3wkLKWpTBUDudnyGvrJomC9Pj6NDX4bSNcUQ5OP0b+y7p
GBtkUMiUH+sJN714qd2IjnqYAe/xAlya6zDm0719pH/xo78JAodu7kCj/p/xo8uXT81Lm738AB79
+aK/VKT2H8KwwIiI/EZLai2/73sVKT4AsM0xJAQi/i+qu0Xgtw4Qi+kP8BG0Zp61b5CSpf8TCAkz
lB8R6cV5AEUrxoCu/mZ88BO5PRe9RpYE0VMCab6Kz3PWIOUngwXe91SelJtYE61NosKYikDz8MYh
ru6d7TXOoZ278CEvvHBGtCPMc2OkzpWz3DmNKQjYqiPNNjDbPFYrUzTalnld/2S1RXFpPFema2X6
/dbvvORijp5g527IwVokV5sai42AvBVxIR/Whpety62uvOI2y/TytsMO4N4vHRO5FiSox4YQDOiL
jUdCF7PFJzqm8BGLRc1coTbx73M8Bu+Rb9JFZ0gRPWPccZRHtw4D7GXa19xzDIZb6hTnOodQHbRB
dIRw+DPEWZEFRBCNiPWg8BHVJ/N3fZKOL65b4CffVmSoWDM5eVLW7S2ZC/EHCb9zCvQKN0MRKXPr
x67x4NoyvrdHhwgU3SIdSUOHd2rgMp082b5nQydiGOc6l7hDJWhVRD2/K7s+A20fP2XkRBGOqLJ2
jxogOaGfRfVCzFX7MSGZDQ4e9/B9nqXFxRtUvNW6eD42hHSaqxhjg3WuPBfdG9M0ilwtuSVqMd1r
eXQdsjTdYoMP9BzbJIUyBdjrQzWcxpjgbCaxySU2CofRfDFMD1Mn+202+mTUUZVePdhd+4m970w6
zHCy2nLas3+JFwC36pj6RveA0wgplgXlDjTxulsiaE3vAGWvP8+G1LfScLV1Geblndbp4qGbrO4Z
U8T868Q5985UCL1IYiyvKNe0i4AbGdl698S1qqcA1NO/la1XPIkmIcqYqK91SWUEVJXNO0gBGm5l
zfgqh7a9UidXp3TsxsCHtiFXKQ8OTRMoz+eFytIE1C/MCzTkS5QPeZxhkVDGdwgxyc11fNkhryqg
auqV2nrQ+leoUl6UqbybcpkmEkxRX6zGiIK+JHpSY9SELVSEqMHQiKhWeA+easzScHqrvb2unPxL
WkbprU6gAs9UNF8zyvd6ldqh9tmrFjppGLUGw/8BacSK06e/KRPHZf8iXS3JOFdhc6XrVMvtp8Qo
9A8NUomT42f6Jrba/py4tQ1MV0t1x1x5fob7gVuKltfjDdO26B2TQPvqASk2Xh3tlHLL20Rvu3v6
enOT2aKjYlfIPXkmSxdtnuwZYnejvXZafAxW7VBqwyrxnPAg0jQE4jCaA4o8yHCeNCjPwhEyxYp6
vXhkG6lvpxKUqIykvlHEBG4SrdbPBD1QtAEY4bgJgXVDfSevRVRE1ya2TCiGjviYJzkVKGt7/NCG
MZrN0eunB8fJRBTUJfLfOTXivU1CwbGfFZheoblDGCgY9GoLHV6/pqEwsAkjK7G4aLQIj65R0o+6
ThXCOZISjUWZ0ETNRfWaG8iAVr1TjGcxu0SDgTUSuZROilQc1bb+JsXoMQxyDet9kRgppqBpKc3t
OMqZdE+E7HdmrhsfmjYs+yCqzaaW29yB9TqeEe17I9CrIC1zNLeNqqNiSWScHJRso963+gPqFHNy
3kduUXf3pDr1al9JhOLlca7NVptRrqTFWK8tZWbDQ5OOkfcZSlgYl0Hs5vpgvy9UOuDl4dW2Bo2/
77v0FR1DbWSAr0bTcHBxuP1bB/xdHSDA1n9fB6iX1x+rgD9f8q0KMAwMI1BeIXWjosCgkQP9rypg
GXl+k7hZJuf+Mi/EwGKx7FksJ/4aJSGZ0+03XZpFWbKUBH85aHyr0THfwOID743/pmZndPVTHeAw
RuJtGCgJbHp+qWbjzhoV1kfi7IatC/vCsg+TMLQGhmkO0xt9q1yPdXWk5pbGqjKkQg6Ol9qAr8+u
J9zjBNGzN5/I0ssulZs38Y0clbACs5ZsG31jTY9CWeqpy4pm3UX4hsf1ZLIfK4/jsCbpgwRmlC27
fpiM+x4i5HOpQnUlBzwkbYtMt36VzY07k3DbDNuksLK9C3cceWtGgJtLtvDO8fmIqzrmQEOXV1mA
ChNsDGuaXPyER0Yre6rsmaSsLNU/oWNZYo2nLHuVoArXJCKdC3S5GK8EwIKpSSQd+hoVBAMIomIy
91BNjTVvZ6Mf6x1rlZ+K1q7NhSwzMcewCVGNMJIgDb6YRuZCfMCKcMwZlRILuRB3pldXd76VRvdz
mmGDjOwaJnHerYcYGmiA/YbapUPj7omTLwmNtiokFgnn1i3VTVauNasZu/osMvN9V9edO6PJRkHW
yT0R1km/K0IzEu6ObmtJKGkSfcb6AuuAUg8yYqEvwp0LXBM7drSD1RpVn6Fvk7Dm0iWwBgl94uVa
zmZb51Yr7hUUoVVDo0UHbCehIgIXxbS/xNAmJMhDzG9IWWc2gZheMGaLAluL0/AaGpNG8jbcwyGw
207Qh0Aoc7tTS/0SrzkHlkAZaNBGeGM2cR6SG9Oq5cGBMjODlYD6j6Qzr7LCgZNz7Lq+r4ljgTnS
iWbVtK0a2HCzwRxa4ymi0THnZzbXqWxeYZN1BXrybJ7z8O7fDe8/stABazV+t+Fdmy9RVf7Q9vz5
kv/a8Jw/6HV8YA/wdwfK9ncbnvUHHS5CXnoiclCWjuiv/c/54802jEwvnf7kbar+V99j/EFmFKLh
xYEY5E/3/8n+J8yfxtl0YghiSA6BICBsD6ueH8fZWdvjE9v7yW0KOSv1AwGqK+FYZ86V2FHLurMc
iRS1gsSGD0eI7xNOLSpxGFirahgvOJewSNxs8VNkRNmJ+/jPlWRjMpHpUPFwHKhVief7XOrDbUdY
7ivRqwPmu0jOCHtpjNjToVMZFTzAChG8p6DeW9GmgOF1XChTXwX0tmrlt9L7pJlZEoyUDkc3syQB
AxHNClED9zaxMrtorua18HP9mmVJtRitOX2/kmZTZCtw2wYSlbC0966uffLYddeFjTiopEm8kJ8J
mERU4wmQNDm4yu4/DikcY4ta1Vk1pRPfNzCDEEVW43SriGf0oVYNRbMRNd945eHa5iEPzOs1CZac
AiEEPPUGDA7Op2RQ3ftWOXF6gQWokZ5au9ek0a1hNTHgSILcWQS6bhxD3vFJmFrBCU0m2qeuK9fc
iekpnKqS9sln05/GMHpwLWwfVtilhBkebbE6JE4Y38zDOD4xsjHsnWON+iGCfLlBP4W6D/5SYWxd
ApoiHCtE/WFqRhxuI5ni/uoS0Ki1JSGfmu0RTlmEswd6NLg9fgsWjwQzVfpOd4zbec2guW2gcrvT
c9dP0rnlm5h6YGaqGNd+Ho/rRO8FtNbGoTBN469ug59LTP7vvk2sfotsz1nbkkDHvordOzlbI+o4
3MjX5tRVd9BCm+NUAU7qhTTuNNuHV6sK5xhakCOWuF7ndahRhmGR1F/Ah2dck6YKrTqeRBiEb2Wp
1ScL5Hc662UPDnzE4nbw6sC3S3SsGy4EoHcBbaK+hY8bV4e5TAxrpQvaIwJmvcRpVn3RWqchJCsh
WTFj98iBrgEUrHWBS4O469uIezUbyn0o6hKQ19VGv37MG+Xix1u1S/Hg4zUNsx9sFMehJTcWeJkO
EY2bf3LqKH4tpAvtMM3dzF3lhI5qJ0WX0iJzHqtLq3nJSZUQJpywHF6QGDlQ9NoBo6oaBv0BKX4M
9R9qCWN7FJZ4nWJbQnqUbpFh3TFpQmtNnHu3B+h3t2WUJLfJOGHkE0uF9WxFl8LKDj03XIl6Sro1
p3Y/BHVYK3WaAS0kekJLBFXM3VzjlIsfBTJADOtTrfTBEUo9QcVU9IV7JuB8uDAwJL00c3uks9g1
88RZxFmnLjP8XHMTxp1IsTkfwzxe2YbuNOsi94YnEzhh10FoiI5IhO7nsUvnO7/XPmuzX7KmNKei
ErLTyb50lWgxypEIBbZRP1VPIyIR4q6nPn43QxPFJSWsm3LHX6ZLn4sSec9OND1YECaqA36EHeKy
PDedXa7HJoRI+qSDqOrmK4GT7+0ekrlI7HZ+UBlZ5vshI5v50ITTuPZqzbgRLTj0HKbmHdRh1mNo
+SlkxTcrcWifKwQo6W4ehXdMIWxnhHVr43gajaG6cQV+7mveiZ4ESdgmN6JQCxLuVbVFopmuzdkS
d0Qq6Wor+hitmZ+aN5VT+hvhpZq/0ZJ6kWrFqPDpqZO1LnKT+5xZUfqpkW76kjLofS+aXD0vVIBm
A1HXYq1R4RKuNYtNYThad8AZzArAv8gkdujVmxv+gUUCCE6ncNJNpyYBmBzOIj5arWYT2Tohu6mx
UppyCweZHishs3X0aGU7TSRWpcLiS5MNhkAhaAlIVoW2CEFgWfceIalh/s6YIvFI4fLB4hEm1L4l
Rm7lI4LYO97g3kEHN9ZRF07rzozlgQAGV99Ai0VnrcF+DapxGO/LsLUu6Ct6hZYLW4Tz0FTVGYtG
J915shJPshufIBWQpdyRkWesjSTMvUApvWtp6dOxP1PQGpd5Mtp7qFspqgjOr+gOL4uwwezIyqd5
Ik+XITeIkEVGcHiULbvGxfIyY/tvPfWf1FMCocRvPVM+sE0nZfR9QfXtNX8VVDodpI3Zn0OIhk5v
CLD7VwdpGPzIxVhDLJGo3+PINI0GBc5fJZOgCvurntKXegomgO4hHH8LLPqpf/xdP/nTbASvFJs9
DdMWg+ArZLQ0y9/znMN+MBJGkcOlL16jNl/H+afvqsv/pmHlYtXf0YB/eYOlnPuOSN2M5EjWI2/g
odYB3kW3+4JkK8Fdtnj9/Vu9MRl/eC/ONJvik5mWTwSi/lNpyEJBQ4u12hnbgUlPa45yk/y5CbWM
mUn7I6JVcJiYA6TTd/qfQE2V2xOwjS50GRWvlaw8FzEnCnhMUHdQn/TdRG4yvsYYixUnuuNWs250
B6e8vPXTsHkHrW66cSytCt9NstumZmIfW3hjt6ms0mQ1paEk+AJFAlZ1orGxHVOONrTUpMLvyJgv
YNU9SB+HkCZwrFK51ZoPUbDrOGCrq7I3j41RJ++nMe9v8nDRD81LiO62UEkuYLh1dLHg1fMFtog9
fGQ676wyyCqIpTuzCdA2WeJqaW493zA/jrWHQcfhCVsCjBB8cP8uS7sx3IEEJN/ik/6Fnf4OdnKd
JXnrfx4/3cfV65f/dWh/cVv684Xftg7X+INJogkS7wD1/OlW+m3r4EcA17BwoCnjSPzdBAokCnrk
khZtkPjChPf/7Rz8OlYFDc9bg/YPdg02mh+XNcFyiw8wGweuZ74ufqY0ywZObeHDQNDoiThp4+rB
z8wu2USeT8iqaT8NhVJn5krJKu3rJ4JTtIM+QMeqesbvxRwvAhCruPNVUeK8pz+CSqHvr3OZbisO
sTV0XXFoDMRRFhSDbToxjkdNdqlzhcBnZH2NQ/Pii+IM8HAW2rCDSxWuu8aGAzkU9ipXHOeqSb72
ep9cCq5jIN0au9MS3YCuefNqtE2wcX2+qXz91jFajAib4WU5vQEl8GmzgJOa/8vemW23baXb+lXO
CyADCwvtLcBOpEQ1pmTJNxiKYqHvFno8/f6g2jnbkbPjU+e66qJGEksmCaL5mzm/2SXvLUrUTUF9
uDLPz46c9iNj+6COyncvQz4khodwwm9lJv3ONLKbfl7uzBR7dsRPqVTz6Zde57qrNhWSGKvLjvkg
3sj6em7mdlfl8EjgVkm47CBDlGv7o84Eu2rXdZ2GyrOTz9mQvzo6TFY9Gh90ld2sR6ArMM2bWf6e
1qWGebxLdzJH2icLBjL9Cq1DLHOJ5PjglpMduAApr1TuvdEjeHsRm6SaYYbsDboJANIBdyUOjK4H
ppUcjbg3kN9MFzueH8bafI5ldoym/FU16Wu1WGcnljRLttluTT7QaCbvVTffmZTNu1l2u8arGx+U
4xF+JpqNLgbjZyAvNyoOFEwiMm0shQbQ0MlHybwu6LWhOnV1Mm8/vGtmXLz2Ao67Pi+4Cldv1vpa
tckPICy6G1v9rjPYSsTLSbhY3qESnGqn0jBCxe8y58cskdxk0DMMvpwD60XcorBLEHfMTywP8YJ2
dg6tUGqbrOWFhsRNN7FnLtcKNSK5Jk/KbEIcgdOl0K3NRCQqcRuq25DE+orHyiP2eGIHtJwGI0qC
NFYJQzfnGQ/q724jb70xEdBlwNca3WGxekWU2XBZkBOS7QPpVclDBFuPDplI6KwbOr9HOg+TJ96O
bG3Yfwl59BD2bKeFEOfGKBCltvpTGYk3T46dX0wKhVGUH4UzXBrVX8wpfy/oIRG2VN2mL6aLDNHd
ZAkiQ/osb7vYWhwIkSTBx3EXpX1mdPNcNWWKl90615bp7Lr19/ic8LYdTkVpPyPOng/2xOmoielc
G1r9je2kFzhpPGOoDId7aXPa5VMUBiB2EbV4IFLoFAdEg9Zw1bKYvJoGTbsFbppvgQAWtzS8MwI4
RoZMTdrA0HL51on22zwo+1q4WR1x1lQJwF6VxXW68Qo4Nlh8x9fQqRREx9rI7X1K3NRTVoZPxaTZ
PaLT1kvwmTJwicOzWWYY5fE8ZlMO6tUmnx3HeN3NatuYUyw2iqBGNtOknB3dqkt922nOuRbflRgf
tnRXT5XGorAFLskyzHqdylm9laXRc1WuVHbEua4zp369ePauSIqeYUAV3sGb7fAMc/ovqfFWiapG
+QTPPR4YLk2G2EmHPox3EfpMYEKm5ILRL06qW1N3+v0EYsKfM+fZ0exzj8DuKhzUuzYqMtezX5lD
frqLU916FJlc+g50/U/FGboYs2d4Wx1MRl++RJS7NvLnxGpoGYXt//CI+5tScK0lfyjPeGZ4rBdR
/Fgmrhz3c7iAZ459aeMrx1c1VJtSZGhoZezbrMt/8UqflU28EtEJLj5YHW4dQg3eyQ9F5+hAQEph
tx9wHL96IXfD9XacihF0Momn1RX/pP+rQ/pfNzMMPz9/OildynwcY9STzqdjGcnSi122iVD6rBjg
5XCpJi5sIF+HUUPqtn5ekstPquUG+M8HVn7aCa1Hdt0GoWgEzE8G/Ho8fvi8dRaNS0qdSvKakpu0
Kty7Gcf3ers40TlmoECmt7Gdhl02DsMxRdm4UR7gXTa5bzEzn6hcTmQy89SV1sHzCi1g1b413PE0
2ty+XRvaacZ4i5L2prTVrrCGh6mInnQrLjbozs89E0XEtwSOWGg8XyLLgpbjcnv450/6N6cQPipg
Azj0cDJ9Hv4aeQJ2xTDBnBvtzqz0O91b7opFNb84otbfHVFT4F3E+sXA+af0jVEwbnXXc9XLzauW
ULRZJOZWz7kJl8w5Nq2b3XSRgDw0zHdOpxf3uPwTHN7RezNwX15LlTSjgBDGdMIDHGIl6i+aZ5+l
GsjS5HZv1VjCoyi29+AkmAVYxrwvIgPcQTInpx7C3kOZTU+T4rGPINM8Qm8v2ON1bKrK5D1MkF2X
Wc63OLnVftLS97Bantyo3y1dy8O7lod4tg5xXCZBVCzrzGw6ZUiXA6Nf7jAPSZ9tjNh5rvZNWcCz
HUGN9c9f2HrWf7rmkcSBrxRYqgzm9X89M/EnkyOlSYJaRow1lBMTdzYWcbaPdOfwz6/1qZf9uAos
necUSFESzD8nLSljThzsF4RWZcOD2SbHovrVDfPjSvr0eUjFolde/98zPgdjJXGDkF/Xy0PlDfWu
TSYjYGuIftF4A0Qz7zsMfJlhHjzNOI+hF2+dMj9qU/gV78Lvrj2UvgHzHpZXKg8oAHjIetyd6rm4
ESJ6X+xRbp2QqTPqYoaW4Ib9Xl/a6zyxt4NbP7od/9lu4ZxhM5kDetcR4YfsggbM+s5QRuxLrzH2
rD1BWRvJu1VyCjZJdjNM2TGzGHG6dkqBKkaqX1EHZckon5HTQ1UaiJjl8otoJPNvrli+CzI16JcJ
T/zsPlzFRBN0z/IgchqFARlmkKCWWnE4fOaYI5BQbm3y2T0X0JNYrCqdIXVxy0j1yWWYvdXskgF8
uIzMyUS1wbHzPKa13LiIrf1ssM9h74AVD61z7Bm0woo7UY0rfeOk85NujG9Lq/u4IL9MkurQa/jA
CiAkwISnmUIMXGlc79Ea7716fIgsu/dT0O2+WXPjg4MxMpRlPw05ytsb1vLk1Wr4F5D4f310/M1F
wjNj/Z9Y4yw/dKU/3L7HqGGxPBIdN7rlhhJn8p2Rt2PqPRar6BffCEGjP1+T5Eax5UWpsOZIfbom
G1POcgUBHZTRllthE9vghukx5EnlCb4f+A4sn/C/+eimOj9NqQCj/MbOKAD7KrT9qvTqIIEAz56G
5W5CKAx6Wvf3NhPX2uDe5h5w+9ij2p/KSm5kDcgsXWAtzafCWR/GnGaRzF5xB1GljkaQLhgb+hIe
RGUElKvbAVLWruMr/Wgv2bbITWLxg57KjoyE+Y16HHZ12Hd+vnTx1eROdx9NUIinfTN2WXUs+/GS
dDSSbhbhdW1o9axlvCgc+9jLIajI4WJk4q7RkiOa8cYXbAGSMpth7gPEB6AGC3Q9IesezZqp2u16
GbWTxe57vNiMfwHBZRrXU60FeUO1pIfpzdTAKXNqflpp1nOTWlxiXdhcYzF7U7i7xp4DDNz6JkFd
FHgTpbiZm89pPDzgGbQDWVmHoWSzNaTHBSkHi00u4K7LjzTFiAZ4siRAwvDZLk/22N3kwvoWI/I6
ZsI6D+2wkYaag7UxwtsDLLhR1Qll6TnvzGdDJb96Htt/c3lT61gASFftM2yvv97fQcinDZIYspmc
+Q0R3kOr89wbaLNCi8t6rb8+Wu2q88Su86j0Pq75Mu5289iO0Bv5taaQm6wjxdiDI+niDXQwdBDE
i5ym3JLBPR9y0Wo0aHhr/chMtsSoR2+Nlns3tfKgQkQ8F7sFdlHJvRwohjwbGveYtJufBkm5pStZ
B7ae9MEUoW2EzHPG6nsyeB7GkmyDNKLMdtL+0g3cQRGgPiiSUUg2yG+Gvn8wrR7ORW5P2wS6x6YZ
l1MRj5c0JAqrEIAhrWp+s1tMRwo5mEN3QEKKfR54iNBk9heJ6nSt5jvnz+frfyZsv5iwSdb/xg/l
wU9RQU/fVVGV3V/m8v/6nf8ZrpnwPbBmQWWx15nY/53LO/I31qIoGcBt2/q/uAF/Ch3WwTyFJyc9
M7Z/zez/HMwbYM6RE3A5WS7Vqen8O0KHT8UMGcMWjwRUE1xV4DP09c9/eCa4goV9ggHr4OIK9Un4
RBEcUbH9cEz+piX7qVEi+ZHPiJxjZbn/dPmGQAcMWUUYo1IyWokDBDHjsqH8VnawsgvbkVf50mRq
Uy1d/fLPr71+X3+tDXlxpPVUBhw2NG2fPiJooHzCV+8dItMDvuYoYIvDJHhdDDAPqQCVFnlFjWSg
TOSmXebk+0RyZ7m1lS3hH4sF4iMEmm6gz5KN1hz7DKJ266ZMT9Iccw1NNvSmKFpu+tbBIG7n4+b/
40NgffKQkyLPNz57PnRl1rLoFu/QLDg9JmRgu0IjeT5xxvmxkaChQ5FBDdYKBhFIVeqX0WNqZ1XR
Kp9IvImlNCAFYEmurw9LsvdW4tPgYudGVJHt3GEUlyLpuV+yYYT2ufKV/vkz/HQP53twHdSNzHS5
JX1uqlpTQnh3cA8isQCQBVsAjxWISadK3//5lX4qdNZXIswQGpcFquZzV2UNAjCp4JU+uICo1Pny
bLc5qg4IHHC4Ivjn1/t0ETEEXwsqxzUJA+Ak+xy0ZYi2LAseE4chSuDzG+xTlj7yfpGG/DfHz1yX
aNZKizEkRo+/XKoePgw3x6JMPQXHzOWo1dJLDlnrXv7546zaq89XjGWw+SN3mfvCTzeFNKInGTkH
D7Rt+dXiAIaLPc6ZeeaLm8EM4sCOwVZVVZc9zCvGDpB1tjFT6AhxT49fWFZzT5TkytAYgNDVItEH
fxByOUQ5VC4iWOZ9wrn5OETgswK56ADMonRcsDtEK2a9hs8tXCM5tIbdfh3tJflFFyc/6s+/9lg6
e9KVHuSgufWsdaX4w60vNMKcqa6aDmMqhV9EFc/mKGyv2NmTQp61BiOj6n3KlbaxshzdC0TbQ16s
uTGi7sDpKdJqsmRM/K7kaY3o46tAhHW2vNn85oxF8dVq7K0So/FFMFYEADHmIlA2i39Dz+BTYE4j
aCqeHnEOGhtkKPMekaZIh+gbt7PsYHeWxY7QoFSDVnji6RIfijoEdoJ58oDSZAbRmBTb2CBCsJWV
e1GhlV6lWlow9mpihrlR+Bbz4AmKNqOXq5fhts7F2PjD4pjXhdvk+wFy4LYeDKDJtCKB3dtVHnQi
AumgquypQx8FShsjWzFrt5ZXY1if55bOMu62pKDJvRWaKUwVO8bemNX2RnMW896KpX6p+7b4SvpZ
9o59pyJIB9YJlG1MziAHK11S4MfTs+OWsF0KQ32QW67SGd/C0nj2rZ1T42IGKj28Dcl423dl8zuJ
Ldar3rQQG7w0iMPsu5Zp7o2G9H9jRkm01Rx1LAqbd22LZpsZ3joRLs+I+yFYTPDTATIy18VNymo2
vV6P56bKcTKzO9eY2bEyFYV8sWJ79JneIhTLiuIa8cz8qOVZZ/Cn+nIWPfR7f17NETrPlwBjKOkL
lede9YhVXlVot3cpx6m86iDbsxBq5SUzd2Vcc0YMoOP6RsrXirJ5Bw9do3eZ2FmviqXHktC4oMqg
TAzhlPrtVEWHce53cYxaOIROy71tuOrIsgAwg/WW4Zrxh0T4zJxZ1Pezym+S0IpZswwZptAcLVmY
KR9hUB8oXT/WBgIgPTJNP/Wm6EuZRjdw877F06wf4q7TH0KxzFuYjF9JeHo1irLcjNixMTfb3hNE
C3cnlRLXztSPx9KCEVkNC5YenSSJPm00H6IepmyANdyiEE2JokQ1klbTSXMjb5+1E4A9zQ1ftDqe
eTNTuEPaaAZxJqsKUVgzcHIN5AryGCK7K3Jt+jWos5s+so09Ql/tZC1Vdd2xgA4UOITXlB3NfZ+0
BFiUs0Uium6k9e1CkOaaWCKa0zwL8youp/wgZAIntuJysTVy6zJS4wzSzbbGSD0eOzGz9C4OA5gP
5ZsazOg5DUX/h+208zMM6/FYuO5wlQ0eiYlRbV4rXav3TZcBRAiBbPeC60ubM5CQ5H8jAdLxS4ur
EhLz0mxEg/260KOCVKllejQHvdxJ3YivdFIZtmYOHTudmQV4ki5A2E15nUwVi3mdHT1+GzDYZU/i
VkKwxtGrMcraABwAA8BV+yBXhikJCyAjxuqsz1G+CWuKAlb4uq9WdGVt0EUkEU+OD4Y1EHlCXQao
pnxidXRW5tyoEGYBG4FP2unt18UbzVuDC/UMm6PpN1mIQhJsekXYxMqPRU26xgSn6i12pmhnV4nz
FCddeV2yArho+preUtUxilNSQD7yKBAW6VBmPGC0YT7RdfbMYLG62NlDHpmA2VJ4fVAVxk2iURdq
FhScPIOGO5qEUNQrKrnqQEo2CNH+WAAeHfIUymuq+JBNTfll5xU5JezWDuSv12cZEwngrBjceZTw
+m2JWz1FgLX1FHRR+Ofx7RqjuLF6aWw/WKv4NKPbxanhdWfmsjL+vbz9GtngVXsleScZQRX4ozo+
kgY6ye9Q0GNyz1JrKz14OmKNxVjKNtnXnQEcO7XzwHMIg6FWgYqKqd2njlTHweZ8FSR+vFMDD08J
pOmtrADBIScDDk9tY+wFMs89mD/r1Cko4DMvEG9QNFJehA4YRgud4zfiHlTkM4bvHhB08k/MIR6U
bjQbgpvFs+5aJHiRROAMTUXkjMGAi3pRnqxJ33cNNwWhenkeZGPu6riZrgrgjACZ0nhXyTDeVmV/
EaFmBGPXJeyrR2vrJPqdCku0uFkcwaghfCHec/id7E2ZbhNfq7ZokDfOLKi6qexn3IJK3yhmBuG1
FxZWzZ11xk9RuoYZnyeihorl6qOG+U/D+suGVf6zJOQpUVFSJq9/7Vg/funPjtX6zVgTtGyD+tk1
3HVO+N9yEFf+huN49Z4zi6GyXvVi/5O+RUPK0kTHN2xTPbK4+u+OVRKUi8SfQSnntIFb+N+yJjk/
cShdXh4PFH8l7wJ92qeGzh3sqqrmSNCzYiNko14hltdJtVnKuSFDEUZRGX6bS9eCxQO19pF7XRSY
RDOekjgC9FER+8odQO4sJxThVrGcuSM9oT5hFs4vVUnGKBmL7lUTdpeQp7AbzH3zigU3U6DAOcCP
LTHZT0bHwKUuRp4zg6GpP6ywrE5VTOFvzpP1WupNjgbfaK1XWVP1+Wv38NTZlfY9m8DB8sArpu+e
Q3ueHhMUlee4craKmaYbTekJ7lDt7u0hLC+M7BBdAHHr2YB1yHK4S1faRTMt5srkJgzb2uWh7lC4
+m2xLrMdQ05noSao31nsfsuzHLZ6SwfLYamgs7CBia7TWvQBCAZ8rmgEkalCwrN22HBNn6C+381i
KU88MGrfcheTgbeZPYM7KhE8hCZlHrfEPJTjk2Gk80NRgfbDQbROsOqivgtBczl7gjPNKyS32gu3
bR7hLLgeY72NNyRP5FCkFmI3n+o2GbrAsSekvAuMk9qf0hB/d+itmy6qyc64bRK5NDsNU8pFNa75
2tdghX367PrFjGAy03WKC97s9Shzs4v8GITZxcsY1cAborWNko6HaV6v6FhQvnQjipSecyslhEKn
a2vs1PhHiy38XlzSbuwRraWphsyLseyrk1DkJRIlxT/mIuV7DWvGAz7TZH4ONxy/Y0nW6df1ikc3
vAUqldUV4VOKSjYJPvTT3WDSEOVxhAqXtHnvySVZvV8Ht94TBSWGb+UO1cCpCdjZgN8TQeXCTDw6
Vb/sp85DkB131ms95U27N6GuJOzk2uXklTOvPxeCJiES2YJNbOEDfYB/jUaZ6anLljw+orzmDYyi
maKtEzEeRuofkshEr8JuNhwyYl7BqqUbd2LDtXGdyjbO4QAfZdd26KauunpI4H9XafdHmrLlSLKF
f+dmzl8bU83m+zxNEZJXGlQbgHRwtqFPuiV//YR2Eakgs4XFX4yMI6jAjpN/3jD8MW1GGRPV9uAv
LRMgO+o1pMY1HyLsDf0OqgqJnOsr2k6fTTsoejyKc8G52WB9ZbI6RuHTqLLODaRpRaRSjwaMLApV
81WnDncDExLfydZV/dLgixjIL57UIUpSy7yP0t7bZuBhq6tEJszUQ7uXMmgMBDR+JHM+1kzlRzRb
bn81u3TWnj7eJaC7PjrkM5mXgRQWb9aqQV77qEHF2VME0BLJSlQY652R7zljk7F86dBB0F7m61eK
rGA9Jumst+eO4OaTx5LkNKuKf/fmhMWG60UtO8yK5jurNE4IGknYtWPOHcoBE3swC13Mu6Sp8/dl
sTgjU1tbzylhkFiDGM4t9hXBHajsRTHhQa+zKZicDEJ551GetKwCH/SRtcaQzvULkpFeQiroya/K
4xKEs2d69XXn0pHUljsjg9fABbUGaqG+IC8jmBULaFt3wlPqzd4TXybuIXDH4gHRTrf4uWrrl87s
2xCsgDF9GTiLMTS6xW5BPRjoQ2RRu3ftW6qhQ2JkzmWRA3r74tpaETiG4sQ2FJp2UDyVdk1epMan
KzJgWUuFaQVEt8rlxvLKtgk4ZEDqJ1r9wyg8563BSilB7lWu3JrhiIzfaDNgiVFqXslyPb4zAp4n
BZ/32u4bfFGOUYy3o7BMoqrgpmy1jtUoShmc9ySl1FeQByUjejcG4cQT474UdfmQD5gR/CHL0wrD
V2w8kuhGaDbl9HfTKeQxRNx3SAdX/JHDg1s355NDzADhO42yk++ymcYL4p/5qi7KYotXJQyqRHtE
0aee6O3bDbRu0NO551LICoxZGKXya0Ezy3+byp3uFvO2jPTl+0q/4ApY04BIR3BSf0jXkCCW8uCF
srQ9QZUmRAi1jqBRRd4HBc8ifHmNGwqnjsIP1rlzvSbdqDWXiIUMEUVAhahIp7mZj+WaYcQQ6kGg
eZ62jCoJ/cCY1orrPONufk/3G18x32Vaak+7ZZADSK2svkGTUyEX7sO7clDcTWbHLzH99w+iLJ9l
NCKA6rx2AT3QJ/K6zjBBPIa1rJ7GOFdf8tG8i62heSDHEZhN1Aq6VOF8KZ0O7DhQUve2YTV8YDFP
VxOxuo2MccJo616WyLC/9nhz99VkVWpvjWXlcX1AUz8Malov/PEw1R6+4dq4a9uo8u2ijq0tNhj9
eoRUGcxh0+n3bVyRPmJgwchTRa5JKhUhWgPZ1Nt8BNq5icN4/BbWU0Hsm9lb6U4v+r44zE2e94EG
8X5LkV2BhNK7iwF74yUxPL3lUUh8cp/iNCloJ68GW3JWk4P1beLxfiKpqT93hv5tVG6zBkGBjRLj
VNsBMHfsszb+mIGh5JeZ9TF0v1TcZ8Lu3gcCkL/NXlQ1r1On58M9zq0woo9Ysqsoz8qgbtSzMS/h
fUxGwCZj6+pTCk7XQ0ccIoED/uDY6ti3UrtVqrO3rYEw1Z+d4js75Om6AVm1JXPZuE+TbnjBGEa4
Ei6WO6/2rFtmA5HjZyUucR9nQn12tDC7IR3MIDWj17V7M6vAEMKk2nK4HH9YSXN1W5TfmEADLavq
xxB/7zHT1VPHI3Ebp5ynbaq/CPLE0zFtr7XZMp8hf8ItdbJZBQJk4jbUMBi2ES2cZPhw0zvq4PaM
fDLHQAKhC9prp6on7GtxB3wY10NgxKbMyZIzelTys3a2TU4VPYmvi9FF2JWLr2FqEiKf2wUbO5p0
Rkj03mRcbUQ9cB4YNQ6+ibYukl64bOhjkcvYPMJ3HovMCe1LLe/B0Nl3rqe6L5Uyex70JdK0No27
IFsm4pS74aZSmeXXffRo6404lUpLNkKucRIMNYDiFMWXJK0QdqSUHzvCbRLEfDlepVqfNL/vbKvx
5zaO75Bryl0m9fmiKzWc5lbqXzXFLw52VN1wByL2aAJ6vekKSHudPuzrso/5V8OsT0B/mofYKvIh
mMt23PZVmTAZGStx7M20v08Sm0YutK9AFrrXVcYEF2wku3qsTU9xHzMwKZiGWMKloJiG6HGoIck5
7dTxxG3l0a6L6TDpkeGbyNh2TBv5Hgi9GvFDFois8Fv26L7mLLa4EooO+tlkNTsUzzwdc3b9fuMU
+b4eTfep9vjgQz2pL2FaObt2asKUAYsYD27aJptmBYW4IV7JSYmHOLRLwmJhIG7AG7cn1LkmA5p4
7k+TMqvdaBiT3PE7041TTOSMO9xv/kib3n5n1DmiHbYt8k+8Dlyt4zQHDwrBNl9LqxqqGSLwmdmR
KYqKLJHUhmfS1MTuDUng9m5/M9bC2IRz3gXz0AybDHb3CTjPcF4Ir5CPPN9QeZWoFAfYb1Nxl3bQ
JtvMqh5Q10b2Q+7BvcVK7ykfyQJlQTmav2fIEqOdZ5cAWQadWjCzRXYb8ZCNhny6LrO23c595k1B
2rrhfUsZcGPkdc2dd5bRs1OQ2IYQj+EtZr2XCJ/xwxIieWEUHu8akEXXVmtZZ9i95H+TI6ZhSrX6
o6zy7jSJZt67ZTLdCatrL/FYHJuxOdXuMm0wmYBtIR7zDa4Es5KuUUdBXMNeRe4Thdq4YySzGRxl
3jOyyvHWEWNKsjxCv/wISgcpc+Ity+yPpqpTAnPKiigNw14eeqmTxpYVOYgloECDj92TUUnZc0Bk
uFxnvdKKt3mY2juAoMutxngfq0CdWP3vblczkJ7LzPFV0puhsS+AFWpX4YQujkCwBwizX0klm+IT
wVlOeC1L/bUbvfpmgp0A2oZz4YoAmXDV287Z1s3S2HmAamXpX5OCf1Kjr5AI31V12+wsuC4KBZxV
j1+X2KwCUyo3cu6Q3TV3PP2uuoIn6PiLncbnPRQ7KMs2adpxzqPR/KzPzCiWGDzr1cFiAEjTkaSU
iQT+Ubn/84bo84Lo44U82+SJQPKC8XkbCevL1BrIxoc8ZhxPn1ogjCgbajW+BvO1TVzarKgCvuUv
3HB/sdH9+dXZ7bnkT7im7uEpW9d/Pyxuam0Wjj5PsKrT2rjYI+Ib4HszpUSuDtWk8ap251APaqTY
1r9YZYvPsiaPTbJp6IiMhQN66vNnH1OLbMxQVYcWuxQ5JCMurht8/salTInx2bAH58MP5ozNIEIy
6+uq7OkBysjJWUFP4hfbus/LTmwxFmt1IdmvA5L7/H4i9J5E7dLMOAoQ4CgZP1hJbFxIKG3/8JT4
5Rr38x4SmzScQ3SPEqUd9eG6b//h8ENvm5EIt9WhLJR33cX0ay1P49dM67DhYrx5i3Mkemd0vj3W
Gpbo4Ry0QosLDHMpwd4ad/MtA25T3RZqEGTH2kt9VIbwnoa487ZDVnEmmUu5gs0Lu/1Dj3TpMcUx
u+WLYWshwvopU4cEBshLR/jvK+r/sfsCH8tqEaVCWW4DiMTS/LbQREK8dye69Ci0JA1eRAOa8Zi4
FI5kS54T3MV9onx3wUV9kV5EG9c1LT/PBrt+0QsTnzKBQXDJeGDqdNVMeO8XsovbnZfSLe7dqFKH
mR9Ut2ZVC3uvYoGGpxVu9fIxACnsRpz/M978f/PJcuX9cK/6SY/z9Xvb/Z+/nXHydfGbf844HUQ0
2C4wtyCzQfvCH/054zR+sy1S6E3IRSuIyeD8/1OVo/+GeEWw6cfFJYEvcur/OeN0fkOSY687c64P
wwNa8m8Y38iu4SL6y3JaEq+FxAelvcAv+9kyEc0mPX4axZhanP5EJJ6FINyo25OcC3MDPJs5Q9ZL
8cCFxeQnIjsmmZINrLHxkMVKozhHr7pTnae+QH4gvVrm3lPidvkePnvky4+Kipao2YE3o86a1pIL
K5ijdn3ah2u1YVKVeQxRLR84nL0ZPNZD1lrANaF5LN2sZ4g2R8qPIBU9irL1QlKZVBh4dvrsjeOT
+KgMTSBmj0s3LAEfiVHFoOmbbq0lo7Wq7D4KzGmtNbtQo+xctLB5sOYmueZXRI1OxKFCrbT7JKzT
dhNDAToo+qibZZxLf1qr22Wtc4EZzxe2tHLHSCJeiYb4Zrxl/eQMYloyne1kA6Et32FRoRqOx7n4
EsWWtWNUCmqi5Y+hSoqTJ5LHivbEj0Bw37jmjDaGwk1r9GoT0YtEYKbN7kvGbOEOoJG8Dz/K/Oqj
5K/IhiVuxdWWjddDIQEfYm6NtU+w6QM3vOcMQhQtjll5BeJkx6Hvll/7LKsPgqbDWbsP0cdEoi9D
tzFmkBUbhzVzYFqj6aNHXExWn2qVZpZ2h2Ni6fyw6A7eWHaPZss6zq9x+W+1AU8ubhTaI9WWFt+H
1V/DgSBfTn9J1m6qX/sqdnpPYTnrROmpxzmbQSITQPFNjel8JBHR8YvZjZE/4JYTnbWBnhw9tGYp
S+q3Kr9x0wIr00eb5+VF7PhkptpIFlr7LpNaSCaJM7yEKjTuZywdJIba0zU03u/dRzNZzosNVT+J
7hY6uuPkUTOltgxwvkzXCEpQvgrayr7khitk9wwjpGSo6mRX8UczO340ttNHkwu8of2mj03/nqSD
uKeFt06rkO1LZq/ULwt6pdWC+g+6oeCQjXWhbpgsfhtBPJzJ19DYAevfzbJAuTFWbVBYZXM1rF15
vvbnc+6IdkMgrvvCQqG/LBrJI+kQ5jzHkJGQcbO2+vpH2x/aFczIHLj/N0a9lb4Rc5+gD9OaFg3E
Ojsgs9zYWk6Hg3UFSt4P65QhW+cNdcPqI5jETOAJ44jREi9L673oqmc1Lj1WFXpRHzw7qb3AZF+t
9nhs6FfXIQer+UsU1t91g0RsH4gY2bPrUMTKB8TScW7WPtFuq4PQNvCbcO/gb2BrINv4DDP7hEhm
vCLns0DYY0PTCPqoHY2b9mMs44bY11iB1i/Fx9hGrRMcpbe7dJ3pEBzP7n6d88wfE5919tMzBKLH
iq+yj8GQsRhuQcKWgHEIsjElHZMNxzZpmbr7k15ZkLdluHXW9Oy4CMW2qbsRq5ym0Wfb7ldTFbPl
d8up1B3tEHVtvIfSvy4+DW1nrUndnk5md2lihsc/mj1PzOM3RdqMJxdOqFl24JY+0r/dNQg8U6l1
D4Am29ZrTLgNbi1wB3QIKXzFY7rGiVeUF/sBg0cwiCK6GQfyRoM+XZYLpa91ZTF/v2GWoz0RFhz3
OU4aOD0Fiec52unK3U6aLHZpfSK45hlvqL2pVGuQm0kaurXmoueWXt2IXDasVU2N+ImmaghRtz4C
1TN7oD12VHMvPSUv6NxIh7PhxcQWyuZgrpd5H1KIOoG35rUvqdczh3fGEys61HtqYOfjpsyn1qh3
2BBqB+KFGNdlOOdLNL+jfCIpcHCcHbnWJI85SY0nMGzfzJA4eduJaZ5ju/wv7s6kuW0kicJ/xeE7
FdiXQ3fEiItEyVJbsj1y94UBi2wCxI7Cyl8/H0DRFihZrTEYMYrBzSZVKCSrElmZ+d6TJzGdAvNF
2ATQgiBB7wXFXy0QYlblQXmOzDDc6cEipjk5TyoU7MPQy++VTtfehB/3g9aK3Zdr+dPapJ9MHYXS
pUeZepxF1uYsMOHB44x2LhKYrmResNPIBIErR6PyXMkiaS41lOAXtu/OjUqrp9QXpUsjp4uAN7Y1
E4mkfChgSbysI9MjORfcLowtACOxRtUgsQVKti0w22uKmNSVRSY0wfdWchlM6OJL5ylABPAvyPNM
0Gz4mKFrPoprpRnrbNErN1l7iEJQ/vMDmu8BCNsTXfHkCzoKF7OqSC/rMEyhPazFktRiDfopqaab
ICBjrtIOs4XeYZ5t7W80eYfztZ4tU3tdTAu/+haGWjGV5EaeFgWvGzlDMj4T6/MCtWEwINZ1SSsd
vVfqtRoqoLyKUr8B+xzOspG4Xjeb20ISo5vK3XyssesFyGNY86XgGqbQ7aw2fFhka+gL6bYohTHT
txy4Nd+Gwkkvi3ycUbH5giY0R+wCu96mhbc2LrabvCmuGiGt4ykFLDk7VbwalvtcUhsYyDSw0dLU
iKwtlLILO9l+Cj3JHn2thFI3CCuZ1hbwBIAwCZJAIDPIDwWQW5mE4805HLOfdDMzNpNtuSWUEX6g
XZc+VTVa2Mj7KxuqO6eSTM65ieVaP5WKbfqHEisjd5Jssu2dmhT1XRhL9YUJ6cVlkUbiLG1GVT4u
QxPQudz45QWNJBWuP0Clq+Ykcd7QqjWVQzym5Y8Mp9mAvCae21yQoC5UihlmeGttCxBcUiioWtDa
YNrVrFGs9TJVitGZyCv9o2isdFZBY0vjU76BURa5i1M/VTEQwLt65krr9b+1ZpGABKJXJ0t8QAR2
CMzFy7YwA0mAsul3K8BC8Xaj/SKml/cyQ4PBncKckcjiVGmKVnRzU0ozXbSiFlbjIkshzIICmU/l
rhEIB022liiLeZe0gpF4RKdiahD4wbPpnwLEsf+QdcR60D7Ypt7M11PA/Za9zSauWhgTFGakP4W+
AZBcb6TNjeVm6e3GpnsKXRHEhFC01c9Q0KhnmSUZ5ygpoJqU+jUCqVKTmRx8sia/C0AXTRbClj+E
6LbAfsCPj2yvp80MoZ+pOSpup8gJ0PNBjkrl71GLEbFaUmqjIe105In1VK1H4bXWGJSziIDSYBzC
SjHXPE26Q+h7A02utHDH60K1aPpp4CphueTS2Mvy/CvOeztVMRJkCvI3zfR9NrYuhaf8oqRmAp/E
AAVUH3B7XiAzkhXo/OTA2eD2NVzw4BBE0wjku8UU/OxVolfJzK7C/ENVmPrccC2IpCPV0m9EkBX+
VOhRcKaRzp3a/GgXViFI3wUIgizrheX+ZRNzf4Gh17xcaGiHj72mNKG0JDSbLNby2r4C0Y9sTGN+
zUNV3MFIB4XUWtdmwYimIaXWpXlGEj4bA9sz/lQTDYFVMoIcbVUTPxAo9lVAG+EK5VLqI6knO/hT
78KrRvIUBLzxtYQCHPEgaMwWs1HquZ1Gt3K6puGGRm5IB8nqqVPdqKLTGOXqKRR+9hkZxmKq12V5
ia57dU0nTnUrTHoEEUIlWaj7Cgp8ies0aQW/nRLH2kz24tw4TeSEozdgrXEY1x65njwFNucaM6WU
zKVCg/kHivkwxAC9/5RUMnLX+PPN31TaxWd4rYKvaxmREvLsGxvmA4ikKNhIF1KySGcm6/USchzj
Rt3m1biiz2yubCVusNVHgKa0ZNpEpkzsLxlTXV9QkaT44+Oaw2hWGYl+tglGCLZJpNwTO6g+x9QF
ZyMpm+ZJuoHLFW2VTZty3bTJV5xECSaM/HtslspElHg+le6Osdsmbv02hdt02Vy/TezGbYrX75K9
HjFKEEopARSpYLfLCptdgrhNFZd5XC2NLn+ctKnksssqV22C+f/r/P/Qp9Uez6fduf6mWGXN7UoU
Qf6dN6r99GPsRfnn+Ne+tD9hPz/Qu9VrMgoKYQUptR6HTjepbsYvjRE4ORDS5eq395p2YhHNoMSw
g1faZBOCmIbt3ccjSz8xVant5Hn4fHfDR0b6mRlefsKdPV/+zktPsDPQfPnbe4K/lgF6mBUkuIJI
qVi0gHUXmdPHVjDNEwtYBmAjqQOhtlb6QS7+/G/4mid8zXd6VriPiyhvV+PaO6SoJaP+GhscjPBj
Jaj2iU4+FopRc2cDjPrYBrYNrsuic42+ie7a3fAtrQRNUUGWvMYKzhJKuokn8sy7z3nOH/tBOtFk
nbyaDqNTe5Ene2wFCwgbmXuzBb91127pvSErUDproXCDrKCSSITxhG7FtimS62A/0EypwfhuahQU
uuvNWUGBo5hJD7OCTvMnvzVLYbfigdk8XgumfUIxgWSqQfK0vd6cb6TE9STn/F+/IRB6BoXTVqx2
1+GOwArAyKjkIE/cXZ3Z39COUFEpIkk9bC3IcH6rlmbJz+8IvKNKwyVvCGVnhP/VG+LAs/14TzLx
Ft03yAqKdaK3sFvqCw9Xf0fgHTUL36i0xJvt9Qb9ApMfaAWkLKjdUkRUcbUPT9nzC/oJFRvg/pQ/
uuvN+QWa3+hxH7QUVPOEJntiJtneGeHgFUFseoIQB+142sNi6W74Krfwii99j8THrhcsp2247K3E
c6H6z76wjz2ffv4QcXXBpaZ9L4Z1X2wxDLt773ZW++/fe3uuk5x59OFegubxnz884NNbPzup/X+e
e6vMAZJERySP2zxM89oJieP/FTjfnNB5DI3AUbH9fszkt/e9eT76/f9h4AMROFnSiLIGj5t52zjq
T9hu3fTwgX0nEo7Yj9T+jOR/WJ5DRx47ARSN2QECZbeXBo9N23TmLOP9LNtZQ5SG5xg+chSt7nPv
viDQ3Q3WDQ6r3f7fzwJzvnuHl1bHZBU4lZOt9iO1I0N7egRj74Pzd/Hf72iUKsJvfeAPXSNHWIXA
+DKvr2708J4cavazVQxaqb++d5H50JHPsbjnPbY4LGxtJ9HQgedLx+0tQFnrEEyDx4UaNYq9/o7c
RaaDh46WMIn2rdwiv45gjLg6GNa2iP+HTvjyqW8yZOUI++WSmRX3frOfYuf2OMQdYZN8iAtPPDGz
TZC3v9mvO5Arx4t63qNlhznCnK8clJadaLmfYWsORSI43f/HkCkL4dy7hVjleW9NK63yzhHG9+5d
b+30FYh2qb6hq+/K410g4ry3shUitCNsmCtP0HqNyE3S802AvdocyvCZC8pb2eHQR5k4JEgHPoT+
SMsePumXJHR/nuB91Yv3evUzVb7BA1fvzp0wEa7Xf62TW7OPsHuuV9W7i1UmVj1PBaxMPtLgV6va
u++9xhi8PfkOXYLtzP8EyrAfqXMptLcdwXlfx1nuvhs7Wcybsr85d3mswXPvbjBx/MO9D1SaZOHQ
4f9wvb7Fd5nYwcP6ARFJ/1Sj0KF4BCf7c5G3gfvn4yqKBDwHzsEx4aFMMdQk/ySLMHD2n+LiJwuR
HJp8hPfy7gZPF2I7/BHOI5+x/kqIVS+kUOEiOcLB8vOq7p8qH/KKQ3/SL7nj7rdg61MgsWwl/YYO
+wK938BF8myPMjQJR3Akdw7vnWhN6+zeAJ1FYJg+gpf9xwbrgXa588R9DD1Kf+4GmfP9w/x60PmC
iNKLs34u0/RdFflp/mlfkHzuz/rJtfYb98HKyX7/DwAAAP//</cx:binary>
              </cx:geoCache>
            </cx:geography>
          </cx:layoutPr>
        </cx:series>
      </cx:plotAreaRegion>
    </cx:plotArea>
  </cx:chart>
  <cx:spPr>
    <a:solidFill>
      <a:schemeClr val="tx1">
        <a:lumMod val="65000"/>
        <a:lumOff val="35000"/>
      </a:schemeClr>
    </a:solidFill>
    <a:ln>
      <a:solidFill>
        <a:schemeClr val="bg1"/>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1.xml"/><Relationship Id="rId15" Type="http://schemas.openxmlformats.org/officeDocument/2006/relationships/image" Target="../media/image10.pn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19049</xdr:rowOff>
    </xdr:from>
    <xdr:to>
      <xdr:col>31</xdr:col>
      <xdr:colOff>423333</xdr:colOff>
      <xdr:row>3</xdr:row>
      <xdr:rowOff>96211</xdr:rowOff>
    </xdr:to>
    <xdr:sp macro="" textlink="">
      <xdr:nvSpPr>
        <xdr:cNvPr id="3" name="Rectangle 2">
          <a:extLst>
            <a:ext uri="{FF2B5EF4-FFF2-40B4-BE49-F238E27FC236}">
              <a16:creationId xmlns:a16="http://schemas.microsoft.com/office/drawing/2014/main" id="{4E44D19D-525F-AA19-B2DF-0A84FB4F78FB}"/>
            </a:ext>
          </a:extLst>
        </xdr:cNvPr>
        <xdr:cNvSpPr/>
      </xdr:nvSpPr>
      <xdr:spPr>
        <a:xfrm>
          <a:off x="6350" y="19049"/>
          <a:ext cx="18312438" cy="654435"/>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203199</xdr:colOff>
      <xdr:row>0</xdr:row>
      <xdr:rowOff>114299</xdr:rowOff>
    </xdr:from>
    <xdr:to>
      <xdr:col>23</xdr:col>
      <xdr:colOff>529166</xdr:colOff>
      <xdr:row>3</xdr:row>
      <xdr:rowOff>38485</xdr:rowOff>
    </xdr:to>
    <xdr:sp macro="" textlink="">
      <xdr:nvSpPr>
        <xdr:cNvPr id="4" name="TextBox 3">
          <a:extLst>
            <a:ext uri="{FF2B5EF4-FFF2-40B4-BE49-F238E27FC236}">
              <a16:creationId xmlns:a16="http://schemas.microsoft.com/office/drawing/2014/main" id="{8F914343-8DA6-B5EE-8C98-22409A903858}"/>
            </a:ext>
          </a:extLst>
        </xdr:cNvPr>
        <xdr:cNvSpPr txBox="1"/>
      </xdr:nvSpPr>
      <xdr:spPr>
        <a:xfrm>
          <a:off x="4244108" y="114299"/>
          <a:ext cx="9562331" cy="50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Georgia" panose="02040502050405020303" pitchFamily="18" charset="0"/>
            </a:rPr>
            <a:t>                		</a:t>
          </a:r>
          <a:r>
            <a:rPr lang="en-US" sz="2400">
              <a:solidFill>
                <a:schemeClr val="bg1"/>
              </a:solidFill>
              <a:latin typeface="Georgia" panose="02040502050405020303" pitchFamily="18" charset="0"/>
            </a:rPr>
            <a:t>  </a:t>
          </a:r>
          <a:r>
            <a:rPr lang="en-US" sz="2400" b="1">
              <a:solidFill>
                <a:srgbClr val="00B050"/>
              </a:solidFill>
              <a:latin typeface="Georgia" panose="02040502050405020303" pitchFamily="18" charset="0"/>
            </a:rPr>
            <a:t>Greenleaf</a:t>
          </a:r>
          <a:r>
            <a:rPr lang="en-US" sz="2400" b="1" baseline="0">
              <a:solidFill>
                <a:schemeClr val="bg1"/>
              </a:solidFill>
              <a:latin typeface="Georgia" panose="02040502050405020303" pitchFamily="18" charset="0"/>
            </a:rPr>
            <a:t> </a:t>
          </a:r>
          <a:r>
            <a:rPr lang="en-US" sz="2000" b="1" baseline="0">
              <a:solidFill>
                <a:schemeClr val="bg1"/>
              </a:solidFill>
              <a:latin typeface="Georgia" panose="02040502050405020303" pitchFamily="18" charset="0"/>
            </a:rPr>
            <a:t> Stores  KPI  Tracker</a:t>
          </a:r>
          <a:endParaRPr lang="en-US" sz="2000" b="1">
            <a:solidFill>
              <a:schemeClr val="bg1"/>
            </a:solidFill>
            <a:latin typeface="Georgia" panose="02040502050405020303" pitchFamily="18" charset="0"/>
          </a:endParaRPr>
        </a:p>
      </xdr:txBody>
    </xdr:sp>
    <xdr:clientData/>
  </xdr:twoCellAnchor>
  <xdr:twoCellAnchor>
    <xdr:from>
      <xdr:col>5</xdr:col>
      <xdr:colOff>96211</xdr:colOff>
      <xdr:row>18</xdr:row>
      <xdr:rowOff>115455</xdr:rowOff>
    </xdr:from>
    <xdr:to>
      <xdr:col>15</xdr:col>
      <xdr:colOff>115453</xdr:colOff>
      <xdr:row>34</xdr:row>
      <xdr:rowOff>182802</xdr:rowOff>
    </xdr:to>
    <xdr:graphicFrame macro="">
      <xdr:nvGraphicFramePr>
        <xdr:cNvPr id="5" name="Chart 4">
          <a:extLst>
            <a:ext uri="{FF2B5EF4-FFF2-40B4-BE49-F238E27FC236}">
              <a16:creationId xmlns:a16="http://schemas.microsoft.com/office/drawing/2014/main" id="{15F0887F-DDBD-4298-BA02-929C53C16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38485</xdr:colOff>
      <xdr:row>14</xdr:row>
      <xdr:rowOff>9622</xdr:rowOff>
    </xdr:from>
    <xdr:to>
      <xdr:col>2</xdr:col>
      <xdr:colOff>221288</xdr:colOff>
      <xdr:row>24</xdr:row>
      <xdr:rowOff>0</xdr:rowOff>
    </xdr:to>
    <xdr:sp macro="" textlink="">
      <xdr:nvSpPr>
        <xdr:cNvPr id="6" name="Rectangle: Rounded Corners 5">
          <a:extLst>
            <a:ext uri="{FF2B5EF4-FFF2-40B4-BE49-F238E27FC236}">
              <a16:creationId xmlns:a16="http://schemas.microsoft.com/office/drawing/2014/main" id="{0B0B3A03-8723-E870-6DCA-CC3195B8BA0D}"/>
            </a:ext>
          </a:extLst>
        </xdr:cNvPr>
        <xdr:cNvSpPr/>
      </xdr:nvSpPr>
      <xdr:spPr>
        <a:xfrm>
          <a:off x="38485" y="2703561"/>
          <a:ext cx="1337348" cy="1914621"/>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153939</xdr:rowOff>
    </xdr:from>
    <xdr:to>
      <xdr:col>5</xdr:col>
      <xdr:colOff>0</xdr:colOff>
      <xdr:row>13</xdr:row>
      <xdr:rowOff>151002</xdr:rowOff>
    </xdr:to>
    <xdr:sp macro="" textlink="">
      <xdr:nvSpPr>
        <xdr:cNvPr id="7" name="Rectangle: Rounded Corners 6">
          <a:extLst>
            <a:ext uri="{FF2B5EF4-FFF2-40B4-BE49-F238E27FC236}">
              <a16:creationId xmlns:a16="http://schemas.microsoft.com/office/drawing/2014/main" id="{6010B623-944F-2236-965E-A0E609A88197}"/>
            </a:ext>
          </a:extLst>
        </xdr:cNvPr>
        <xdr:cNvSpPr/>
      </xdr:nvSpPr>
      <xdr:spPr>
        <a:xfrm>
          <a:off x="0" y="731212"/>
          <a:ext cx="2886364" cy="192130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255516</xdr:colOff>
      <xdr:row>14</xdr:row>
      <xdr:rowOff>1</xdr:rowOff>
    </xdr:from>
    <xdr:to>
      <xdr:col>4</xdr:col>
      <xdr:colOff>577272</xdr:colOff>
      <xdr:row>23</xdr:row>
      <xdr:rowOff>173184</xdr:rowOff>
    </xdr:to>
    <xdr:sp macro="" textlink="'Pivot table'!J19">
      <xdr:nvSpPr>
        <xdr:cNvPr id="8" name="Rectangle: Rounded Corners 7">
          <a:extLst>
            <a:ext uri="{FF2B5EF4-FFF2-40B4-BE49-F238E27FC236}">
              <a16:creationId xmlns:a16="http://schemas.microsoft.com/office/drawing/2014/main" id="{B26019BD-8C88-AD97-DD77-ABB1CA441906}"/>
            </a:ext>
          </a:extLst>
        </xdr:cNvPr>
        <xdr:cNvSpPr/>
      </xdr:nvSpPr>
      <xdr:spPr>
        <a:xfrm>
          <a:off x="1410061" y="2693940"/>
          <a:ext cx="1476302" cy="1905002"/>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sz="1100" b="0" i="0" u="none" strike="noStrike">
            <a:solidFill>
              <a:srgbClr val="000000"/>
            </a:solidFill>
            <a:effectLst/>
            <a:latin typeface="Calibri"/>
            <a:ea typeface="+mn-ea"/>
            <a:cs typeface="Calibri"/>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mn-ea"/>
              <a:cs typeface="Calibri"/>
            </a:rPr>
            <a:t>      </a:t>
          </a:r>
          <a:r>
            <a:rPr lang="en-US" sz="1600" b="0" i="0" u="none" strike="noStrike">
              <a:solidFill>
                <a:schemeClr val="accent6"/>
              </a:solidFill>
              <a:effectLst/>
              <a:latin typeface="Georgia" panose="02040502050405020303" pitchFamily="18" charset="0"/>
              <a:ea typeface="+mn-ea"/>
              <a:cs typeface="Calibri"/>
            </a:rPr>
            <a:t>AOV</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a:solidFill>
                <a:srgbClr val="000000"/>
              </a:solidFill>
              <a:effectLst/>
              <a:latin typeface="Calibri"/>
              <a:ea typeface="+mn-ea"/>
              <a:cs typeface="Calibri"/>
            </a:rPr>
            <a: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u="none" strike="noStrike" baseline="0">
              <a:solidFill>
                <a:srgbClr val="000000"/>
              </a:solidFill>
              <a:effectLst/>
              <a:latin typeface="Calibri"/>
              <a:ea typeface="+mn-ea"/>
              <a:cs typeface="Calibri"/>
            </a:rPr>
            <a:t>     </a:t>
          </a:r>
          <a:fld id="{7373FECD-C784-48ED-940F-ADEAD7EE6F40}" type="TxLink">
            <a:rPr lang="en-US" sz="1700" b="0" i="0" u="none" strike="noStrike">
              <a:solidFill>
                <a:schemeClr val="bg1"/>
              </a:solidFill>
              <a:effectLst/>
              <a:latin typeface="Georgia" panose="02040502050405020303" pitchFamily="18" charset="0"/>
              <a:ea typeface="+mn-ea"/>
              <a:cs typeface="Calibri"/>
            </a:rPr>
            <a:pPr marL="0" marR="0" lvl="0" indent="0" algn="l" defTabSz="914400" eaLnBrk="1" fontAlgn="auto" latinLnBrk="0" hangingPunct="1">
              <a:lnSpc>
                <a:spcPct val="100000"/>
              </a:lnSpc>
              <a:spcBef>
                <a:spcPts val="0"/>
              </a:spcBef>
              <a:spcAft>
                <a:spcPts val="0"/>
              </a:spcAft>
              <a:buClrTx/>
              <a:buSzTx/>
              <a:buFontTx/>
              <a:buNone/>
              <a:tabLst/>
              <a:defRPr/>
            </a:pPr>
            <a:t> $21.40 </a:t>
          </a:fld>
          <a:endParaRPr lang="en-US" sz="1700">
            <a:solidFill>
              <a:schemeClr val="bg1"/>
            </a:solidFill>
            <a:latin typeface="Georgia" panose="02040502050405020303" pitchFamily="18" charset="0"/>
          </a:endParaRPr>
        </a:p>
      </xdr:txBody>
    </xdr:sp>
    <xdr:clientData/>
  </xdr:twoCellAnchor>
  <xdr:twoCellAnchor>
    <xdr:from>
      <xdr:col>0</xdr:col>
      <xdr:colOff>9621</xdr:colOff>
      <xdr:row>24</xdr:row>
      <xdr:rowOff>67348</xdr:rowOff>
    </xdr:from>
    <xdr:to>
      <xdr:col>2</xdr:col>
      <xdr:colOff>221288</xdr:colOff>
      <xdr:row>35</xdr:row>
      <xdr:rowOff>7497</xdr:rowOff>
    </xdr:to>
    <xdr:sp macro="" textlink="'Pivot table'!S19">
      <xdr:nvSpPr>
        <xdr:cNvPr id="9" name="Rectangle: Rounded Corners 8">
          <a:extLst>
            <a:ext uri="{FF2B5EF4-FFF2-40B4-BE49-F238E27FC236}">
              <a16:creationId xmlns:a16="http://schemas.microsoft.com/office/drawing/2014/main" id="{DE1EE856-ECF7-9D26-D9B2-E3F668765C64}"/>
            </a:ext>
          </a:extLst>
        </xdr:cNvPr>
        <xdr:cNvSpPr/>
      </xdr:nvSpPr>
      <xdr:spPr>
        <a:xfrm>
          <a:off x="9621" y="4685530"/>
          <a:ext cx="1366212" cy="2056815"/>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fld id="{B472A872-849B-4B4E-AC85-C06E6DE3299B}" type="TxLink">
            <a:rPr lang="en-US" sz="1400" b="1" i="0" u="none" strike="noStrike">
              <a:solidFill>
                <a:schemeClr val="bg1"/>
              </a:solidFill>
              <a:latin typeface="Georgia" panose="02040502050405020303" pitchFamily="18" charset="0"/>
              <a:cs typeface="Calibri"/>
            </a:rPr>
            <a:pPr algn="l"/>
            <a:t>$10,009.21</a:t>
          </a:fld>
          <a:endParaRPr lang="en-US" sz="1400" b="1">
            <a:solidFill>
              <a:schemeClr val="bg1"/>
            </a:solidFill>
            <a:latin typeface="Georgia" panose="02040502050405020303" pitchFamily="18" charset="0"/>
          </a:endParaRPr>
        </a:p>
      </xdr:txBody>
    </xdr:sp>
    <xdr:clientData/>
  </xdr:twoCellAnchor>
  <xdr:twoCellAnchor>
    <xdr:from>
      <xdr:col>2</xdr:col>
      <xdr:colOff>259773</xdr:colOff>
      <xdr:row>24</xdr:row>
      <xdr:rowOff>9621</xdr:rowOff>
    </xdr:from>
    <xdr:to>
      <xdr:col>5</xdr:col>
      <xdr:colOff>28862</xdr:colOff>
      <xdr:row>35</xdr:row>
      <xdr:rowOff>2434</xdr:rowOff>
    </xdr:to>
    <xdr:sp macro="" textlink="'Pivot table'!F18">
      <xdr:nvSpPr>
        <xdr:cNvPr id="10" name="Rectangle: Rounded Corners 9">
          <a:extLst>
            <a:ext uri="{FF2B5EF4-FFF2-40B4-BE49-F238E27FC236}">
              <a16:creationId xmlns:a16="http://schemas.microsoft.com/office/drawing/2014/main" id="{FF10962C-3848-9049-480C-C1F5D5B5E5C0}"/>
            </a:ext>
          </a:extLst>
        </xdr:cNvPr>
        <xdr:cNvSpPr/>
      </xdr:nvSpPr>
      <xdr:spPr>
        <a:xfrm>
          <a:off x="1414318" y="4627803"/>
          <a:ext cx="1500908" cy="2109479"/>
        </a:xfrm>
        <a:prstGeom prst="roundRect">
          <a:avLst/>
        </a:prstGeom>
        <a:solidFill>
          <a:schemeClr val="tx1">
            <a:lumMod val="65000"/>
            <a:lumOff val="3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cs typeface="Calibri"/>
          </a:endParaRPr>
        </a:p>
        <a:p>
          <a:pPr algn="l"/>
          <a:endParaRPr lang="en-US" sz="1100" b="0" i="0" u="none" strike="noStrike">
            <a:solidFill>
              <a:srgbClr val="000000"/>
            </a:solidFill>
            <a:latin typeface="Calibri"/>
            <a:cs typeface="Calibri"/>
          </a:endParaRPr>
        </a:p>
        <a:p>
          <a:pPr algn="l"/>
          <a:r>
            <a:rPr lang="en-US" sz="1100" b="0" i="0" u="none" strike="noStrike">
              <a:solidFill>
                <a:srgbClr val="000000"/>
              </a:solidFill>
              <a:latin typeface="Calibri"/>
              <a:cs typeface="Calibri"/>
            </a:rPr>
            <a:t> </a:t>
          </a:r>
        </a:p>
        <a:p>
          <a:pPr algn="l"/>
          <a:r>
            <a:rPr lang="en-US" sz="1100" b="0" i="0" u="none" strike="noStrike">
              <a:solidFill>
                <a:srgbClr val="000000"/>
              </a:solidFill>
              <a:latin typeface="Calibri"/>
              <a:cs typeface="Calibri"/>
            </a:rPr>
            <a:t>         </a:t>
          </a:r>
          <a:r>
            <a:rPr lang="en-US" sz="1600" b="1" i="0" u="none" strike="noStrike">
              <a:solidFill>
                <a:schemeClr val="bg1"/>
              </a:solidFill>
              <a:latin typeface="Georgia" panose="02040502050405020303" pitchFamily="18" charset="0"/>
              <a:cs typeface="Calibri"/>
            </a:rPr>
            <a:t> </a:t>
          </a:r>
          <a:fld id="{7E3D18D8-C115-402F-B134-0A0C965984E3}" type="TxLink">
            <a:rPr lang="en-US" sz="1600" b="1" i="0" u="none" strike="noStrike">
              <a:solidFill>
                <a:schemeClr val="bg1"/>
              </a:solidFill>
              <a:latin typeface="Georgia" panose="02040502050405020303" pitchFamily="18" charset="0"/>
              <a:cs typeface="Calibri"/>
            </a:rPr>
            <a:pPr algn="l"/>
            <a:t>7.20%</a:t>
          </a:fld>
          <a:endParaRPr lang="en-US" sz="1600" b="1">
            <a:solidFill>
              <a:schemeClr val="bg1"/>
            </a:solidFill>
            <a:latin typeface="Georgia" panose="02040502050405020303" pitchFamily="18" charset="0"/>
          </a:endParaRPr>
        </a:p>
      </xdr:txBody>
    </xdr:sp>
    <xdr:clientData/>
  </xdr:twoCellAnchor>
  <xdr:twoCellAnchor>
    <xdr:from>
      <xdr:col>19</xdr:col>
      <xdr:colOff>567651</xdr:colOff>
      <xdr:row>3</xdr:row>
      <xdr:rowOff>173182</xdr:rowOff>
    </xdr:from>
    <xdr:to>
      <xdr:col>26</xdr:col>
      <xdr:colOff>259773</xdr:colOff>
      <xdr:row>18</xdr:row>
      <xdr:rowOff>105836</xdr:rowOff>
    </xdr:to>
    <xdr:graphicFrame macro="">
      <xdr:nvGraphicFramePr>
        <xdr:cNvPr id="12" name="Chart 11">
          <a:extLst>
            <a:ext uri="{FF2B5EF4-FFF2-40B4-BE49-F238E27FC236}">
              <a16:creationId xmlns:a16="http://schemas.microsoft.com/office/drawing/2014/main" id="{2C597254-CD01-4775-9CFD-CBE985FD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67349</xdr:colOff>
      <xdr:row>3</xdr:row>
      <xdr:rowOff>144317</xdr:rowOff>
    </xdr:from>
    <xdr:to>
      <xdr:col>12</xdr:col>
      <xdr:colOff>76970</xdr:colOff>
      <xdr:row>18</xdr:row>
      <xdr:rowOff>48105</xdr:rowOff>
    </xdr:to>
    <xdr:graphicFrame macro="">
      <xdr:nvGraphicFramePr>
        <xdr:cNvPr id="13" name="Chart 12">
          <a:extLst>
            <a:ext uri="{FF2B5EF4-FFF2-40B4-BE49-F238E27FC236}">
              <a16:creationId xmlns:a16="http://schemas.microsoft.com/office/drawing/2014/main" id="{E6EEFDCB-2923-460D-B24A-617F5B434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115455</xdr:colOff>
      <xdr:row>3</xdr:row>
      <xdr:rowOff>173182</xdr:rowOff>
    </xdr:from>
    <xdr:to>
      <xdr:col>19</xdr:col>
      <xdr:colOff>519546</xdr:colOff>
      <xdr:row>18</xdr:row>
      <xdr:rowOff>67348</xdr:rowOff>
    </xdr:to>
    <xdr:graphicFrame macro="">
      <xdr:nvGraphicFramePr>
        <xdr:cNvPr id="14" name="Chart 13">
          <a:extLst>
            <a:ext uri="{FF2B5EF4-FFF2-40B4-BE49-F238E27FC236}">
              <a16:creationId xmlns:a16="http://schemas.microsoft.com/office/drawing/2014/main" id="{AD4C8F9C-645D-403D-9129-3967CD40B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163559</xdr:colOff>
      <xdr:row>18</xdr:row>
      <xdr:rowOff>153941</xdr:rowOff>
    </xdr:from>
    <xdr:to>
      <xdr:col>26</xdr:col>
      <xdr:colOff>202044</xdr:colOff>
      <xdr:row>34</xdr:row>
      <xdr:rowOff>182803</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8C3BACA6-BCC5-4542-A0AB-F2D40C2034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78934" y="3582941"/>
              <a:ext cx="6429760" cy="307686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133684</xdr:colOff>
      <xdr:row>2</xdr:row>
      <xdr:rowOff>180474</xdr:rowOff>
    </xdr:from>
    <xdr:to>
      <xdr:col>2</xdr:col>
      <xdr:colOff>327527</xdr:colOff>
      <xdr:row>4</xdr:row>
      <xdr:rowOff>73526</xdr:rowOff>
    </xdr:to>
    <xdr:sp macro="" textlink="">
      <xdr:nvSpPr>
        <xdr:cNvPr id="16" name="TextBox 15">
          <a:extLst>
            <a:ext uri="{FF2B5EF4-FFF2-40B4-BE49-F238E27FC236}">
              <a16:creationId xmlns:a16="http://schemas.microsoft.com/office/drawing/2014/main" id="{5BF7E7FD-11C7-8CC6-7B06-E4757A88D0AE}"/>
            </a:ext>
          </a:extLst>
        </xdr:cNvPr>
        <xdr:cNvSpPr txBox="1"/>
      </xdr:nvSpPr>
      <xdr:spPr>
        <a:xfrm>
          <a:off x="133684" y="554790"/>
          <a:ext cx="1410369" cy="2673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b="1">
            <a:solidFill>
              <a:schemeClr val="accent6">
                <a:lumMod val="75000"/>
              </a:schemeClr>
            </a:solidFill>
            <a:latin typeface="Amasis MT Pro Black" panose="02040A04050005020304" pitchFamily="18" charset="0"/>
          </a:endParaRPr>
        </a:p>
      </xdr:txBody>
    </xdr:sp>
    <xdr:clientData/>
  </xdr:twoCellAnchor>
  <xdr:twoCellAnchor>
    <xdr:from>
      <xdr:col>0</xdr:col>
      <xdr:colOff>298259</xdr:colOff>
      <xdr:row>8</xdr:row>
      <xdr:rowOff>156676</xdr:rowOff>
    </xdr:from>
    <xdr:to>
      <xdr:col>3</xdr:col>
      <xdr:colOff>67349</xdr:colOff>
      <xdr:row>11</xdr:row>
      <xdr:rowOff>96212</xdr:rowOff>
    </xdr:to>
    <xdr:sp macro="" textlink="'Pivot table'!M19">
      <xdr:nvSpPr>
        <xdr:cNvPr id="17" name="TextBox 16">
          <a:extLst>
            <a:ext uri="{FF2B5EF4-FFF2-40B4-BE49-F238E27FC236}">
              <a16:creationId xmlns:a16="http://schemas.microsoft.com/office/drawing/2014/main" id="{3AB0D0CE-8F11-A236-BD0B-A127B6853B5F}"/>
            </a:ext>
          </a:extLst>
        </xdr:cNvPr>
        <xdr:cNvSpPr txBox="1"/>
      </xdr:nvSpPr>
      <xdr:spPr>
        <a:xfrm>
          <a:off x="298259" y="1696070"/>
          <a:ext cx="1500908" cy="516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4B368DA5-3437-4CBA-A5F4-9EC067558C73}" type="TxLink">
            <a:rPr lang="en-US" sz="1600" b="1" i="0" u="none" strike="noStrike">
              <a:solidFill>
                <a:schemeClr val="bg1"/>
              </a:solidFill>
              <a:effectLst/>
              <a:latin typeface="Georgia" panose="02040502050405020303" pitchFamily="18" charset="0"/>
              <a:cs typeface="Calibri"/>
            </a:rPr>
            <a:pPr marL="0" marR="0" lvl="0" indent="0" defTabSz="914400" eaLnBrk="1" fontAlgn="auto" latinLnBrk="0" hangingPunct="1">
              <a:lnSpc>
                <a:spcPct val="100000"/>
              </a:lnSpc>
              <a:spcBef>
                <a:spcPts val="0"/>
              </a:spcBef>
              <a:spcAft>
                <a:spcPts val="0"/>
              </a:spcAft>
              <a:buClrTx/>
              <a:buSzTx/>
              <a:buFontTx/>
              <a:buNone/>
              <a:tabLst/>
              <a:defRPr/>
            </a:pPr>
            <a:t> $117,278.00 </a:t>
          </a:fld>
          <a:endParaRPr lang="en-US" sz="1600" b="1">
            <a:solidFill>
              <a:schemeClr val="bg1"/>
            </a:solidFill>
            <a:latin typeface="Georgia" panose="02040502050405020303" pitchFamily="18" charset="0"/>
          </a:endParaRPr>
        </a:p>
      </xdr:txBody>
    </xdr:sp>
    <xdr:clientData/>
  </xdr:twoCellAnchor>
  <xdr:twoCellAnchor>
    <xdr:from>
      <xdr:col>2</xdr:col>
      <xdr:colOff>360949</xdr:colOff>
      <xdr:row>10</xdr:row>
      <xdr:rowOff>140368</xdr:rowOff>
    </xdr:from>
    <xdr:to>
      <xdr:col>3</xdr:col>
      <xdr:colOff>574844</xdr:colOff>
      <xdr:row>12</xdr:row>
      <xdr:rowOff>33422</xdr:rowOff>
    </xdr:to>
    <xdr:sp macro="" textlink="">
      <xdr:nvSpPr>
        <xdr:cNvPr id="18" name="TextBox 17">
          <a:extLst>
            <a:ext uri="{FF2B5EF4-FFF2-40B4-BE49-F238E27FC236}">
              <a16:creationId xmlns:a16="http://schemas.microsoft.com/office/drawing/2014/main" id="{DB3F2440-46A7-3F01-2388-E2453182F805}"/>
            </a:ext>
          </a:extLst>
        </xdr:cNvPr>
        <xdr:cNvSpPr txBox="1"/>
      </xdr:nvSpPr>
      <xdr:spPr>
        <a:xfrm>
          <a:off x="1577475" y="2011947"/>
          <a:ext cx="822158" cy="267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50">
            <a:solidFill>
              <a:schemeClr val="accent6">
                <a:lumMod val="75000"/>
              </a:schemeClr>
            </a:solidFill>
            <a:latin typeface="Amasis MT Pro Black" panose="02040A04050005020304" pitchFamily="18" charset="0"/>
          </a:endParaRPr>
        </a:p>
      </xdr:txBody>
    </xdr:sp>
    <xdr:clientData/>
  </xdr:twoCellAnchor>
  <xdr:twoCellAnchor>
    <xdr:from>
      <xdr:col>0</xdr:col>
      <xdr:colOff>250152</xdr:colOff>
      <xdr:row>17</xdr:row>
      <xdr:rowOff>153940</xdr:rowOff>
    </xdr:from>
    <xdr:to>
      <xdr:col>2</xdr:col>
      <xdr:colOff>48107</xdr:colOff>
      <xdr:row>20</xdr:row>
      <xdr:rowOff>38485</xdr:rowOff>
    </xdr:to>
    <xdr:sp macro="" textlink="'Pivot table'!J17">
      <xdr:nvSpPr>
        <xdr:cNvPr id="19" name="TextBox 18">
          <a:extLst>
            <a:ext uri="{FF2B5EF4-FFF2-40B4-BE49-F238E27FC236}">
              <a16:creationId xmlns:a16="http://schemas.microsoft.com/office/drawing/2014/main" id="{EF9089F0-AFFF-9714-521A-2F2AC0323FFE}"/>
            </a:ext>
          </a:extLst>
        </xdr:cNvPr>
        <xdr:cNvSpPr txBox="1"/>
      </xdr:nvSpPr>
      <xdr:spPr>
        <a:xfrm>
          <a:off x="250152" y="3425152"/>
          <a:ext cx="952500" cy="461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547EA5-D916-430A-B0B3-9981147E7535}" type="TxLink">
            <a:rPr lang="en-US" sz="1600" b="0" i="0" u="none" strike="noStrike">
              <a:solidFill>
                <a:schemeClr val="bg1"/>
              </a:solidFill>
              <a:latin typeface="Georgia" panose="02040502050405020303" pitchFamily="18" charset="0"/>
              <a:cs typeface="Calibri"/>
            </a:rPr>
            <a:pPr/>
            <a:t> 1,000 </a:t>
          </a:fld>
          <a:endParaRPr lang="en-US" sz="1600">
            <a:solidFill>
              <a:schemeClr val="bg1"/>
            </a:solidFill>
            <a:latin typeface="Georgia" panose="02040502050405020303" pitchFamily="18" charset="0"/>
          </a:endParaRPr>
        </a:p>
      </xdr:txBody>
    </xdr:sp>
    <xdr:clientData/>
  </xdr:twoCellAnchor>
  <xdr:twoCellAnchor>
    <xdr:from>
      <xdr:col>2</xdr:col>
      <xdr:colOff>153738</xdr:colOff>
      <xdr:row>18</xdr:row>
      <xdr:rowOff>167105</xdr:rowOff>
    </xdr:from>
    <xdr:to>
      <xdr:col>4</xdr:col>
      <xdr:colOff>26737</xdr:colOff>
      <xdr:row>20</xdr:row>
      <xdr:rowOff>147053</xdr:rowOff>
    </xdr:to>
    <xdr:sp macro="" textlink="">
      <xdr:nvSpPr>
        <xdr:cNvPr id="20" name="TextBox 19">
          <a:extLst>
            <a:ext uri="{FF2B5EF4-FFF2-40B4-BE49-F238E27FC236}">
              <a16:creationId xmlns:a16="http://schemas.microsoft.com/office/drawing/2014/main" id="{2D23C416-457C-2314-E0E5-3049927B3091}"/>
            </a:ext>
          </a:extLst>
        </xdr:cNvPr>
        <xdr:cNvSpPr txBox="1"/>
      </xdr:nvSpPr>
      <xdr:spPr>
        <a:xfrm>
          <a:off x="1370264" y="3535947"/>
          <a:ext cx="1089526" cy="354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accent6"/>
              </a:solidFill>
              <a:effectLst/>
              <a:latin typeface="+mn-lt"/>
              <a:ea typeface="+mn-ea"/>
              <a:cs typeface="+mn-cs"/>
            </a:rPr>
            <a:t>          </a:t>
          </a:r>
          <a:endParaRPr lang="en-US" sz="1000">
            <a:solidFill>
              <a:schemeClr val="accent6">
                <a:lumMod val="75000"/>
              </a:schemeClr>
            </a:solidFill>
            <a:latin typeface="Amasis MT Pro Black" panose="02040A04050005020304" pitchFamily="18" charset="0"/>
          </a:endParaRPr>
        </a:p>
      </xdr:txBody>
    </xdr:sp>
    <xdr:clientData/>
  </xdr:twoCellAnchor>
  <xdr:twoCellAnchor editAs="oneCell">
    <xdr:from>
      <xdr:col>0</xdr:col>
      <xdr:colOff>202046</xdr:colOff>
      <xdr:row>19</xdr:row>
      <xdr:rowOff>187156</xdr:rowOff>
    </xdr:from>
    <xdr:to>
      <xdr:col>2</xdr:col>
      <xdr:colOff>57729</xdr:colOff>
      <xdr:row>23</xdr:row>
      <xdr:rowOff>115454</xdr:rowOff>
    </xdr:to>
    <xdr:pic>
      <xdr:nvPicPr>
        <xdr:cNvPr id="26" name="Graphic 25" descr="Shopping cart with solid fill">
          <a:extLst>
            <a:ext uri="{FF2B5EF4-FFF2-40B4-BE49-F238E27FC236}">
              <a16:creationId xmlns:a16="http://schemas.microsoft.com/office/drawing/2014/main" id="{089B2AC2-69AC-8094-AE36-374EB5B91F2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2046" y="3843217"/>
          <a:ext cx="1010228" cy="697995"/>
        </a:xfrm>
        <a:prstGeom prst="rect">
          <a:avLst/>
        </a:prstGeom>
      </xdr:spPr>
    </xdr:pic>
    <xdr:clientData/>
  </xdr:twoCellAnchor>
  <xdr:twoCellAnchor editAs="oneCell">
    <xdr:from>
      <xdr:col>2</xdr:col>
      <xdr:colOff>558031</xdr:colOff>
      <xdr:row>19</xdr:row>
      <xdr:rowOff>26533</xdr:rowOff>
    </xdr:from>
    <xdr:to>
      <xdr:col>4</xdr:col>
      <xdr:colOff>288636</xdr:colOff>
      <xdr:row>23</xdr:row>
      <xdr:rowOff>19242</xdr:rowOff>
    </xdr:to>
    <xdr:pic>
      <xdr:nvPicPr>
        <xdr:cNvPr id="30" name="Graphic 29" descr="Coins outline">
          <a:extLst>
            <a:ext uri="{FF2B5EF4-FFF2-40B4-BE49-F238E27FC236}">
              <a16:creationId xmlns:a16="http://schemas.microsoft.com/office/drawing/2014/main" id="{2111232B-F5C2-2BE3-4A58-F96298E210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12576" y="3682594"/>
          <a:ext cx="885151" cy="762406"/>
        </a:xfrm>
        <a:prstGeom prst="rect">
          <a:avLst/>
        </a:prstGeom>
      </xdr:spPr>
    </xdr:pic>
    <xdr:clientData/>
  </xdr:twoCellAnchor>
  <xdr:twoCellAnchor editAs="oneCell">
    <xdr:from>
      <xdr:col>2</xdr:col>
      <xdr:colOff>423334</xdr:colOff>
      <xdr:row>30</xdr:row>
      <xdr:rowOff>9621</xdr:rowOff>
    </xdr:from>
    <xdr:to>
      <xdr:col>4</xdr:col>
      <xdr:colOff>355985</xdr:colOff>
      <xdr:row>33</xdr:row>
      <xdr:rowOff>78893</xdr:rowOff>
    </xdr:to>
    <xdr:pic>
      <xdr:nvPicPr>
        <xdr:cNvPr id="32" name="Graphic 31" descr="Close with solid fill">
          <a:extLst>
            <a:ext uri="{FF2B5EF4-FFF2-40B4-BE49-F238E27FC236}">
              <a16:creationId xmlns:a16="http://schemas.microsoft.com/office/drawing/2014/main" id="{08DCC575-6E50-3A83-ADBC-8143324CCDC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77879" y="5782348"/>
          <a:ext cx="1087197" cy="646545"/>
        </a:xfrm>
        <a:prstGeom prst="rect">
          <a:avLst/>
        </a:prstGeom>
      </xdr:spPr>
    </xdr:pic>
    <xdr:clientData/>
  </xdr:twoCellAnchor>
  <xdr:twoCellAnchor editAs="oneCell">
    <xdr:from>
      <xdr:col>0</xdr:col>
      <xdr:colOff>192425</xdr:colOff>
      <xdr:row>30</xdr:row>
      <xdr:rowOff>38485</xdr:rowOff>
    </xdr:from>
    <xdr:to>
      <xdr:col>2</xdr:col>
      <xdr:colOff>9622</xdr:colOff>
      <xdr:row>33</xdr:row>
      <xdr:rowOff>134697</xdr:rowOff>
    </xdr:to>
    <xdr:pic>
      <xdr:nvPicPr>
        <xdr:cNvPr id="36" name="Graphic 35" descr="Globe with solid fill">
          <a:extLst>
            <a:ext uri="{FF2B5EF4-FFF2-40B4-BE49-F238E27FC236}">
              <a16:creationId xmlns:a16="http://schemas.microsoft.com/office/drawing/2014/main" id="{3B1431F3-57B2-1E47-73BD-F7B4F1045E6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2425" y="5811212"/>
          <a:ext cx="971742" cy="673485"/>
        </a:xfrm>
        <a:prstGeom prst="rect">
          <a:avLst/>
        </a:prstGeom>
      </xdr:spPr>
    </xdr:pic>
    <xdr:clientData/>
  </xdr:twoCellAnchor>
  <xdr:twoCellAnchor>
    <xdr:from>
      <xdr:col>23</xdr:col>
      <xdr:colOff>19242</xdr:colOff>
      <xdr:row>26</xdr:row>
      <xdr:rowOff>48106</xdr:rowOff>
    </xdr:from>
    <xdr:to>
      <xdr:col>24</xdr:col>
      <xdr:colOff>558030</xdr:colOff>
      <xdr:row>28</xdr:row>
      <xdr:rowOff>182802</xdr:rowOff>
    </xdr:to>
    <xdr:cxnSp macro="">
      <xdr:nvCxnSpPr>
        <xdr:cNvPr id="31" name="Straight Arrow Connector 30">
          <a:extLst>
            <a:ext uri="{FF2B5EF4-FFF2-40B4-BE49-F238E27FC236}">
              <a16:creationId xmlns:a16="http://schemas.microsoft.com/office/drawing/2014/main" id="{7E5F4392-718F-4103-4FDC-59A364489F7F}"/>
            </a:ext>
          </a:extLst>
        </xdr:cNvPr>
        <xdr:cNvCxnSpPr/>
      </xdr:nvCxnSpPr>
      <xdr:spPr>
        <a:xfrm>
          <a:off x="13296515" y="5051136"/>
          <a:ext cx="1116060" cy="519545"/>
        </a:xfrm>
        <a:prstGeom prst="straightConnector1">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384849</xdr:colOff>
      <xdr:row>28</xdr:row>
      <xdr:rowOff>57727</xdr:rowOff>
    </xdr:from>
    <xdr:to>
      <xdr:col>26</xdr:col>
      <xdr:colOff>144316</xdr:colOff>
      <xdr:row>31</xdr:row>
      <xdr:rowOff>76969</xdr:rowOff>
    </xdr:to>
    <xdr:sp macro="" textlink="">
      <xdr:nvSpPr>
        <xdr:cNvPr id="34" name="TextBox 33">
          <a:extLst>
            <a:ext uri="{FF2B5EF4-FFF2-40B4-BE49-F238E27FC236}">
              <a16:creationId xmlns:a16="http://schemas.microsoft.com/office/drawing/2014/main" id="{B7C213A7-A8A1-98C5-6C77-51B6FDC1067A}"/>
            </a:ext>
          </a:extLst>
        </xdr:cNvPr>
        <xdr:cNvSpPr txBox="1"/>
      </xdr:nvSpPr>
      <xdr:spPr>
        <a:xfrm>
          <a:off x="14239394" y="5445606"/>
          <a:ext cx="914013" cy="596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   </a:t>
          </a:r>
          <a:r>
            <a:rPr lang="en-US" sz="1200" b="1">
              <a:solidFill>
                <a:schemeClr val="bg1"/>
              </a:solidFill>
              <a:latin typeface="Georgia" panose="02040502050405020303" pitchFamily="18" charset="0"/>
            </a:rPr>
            <a:t>OHIO</a:t>
          </a:r>
        </a:p>
        <a:p>
          <a:r>
            <a:rPr lang="en-US" sz="1200" b="1">
              <a:solidFill>
                <a:schemeClr val="bg1"/>
              </a:solidFill>
              <a:latin typeface="Georgia" panose="02040502050405020303" pitchFamily="18" charset="0"/>
            </a:rPr>
            <a:t>$10,009</a:t>
          </a:r>
        </a:p>
      </xdr:txBody>
    </xdr:sp>
    <xdr:clientData/>
  </xdr:twoCellAnchor>
  <xdr:twoCellAnchor>
    <xdr:from>
      <xdr:col>16</xdr:col>
      <xdr:colOff>384848</xdr:colOff>
      <xdr:row>27</xdr:row>
      <xdr:rowOff>0</xdr:rowOff>
    </xdr:from>
    <xdr:to>
      <xdr:col>17</xdr:col>
      <xdr:colOff>307879</xdr:colOff>
      <xdr:row>30</xdr:row>
      <xdr:rowOff>125076</xdr:rowOff>
    </xdr:to>
    <xdr:cxnSp macro="">
      <xdr:nvCxnSpPr>
        <xdr:cNvPr id="40" name="Straight Arrow Connector 39">
          <a:extLst>
            <a:ext uri="{FF2B5EF4-FFF2-40B4-BE49-F238E27FC236}">
              <a16:creationId xmlns:a16="http://schemas.microsoft.com/office/drawing/2014/main" id="{7CA6E223-53A4-9A8F-3466-E8D85AAA095F}"/>
            </a:ext>
          </a:extLst>
        </xdr:cNvPr>
        <xdr:cNvCxnSpPr/>
      </xdr:nvCxnSpPr>
      <xdr:spPr>
        <a:xfrm flipH="1">
          <a:off x="9621212" y="5195455"/>
          <a:ext cx="500303" cy="702348"/>
        </a:xfrm>
        <a:prstGeom prst="straightConnector1">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xdr:colOff>
      <xdr:row>30</xdr:row>
      <xdr:rowOff>125076</xdr:rowOff>
    </xdr:from>
    <xdr:to>
      <xdr:col>17</xdr:col>
      <xdr:colOff>28864</xdr:colOff>
      <xdr:row>33</xdr:row>
      <xdr:rowOff>57727</xdr:rowOff>
    </xdr:to>
    <xdr:sp macro="" textlink="">
      <xdr:nvSpPr>
        <xdr:cNvPr id="41" name="TextBox 40">
          <a:extLst>
            <a:ext uri="{FF2B5EF4-FFF2-40B4-BE49-F238E27FC236}">
              <a16:creationId xmlns:a16="http://schemas.microsoft.com/office/drawing/2014/main" id="{520B02F7-0944-1C33-9AA9-D8C19F563473}"/>
            </a:ext>
          </a:extLst>
        </xdr:cNvPr>
        <xdr:cNvSpPr txBox="1"/>
      </xdr:nvSpPr>
      <xdr:spPr>
        <a:xfrm>
          <a:off x="8659092" y="5897803"/>
          <a:ext cx="1183408" cy="509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100" b="0">
              <a:solidFill>
                <a:schemeClr val="bg1"/>
              </a:solidFill>
              <a:latin typeface="Georgia" panose="02040502050405020303" pitchFamily="18" charset="0"/>
            </a:rPr>
            <a:t>   CALIFORNIA</a:t>
          </a:r>
        </a:p>
        <a:p>
          <a:r>
            <a:rPr lang="en-US" sz="1100" b="0">
              <a:solidFill>
                <a:schemeClr val="bg1"/>
              </a:solidFill>
              <a:latin typeface="Georgia" panose="02040502050405020303" pitchFamily="18" charset="0"/>
            </a:rPr>
            <a:t>       $7,231</a:t>
          </a:r>
        </a:p>
      </xdr:txBody>
    </xdr:sp>
    <xdr:clientData/>
  </xdr:twoCellAnchor>
  <xdr:twoCellAnchor>
    <xdr:from>
      <xdr:col>0</xdr:col>
      <xdr:colOff>57727</xdr:colOff>
      <xdr:row>15</xdr:row>
      <xdr:rowOff>105833</xdr:rowOff>
    </xdr:from>
    <xdr:to>
      <xdr:col>2</xdr:col>
      <xdr:colOff>105834</xdr:colOff>
      <xdr:row>17</xdr:row>
      <xdr:rowOff>19243</xdr:rowOff>
    </xdr:to>
    <xdr:sp macro="" textlink="">
      <xdr:nvSpPr>
        <xdr:cNvPr id="47" name="TextBox 46">
          <a:extLst>
            <a:ext uri="{FF2B5EF4-FFF2-40B4-BE49-F238E27FC236}">
              <a16:creationId xmlns:a16="http://schemas.microsoft.com/office/drawing/2014/main" id="{A3CFC389-0865-D2C9-8409-A6BF98028EE6}"/>
            </a:ext>
          </a:extLst>
        </xdr:cNvPr>
        <xdr:cNvSpPr txBox="1"/>
      </xdr:nvSpPr>
      <xdr:spPr>
        <a:xfrm>
          <a:off x="57727" y="2992197"/>
          <a:ext cx="1202652" cy="298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solidFill>
              <a:latin typeface="Georgia" panose="02040502050405020303" pitchFamily="18" charset="0"/>
            </a:rPr>
            <a:t>TOTAL ORDER</a:t>
          </a:r>
        </a:p>
      </xdr:txBody>
    </xdr:sp>
    <xdr:clientData/>
  </xdr:twoCellAnchor>
  <xdr:oneCellAnchor>
    <xdr:from>
      <xdr:col>2</xdr:col>
      <xdr:colOff>394470</xdr:colOff>
      <xdr:row>24</xdr:row>
      <xdr:rowOff>173182</xdr:rowOff>
    </xdr:from>
    <xdr:ext cx="1250758" cy="399257"/>
    <xdr:sp macro="" textlink="">
      <xdr:nvSpPr>
        <xdr:cNvPr id="49" name="TextBox 48">
          <a:extLst>
            <a:ext uri="{FF2B5EF4-FFF2-40B4-BE49-F238E27FC236}">
              <a16:creationId xmlns:a16="http://schemas.microsoft.com/office/drawing/2014/main" id="{6071921A-CFE0-D5CC-99CA-8567D55046F7}"/>
            </a:ext>
          </a:extLst>
        </xdr:cNvPr>
        <xdr:cNvSpPr txBox="1"/>
      </xdr:nvSpPr>
      <xdr:spPr>
        <a:xfrm>
          <a:off x="1549015" y="4791364"/>
          <a:ext cx="1250758" cy="399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solidFill>
                <a:schemeClr val="accent6"/>
              </a:solidFill>
              <a:latin typeface="Georgia" panose="02040502050405020303" pitchFamily="18" charset="0"/>
            </a:rPr>
            <a:t>CHURN RATE</a:t>
          </a:r>
        </a:p>
      </xdr:txBody>
    </xdr:sp>
    <xdr:clientData/>
  </xdr:oneCellAnchor>
  <xdr:oneCellAnchor>
    <xdr:from>
      <xdr:col>0</xdr:col>
      <xdr:colOff>115455</xdr:colOff>
      <xdr:row>25</xdr:row>
      <xdr:rowOff>48106</xdr:rowOff>
    </xdr:from>
    <xdr:ext cx="933257" cy="437742"/>
    <xdr:sp macro="" textlink="">
      <xdr:nvSpPr>
        <xdr:cNvPr id="50" name="TextBox 49">
          <a:extLst>
            <a:ext uri="{FF2B5EF4-FFF2-40B4-BE49-F238E27FC236}">
              <a16:creationId xmlns:a16="http://schemas.microsoft.com/office/drawing/2014/main" id="{ED5171B3-8281-CB29-5DFE-9C3B308C5D64}"/>
            </a:ext>
          </a:extLst>
        </xdr:cNvPr>
        <xdr:cNvSpPr txBox="1"/>
      </xdr:nvSpPr>
      <xdr:spPr>
        <a:xfrm>
          <a:off x="115455" y="4858712"/>
          <a:ext cx="933257" cy="4377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500" b="1">
              <a:solidFill>
                <a:schemeClr val="bg1"/>
              </a:solidFill>
              <a:latin typeface="Georgia" panose="02040502050405020303" pitchFamily="18" charset="0"/>
            </a:rPr>
            <a:t>   </a:t>
          </a:r>
          <a:r>
            <a:rPr lang="en-US" sz="1500" b="1">
              <a:solidFill>
                <a:schemeClr val="accent6"/>
              </a:solidFill>
              <a:latin typeface="Georgia" panose="02040502050405020303" pitchFamily="18" charset="0"/>
            </a:rPr>
            <a:t>OHIO</a:t>
          </a:r>
        </a:p>
      </xdr:txBody>
    </xdr:sp>
    <xdr:clientData/>
  </xdr:oneCellAnchor>
  <xdr:twoCellAnchor>
    <xdr:from>
      <xdr:col>0</xdr:col>
      <xdr:colOff>38484</xdr:colOff>
      <xdr:row>4</xdr:row>
      <xdr:rowOff>96212</xdr:rowOff>
    </xdr:from>
    <xdr:to>
      <xdr:col>3</xdr:col>
      <xdr:colOff>298257</xdr:colOff>
      <xdr:row>8</xdr:row>
      <xdr:rowOff>28864</xdr:rowOff>
    </xdr:to>
    <xdr:sp macro="" textlink="">
      <xdr:nvSpPr>
        <xdr:cNvPr id="51" name="TextBox 50">
          <a:extLst>
            <a:ext uri="{FF2B5EF4-FFF2-40B4-BE49-F238E27FC236}">
              <a16:creationId xmlns:a16="http://schemas.microsoft.com/office/drawing/2014/main" id="{6A3BF67D-3444-090D-D5EB-122521BE6EE0}"/>
            </a:ext>
          </a:extLst>
        </xdr:cNvPr>
        <xdr:cNvSpPr txBox="1"/>
      </xdr:nvSpPr>
      <xdr:spPr>
        <a:xfrm>
          <a:off x="38484" y="865909"/>
          <a:ext cx="1991591" cy="7023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p>
        <a:p>
          <a:r>
            <a:rPr lang="en-US" sz="1100" b="1"/>
            <a:t>  </a:t>
          </a:r>
          <a:r>
            <a:rPr lang="en-US" sz="1300" b="1">
              <a:solidFill>
                <a:schemeClr val="accent6"/>
              </a:solidFill>
              <a:latin typeface="Georgia" panose="02040502050405020303" pitchFamily="18" charset="0"/>
            </a:rPr>
            <a:t>TOTAL REVENUE</a:t>
          </a:r>
        </a:p>
      </xdr:txBody>
    </xdr:sp>
    <xdr:clientData/>
  </xdr:twoCellAnchor>
  <xdr:twoCellAnchor editAs="oneCell">
    <xdr:from>
      <xdr:col>26</xdr:col>
      <xdr:colOff>288636</xdr:colOff>
      <xdr:row>3</xdr:row>
      <xdr:rowOff>173182</xdr:rowOff>
    </xdr:from>
    <xdr:to>
      <xdr:col>31</xdr:col>
      <xdr:colOff>173181</xdr:colOff>
      <xdr:row>11</xdr:row>
      <xdr:rowOff>105833</xdr:rowOff>
    </xdr:to>
    <mc:AlternateContent xmlns:mc="http://schemas.openxmlformats.org/markup-compatibility/2006" xmlns:a14="http://schemas.microsoft.com/office/drawing/2010/main">
      <mc:Choice Requires="a14">
        <xdr:graphicFrame macro="">
          <xdr:nvGraphicFramePr>
            <xdr:cNvPr id="52" name="State">
              <a:extLst>
                <a:ext uri="{FF2B5EF4-FFF2-40B4-BE49-F238E27FC236}">
                  <a16:creationId xmlns:a16="http://schemas.microsoft.com/office/drawing/2014/main" id="{34653FC1-BDDE-4D6C-9CCF-9A8641CC6E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297727" y="750455"/>
              <a:ext cx="2770909" cy="1472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288636</xdr:colOff>
      <xdr:row>11</xdr:row>
      <xdr:rowOff>134697</xdr:rowOff>
    </xdr:from>
    <xdr:to>
      <xdr:col>31</xdr:col>
      <xdr:colOff>134695</xdr:colOff>
      <xdr:row>22</xdr:row>
      <xdr:rowOff>0</xdr:rowOff>
    </xdr:to>
    <mc:AlternateContent xmlns:mc="http://schemas.openxmlformats.org/markup-compatibility/2006" xmlns:a14="http://schemas.microsoft.com/office/drawing/2010/main">
      <mc:Choice Requires="a14">
        <xdr:graphicFrame macro="">
          <xdr:nvGraphicFramePr>
            <xdr:cNvPr id="53" name="Month">
              <a:extLst>
                <a:ext uri="{FF2B5EF4-FFF2-40B4-BE49-F238E27FC236}">
                  <a16:creationId xmlns:a16="http://schemas.microsoft.com/office/drawing/2014/main" id="{A866B507-96BA-43A9-8A54-4E260F51C9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97727" y="2251364"/>
              <a:ext cx="2732423" cy="198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279015</xdr:colOff>
      <xdr:row>22</xdr:row>
      <xdr:rowOff>28863</xdr:rowOff>
    </xdr:from>
    <xdr:to>
      <xdr:col>31</xdr:col>
      <xdr:colOff>153939</xdr:colOff>
      <xdr:row>29</xdr:row>
      <xdr:rowOff>96212</xdr:rowOff>
    </xdr:to>
    <mc:AlternateContent xmlns:mc="http://schemas.openxmlformats.org/markup-compatibility/2006" xmlns:a14="http://schemas.microsoft.com/office/drawing/2010/main">
      <mc:Choice Requires="a14">
        <xdr:graphicFrame macro="">
          <xdr:nvGraphicFramePr>
            <xdr:cNvPr id="54" name="Delivery Success Rate">
              <a:extLst>
                <a:ext uri="{FF2B5EF4-FFF2-40B4-BE49-F238E27FC236}">
                  <a16:creationId xmlns:a16="http://schemas.microsoft.com/office/drawing/2014/main" id="{00F8E42A-5FFB-4D12-9443-1C535A16E890}"/>
                </a:ext>
              </a:extLst>
            </xdr:cNvPr>
            <xdr:cNvGraphicFramePr/>
          </xdr:nvGraphicFramePr>
          <xdr:xfrm>
            <a:off x="0" y="0"/>
            <a:ext cx="0" cy="0"/>
          </xdr:xfrm>
          <a:graphic>
            <a:graphicData uri="http://schemas.microsoft.com/office/drawing/2010/slicer">
              <sle:slicer xmlns:sle="http://schemas.microsoft.com/office/drawing/2010/slicer" name="Delivery Success Rate"/>
            </a:graphicData>
          </a:graphic>
        </xdr:graphicFrame>
      </mc:Choice>
      <mc:Fallback xmlns="">
        <xdr:sp macro="" textlink="">
          <xdr:nvSpPr>
            <xdr:cNvPr id="0" name=""/>
            <xdr:cNvSpPr>
              <a:spLocks noTextEdit="1"/>
            </xdr:cNvSpPr>
          </xdr:nvSpPr>
          <xdr:spPr>
            <a:xfrm>
              <a:off x="15288106" y="4262196"/>
              <a:ext cx="2761288" cy="1414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288636</xdr:colOff>
      <xdr:row>29</xdr:row>
      <xdr:rowOff>134699</xdr:rowOff>
    </xdr:from>
    <xdr:to>
      <xdr:col>31</xdr:col>
      <xdr:colOff>163559</xdr:colOff>
      <xdr:row>35</xdr:row>
      <xdr:rowOff>163561</xdr:rowOff>
    </xdr:to>
    <mc:AlternateContent xmlns:mc="http://schemas.openxmlformats.org/markup-compatibility/2006" xmlns:a14="http://schemas.microsoft.com/office/drawing/2010/main">
      <mc:Choice Requires="a14">
        <xdr:graphicFrame macro="">
          <xdr:nvGraphicFramePr>
            <xdr:cNvPr id="56" name="Proper Product Name">
              <a:extLst>
                <a:ext uri="{FF2B5EF4-FFF2-40B4-BE49-F238E27FC236}">
                  <a16:creationId xmlns:a16="http://schemas.microsoft.com/office/drawing/2014/main" id="{029767E4-4C3A-422B-91F3-8A1E83C414F5}"/>
                </a:ext>
              </a:extLst>
            </xdr:cNvPr>
            <xdr:cNvGraphicFramePr/>
          </xdr:nvGraphicFramePr>
          <xdr:xfrm>
            <a:off x="0" y="0"/>
            <a:ext cx="0" cy="0"/>
          </xdr:xfrm>
          <a:graphic>
            <a:graphicData uri="http://schemas.microsoft.com/office/drawing/2010/slicer">
              <sle:slicer xmlns:sle="http://schemas.microsoft.com/office/drawing/2010/slicer" name="Proper Product Name"/>
            </a:graphicData>
          </a:graphic>
        </xdr:graphicFrame>
      </mc:Choice>
      <mc:Fallback xmlns="">
        <xdr:sp macro="" textlink="">
          <xdr:nvSpPr>
            <xdr:cNvPr id="0" name=""/>
            <xdr:cNvSpPr>
              <a:spLocks noTextEdit="1"/>
            </xdr:cNvSpPr>
          </xdr:nvSpPr>
          <xdr:spPr>
            <a:xfrm>
              <a:off x="15297727" y="5715002"/>
              <a:ext cx="2761287" cy="1183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365606</xdr:colOff>
      <xdr:row>0</xdr:row>
      <xdr:rowOff>48106</xdr:rowOff>
    </xdr:from>
    <xdr:to>
      <xdr:col>19</xdr:col>
      <xdr:colOff>558030</xdr:colOff>
      <xdr:row>3</xdr:row>
      <xdr:rowOff>76970</xdr:rowOff>
    </xdr:to>
    <xdr:pic>
      <xdr:nvPicPr>
        <xdr:cNvPr id="58" name="Picture 57">
          <a:extLst>
            <a:ext uri="{FF2B5EF4-FFF2-40B4-BE49-F238E27FC236}">
              <a16:creationId xmlns:a16="http://schemas.microsoft.com/office/drawing/2014/main" id="{5B00CFB3-C680-53C1-99DA-6FF6AA42E75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756515" y="48106"/>
          <a:ext cx="769697" cy="606137"/>
        </a:xfrm>
        <a:prstGeom prst="rect">
          <a:avLst/>
        </a:prstGeom>
      </xdr:spPr>
    </xdr:pic>
    <xdr:clientData/>
  </xdr:twoCellAnchor>
  <xdr:twoCellAnchor editAs="oneCell">
    <xdr:from>
      <xdr:col>3</xdr:col>
      <xdr:colOff>259773</xdr:colOff>
      <xdr:row>5</xdr:row>
      <xdr:rowOff>19243</xdr:rowOff>
    </xdr:from>
    <xdr:to>
      <xdr:col>4</xdr:col>
      <xdr:colOff>442576</xdr:colOff>
      <xdr:row>8</xdr:row>
      <xdr:rowOff>134697</xdr:rowOff>
    </xdr:to>
    <xdr:pic>
      <xdr:nvPicPr>
        <xdr:cNvPr id="60" name="Picture 59">
          <a:extLst>
            <a:ext uri="{FF2B5EF4-FFF2-40B4-BE49-F238E27FC236}">
              <a16:creationId xmlns:a16="http://schemas.microsoft.com/office/drawing/2014/main" id="{FA784DFC-CB96-ACD4-CFDF-3F307483B7F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991591" y="981364"/>
          <a:ext cx="760076" cy="692727"/>
        </a:xfrm>
        <a:prstGeom prst="rect">
          <a:avLst/>
        </a:prstGeom>
        <a:ln>
          <a:solidFill>
            <a:schemeClr val="bg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69.682060300926" createdVersion="8" refreshedVersion="8" minRefreshableVersion="3" recordCount="12" xr:uid="{61A42459-A604-44B0-AAB2-3FE5FAFD798B}">
  <cacheSource type="worksheet">
    <worksheetSource name="GROWTHTABLE"/>
  </cacheSource>
  <cacheFields count="3">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4" maxValue="2024" count="1">
        <n v="2024"/>
      </sharedItems>
    </cacheField>
    <cacheField name="MRR" numFmtId="168">
      <sharedItems containsSemiMixedTypes="0" containsString="0" containsNumber="1" containsInteger="1" minValue="7062" maxValue="12522"/>
    </cacheField>
  </cacheFields>
  <extLst>
    <ext xmlns:x14="http://schemas.microsoft.com/office/spreadsheetml/2009/9/main" uri="{725AE2AE-9491-48be-B2B4-4EB974FC3084}">
      <x14:pivotCacheDefinition pivotCacheId="5528718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570760532406" createdVersion="8" refreshedVersion="8" minRefreshableVersion="3" recordCount="4" xr:uid="{0E1FF5E1-D7CA-4689-98E3-D8A72E4FF575}">
  <cacheSource type="worksheet">
    <worksheetSource name="DELIVERYRATE"/>
  </cacheSource>
  <cacheFields count="2">
    <cacheField name="Delivery Success Rate" numFmtId="0">
      <sharedItems count="4">
        <s v="Delivered "/>
        <s v="Returned"/>
        <s v="Pending"/>
        <s v="Shipped"/>
      </sharedItems>
    </cacheField>
    <cacheField name="Result" numFmtId="169">
      <sharedItems containsSemiMixedTypes="0" containsString="0" containsNumber="1" minValue="7.1999999999999995E-2" maxValue="0.60199999999999998"/>
    </cacheField>
  </cacheFields>
  <extLst>
    <ext xmlns:x14="http://schemas.microsoft.com/office/spreadsheetml/2009/9/main" uri="{725AE2AE-9491-48be-B2B4-4EB974FC3084}">
      <x14:pivotCacheDefinition pivotCacheId="153669584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572626851848" createdVersion="8" refreshedVersion="8" minRefreshableVersion="3" recordCount="5" xr:uid="{2C80A358-D08F-4E67-B4D0-42AC3028A99D}">
  <cacheSource type="worksheet">
    <worksheetSource name="KPI"/>
  </cacheSource>
  <cacheFields count="2">
    <cacheField name="KPI" numFmtId="0">
      <sharedItems count="5">
        <s v="Total Order"/>
        <s v="Total Revenue"/>
        <s v="Average Order Value (AOV)"/>
        <s v="Total Unit Cost"/>
        <s v="Gross Profit / loss"/>
      </sharedItems>
    </cacheField>
    <cacheField name="RESULT" numFmtId="0">
      <sharedItems containsSemiMixedTypes="0" containsString="0" containsNumber="1" minValue="21.402999999999999" maxValue="11727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C" refreshedDate="45870.621360532408" createdVersion="8" refreshedVersion="8" minRefreshableVersion="3" recordCount="1000" xr:uid="{C8616B7C-EBE9-495F-AE39-A155CE73C4CD}">
  <cacheSource type="worksheet">
    <worksheetSource name="Greenleaf"/>
  </cacheSource>
  <cacheFields count="18">
    <cacheField name="Order ID" numFmtId="0">
      <sharedItems/>
    </cacheField>
    <cacheField name="Order Date" numFmtId="14">
      <sharedItems containsSemiMixedTypes="0" containsNonDate="0" containsDate="1" containsString="0" minDate="2024-01-01T00:00:00" maxDate="2024-12-31T00:00:00"/>
    </cacheField>
    <cacheField name="Month" numFmtId="14">
      <sharedItems/>
    </cacheField>
    <cacheField name="Year" numFmtId="14">
      <sharedItems/>
    </cacheField>
    <cacheField name="Product Name" numFmtId="0">
      <sharedItems count="5">
        <s v="bIOdegradABlE cLEaNINg cLoTH"/>
        <s v="ecO CANVAS TOTe Bag"/>
        <s v="SoLAR leD lAnTern"/>
        <s v="REUsABle bAMboO uTeNSIL sEt"/>
        <s v="COMpOsTaBLe PlAnT POts"/>
      </sharedItems>
    </cacheField>
    <cacheField name="Product Category" numFmtId="49">
      <sharedItems/>
    </cacheField>
    <cacheField name="Quantity Sold" numFmtId="1">
      <sharedItems containsSemiMixedTypes="0" containsString="0" containsNumber="1" containsInteger="1" minValue="1" maxValue="10"/>
    </cacheField>
    <cacheField name="Unit Price" numFmtId="168">
      <sharedItems containsSemiMixedTypes="0" containsString="0" containsNumber="1" containsInteger="1" minValue="10" maxValue="40"/>
    </cacheField>
    <cacheField name="Unit Cost" numFmtId="167">
      <sharedItems containsSemiMixedTypes="0" containsString="0" containsNumber="1" minValue="2" maxValue="15.98"/>
    </cacheField>
    <cacheField name="Customer ID" numFmtId="0">
      <sharedItems/>
    </cacheField>
    <cacheField name="Customer Name" numFmtId="0">
      <sharedItems/>
    </cacheField>
    <cacheField name="Shipment Status" numFmtId="49">
      <sharedItems/>
    </cacheField>
    <cacheField name="State" numFmtId="49">
      <sharedItems count="10">
        <s v="Michigan"/>
        <s v="North Carolina"/>
        <s v="New York"/>
        <s v="Florida"/>
        <s v="Ohio"/>
        <s v="Texas"/>
        <s v="Illinois"/>
        <s v="Pennsylvania"/>
        <s v="Georgia"/>
        <s v="California"/>
      </sharedItems>
    </cacheField>
    <cacheField name="Proper Product Name" numFmtId="49">
      <sharedItems count="5">
        <s v="Biodegradable Cleaning Cloth"/>
        <s v="Eco Canvas Tote Bag"/>
        <s v="Solar Led Lantern"/>
        <s v="Reusable Bamboo Utensil Set"/>
        <s v="Compostable Plant Pots"/>
      </sharedItems>
    </cacheField>
    <cacheField name="Customer Name2" numFmtId="49">
      <sharedItems/>
    </cacheField>
    <cacheField name=" Unit  price per quantity" numFmtId="168">
      <sharedItems containsSemiMixedTypes="0" containsString="0" containsNumber="1" containsInteger="1" minValue="10" maxValue="400"/>
    </cacheField>
    <cacheField name=" Unit cost per quantity" numFmtId="167">
      <sharedItems containsSemiMixedTypes="0" containsString="0" containsNumber="1" minValue="2" maxValue="159.19999999999999"/>
    </cacheField>
    <cacheField name="Gross profit/loss" numFmtId="167">
      <sharedItems containsSemiMixedTypes="0" containsString="0" containsNumber="1" minValue="6.05" maxValue="319.60000000000002"/>
    </cacheField>
  </cacheFields>
  <extLst>
    <ext xmlns:x14="http://schemas.microsoft.com/office/spreadsheetml/2009/9/main" uri="{725AE2AE-9491-48be-B2B4-4EB974FC3084}">
      <x14:pivotCacheDefinition pivotCacheId="1256396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n v="12522"/>
  </r>
  <r>
    <x v="1"/>
    <x v="0"/>
    <n v="9126"/>
  </r>
  <r>
    <x v="2"/>
    <x v="0"/>
    <n v="10068"/>
  </r>
  <r>
    <x v="3"/>
    <x v="0"/>
    <n v="11214"/>
  </r>
  <r>
    <x v="4"/>
    <x v="0"/>
    <n v="11006"/>
  </r>
  <r>
    <x v="5"/>
    <x v="0"/>
    <n v="7062"/>
  </r>
  <r>
    <x v="6"/>
    <x v="0"/>
    <n v="9817"/>
  </r>
  <r>
    <x v="7"/>
    <x v="0"/>
    <n v="9506"/>
  </r>
  <r>
    <x v="8"/>
    <x v="0"/>
    <n v="7099"/>
  </r>
  <r>
    <x v="9"/>
    <x v="0"/>
    <n v="11384"/>
  </r>
  <r>
    <x v="10"/>
    <x v="0"/>
    <n v="8308"/>
  </r>
  <r>
    <x v="11"/>
    <x v="0"/>
    <n v="101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60199999999999998"/>
  </r>
  <r>
    <x v="1"/>
    <n v="7.1999999999999995E-2"/>
  </r>
  <r>
    <x v="2"/>
    <n v="9.0999999999999998E-2"/>
  </r>
  <r>
    <x v="3"/>
    <n v="0.23499999999999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000"/>
  </r>
  <r>
    <x v="1"/>
    <n v="117278"/>
  </r>
  <r>
    <x v="2"/>
    <n v="21.402999999999999"/>
  </r>
  <r>
    <x v="3"/>
    <n v="35424.520000000019"/>
  </r>
  <r>
    <x v="4"/>
    <n v="81853.47999999998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0001"/>
    <d v="2024-01-01T00:00:00"/>
    <s v="Jan"/>
    <s v="2024"/>
    <x v="0"/>
    <s v="Cleaning"/>
    <n v="10"/>
    <n v="10"/>
    <n v="3.42"/>
    <s v="C0039"/>
    <s v="mAsoN joHnSon"/>
    <s v="Shipped"/>
    <x v="0"/>
    <x v="0"/>
    <s v="Mason Johnson"/>
    <n v="100"/>
    <n v="34.200000000000003"/>
    <n v="65.8"/>
  </r>
  <r>
    <s v="OR0002"/>
    <d v="2024-01-01T00:00:00"/>
    <s v="Jan"/>
    <s v="2024"/>
    <x v="1"/>
    <s v="Bags"/>
    <n v="6"/>
    <n v="25"/>
    <n v="5.08"/>
    <s v="C0122"/>
    <s v="aIDeN DAVIS"/>
    <s v="Delivered"/>
    <x v="1"/>
    <x v="1"/>
    <s v="Aiden Davis"/>
    <n v="150"/>
    <n v="30.48"/>
    <n v="119.52"/>
  </r>
  <r>
    <s v="OR0003"/>
    <d v="2024-01-02T00:00:00"/>
    <s v="Jan"/>
    <s v="2024"/>
    <x v="2"/>
    <s v="Lighting"/>
    <n v="7"/>
    <n v="40"/>
    <n v="12.35"/>
    <s v="C0076"/>
    <s v="mIa JONeS"/>
    <s v="Shipped"/>
    <x v="2"/>
    <x v="2"/>
    <s v="Mia Jones"/>
    <n v="280"/>
    <n v="86.45"/>
    <n v="193.55"/>
  </r>
  <r>
    <s v="OR0004"/>
    <d v="2024-01-02T00:00:00"/>
    <s v="Jan"/>
    <s v="2024"/>
    <x v="0"/>
    <s v="Cleaning"/>
    <n v="5"/>
    <n v="10"/>
    <n v="3.55"/>
    <s v="C0103"/>
    <s v="lIam garCia"/>
    <s v="Delivered"/>
    <x v="3"/>
    <x v="0"/>
    <s v="Liam Garcia"/>
    <n v="50"/>
    <n v="17.75"/>
    <n v="32.25"/>
  </r>
  <r>
    <s v="OR0005"/>
    <d v="2024-01-02T00:00:00"/>
    <s v="Jan"/>
    <s v="2024"/>
    <x v="0"/>
    <s v="Cleaning"/>
    <n v="2"/>
    <n v="10"/>
    <n v="3.27"/>
    <s v="C0162"/>
    <s v="Ethan mILLeR"/>
    <s v="Returned"/>
    <x v="4"/>
    <x v="0"/>
    <s v="Ethan Miller"/>
    <n v="20"/>
    <n v="6.54"/>
    <n v="13.46"/>
  </r>
  <r>
    <s v="OR0006"/>
    <d v="2024-01-02T00:00:00"/>
    <s v="Jan"/>
    <s v="2024"/>
    <x v="2"/>
    <s v="Lighting"/>
    <n v="8"/>
    <n v="40"/>
    <n v="14.7"/>
    <s v="C0114"/>
    <s v="cHARlottE Jones"/>
    <s v="Pending"/>
    <x v="2"/>
    <x v="2"/>
    <s v="Charlotte Jones"/>
    <n v="320"/>
    <n v="117.6"/>
    <n v="202.4"/>
  </r>
  <r>
    <s v="OR0007"/>
    <d v="2024-01-02T00:00:00"/>
    <s v="Jan"/>
    <s v="2024"/>
    <x v="3"/>
    <s v="Kitchenware"/>
    <n v="10"/>
    <n v="15"/>
    <n v="5.5"/>
    <s v="C0052"/>
    <s v="Mia joHnSon"/>
    <s v="Delivered"/>
    <x v="2"/>
    <x v="3"/>
    <s v="Mia Johnson"/>
    <n v="150"/>
    <n v="55"/>
    <n v="95"/>
  </r>
  <r>
    <s v="OR0008"/>
    <d v="2024-01-02T00:00:00"/>
    <s v="Jan"/>
    <s v="2024"/>
    <x v="2"/>
    <s v="Lighting"/>
    <n v="6"/>
    <n v="40"/>
    <n v="8.8000000000000007"/>
    <s v="C0071"/>
    <s v="AvA mARTINeZ"/>
    <s v="Delivered"/>
    <x v="5"/>
    <x v="2"/>
    <s v="Ava Martinez"/>
    <n v="240"/>
    <n v="52.800000000000004"/>
    <n v="187.2"/>
  </r>
  <r>
    <s v="OR0009"/>
    <d v="2024-01-02T00:00:00"/>
    <s v="Jan"/>
    <s v="2024"/>
    <x v="1"/>
    <s v="Bags"/>
    <n v="1"/>
    <n v="25"/>
    <n v="9.01"/>
    <s v="C0088"/>
    <s v="lIam garCia"/>
    <s v="Delivered"/>
    <x v="6"/>
    <x v="1"/>
    <s v="Liam Garcia"/>
    <n v="25"/>
    <n v="9.01"/>
    <n v="15.99"/>
  </r>
  <r>
    <s v="OR0010"/>
    <d v="2024-01-03T00:00:00"/>
    <s v="Jan"/>
    <s v="2024"/>
    <x v="0"/>
    <s v="Cleaning"/>
    <n v="2"/>
    <n v="10"/>
    <n v="2.89"/>
    <s v="C0165"/>
    <s v="haRper dAVIs"/>
    <s v="Delivered"/>
    <x v="1"/>
    <x v="0"/>
    <s v="Harper Davis"/>
    <n v="20"/>
    <n v="5.78"/>
    <n v="14.219999999999999"/>
  </r>
  <r>
    <s v="OR0011"/>
    <d v="2024-01-03T00:00:00"/>
    <s v="Jan"/>
    <s v="2024"/>
    <x v="2"/>
    <s v="Lighting"/>
    <n v="8"/>
    <n v="40"/>
    <n v="9.99"/>
    <s v="C0174"/>
    <s v="mAsoN joHnSon"/>
    <s v="Delivered"/>
    <x v="4"/>
    <x v="2"/>
    <s v="Mason Johnson"/>
    <n v="320"/>
    <n v="79.92"/>
    <n v="240.07999999999998"/>
  </r>
  <r>
    <s v="OR0012"/>
    <d v="2024-01-03T00:00:00"/>
    <s v="Jan"/>
    <s v="2024"/>
    <x v="4"/>
    <s v="Gardening"/>
    <n v="3"/>
    <n v="12"/>
    <n v="2.88"/>
    <s v="C0176"/>
    <s v="oLiver Miller"/>
    <s v="Delivered"/>
    <x v="7"/>
    <x v="4"/>
    <s v="Oliver Miller"/>
    <n v="36"/>
    <n v="8.64"/>
    <n v="27.36"/>
  </r>
  <r>
    <s v="OR0013"/>
    <d v="2024-01-03T00:00:00"/>
    <s v="Jan"/>
    <s v="2024"/>
    <x v="0"/>
    <s v="Cleaning"/>
    <n v="1"/>
    <n v="10"/>
    <n v="2.35"/>
    <s v="C0149"/>
    <s v="soPhiA rODriGuEZ"/>
    <s v="Delivered"/>
    <x v="8"/>
    <x v="0"/>
    <s v="Sophia Rodriguez"/>
    <n v="10"/>
    <n v="2.35"/>
    <n v="7.65"/>
  </r>
  <r>
    <s v="OR0014"/>
    <d v="2024-01-04T00:00:00"/>
    <s v="Jan"/>
    <s v="2024"/>
    <x v="1"/>
    <s v="Bags"/>
    <n v="1"/>
    <n v="25"/>
    <n v="8.85"/>
    <s v="C0184"/>
    <s v="IsAbELla JohNSoN"/>
    <s v="Delivered"/>
    <x v="2"/>
    <x v="1"/>
    <s v="Isabella Johnson"/>
    <n v="25"/>
    <n v="8.85"/>
    <n v="16.149999999999999"/>
  </r>
  <r>
    <s v="OR0015"/>
    <d v="2024-01-04T00:00:00"/>
    <s v="Jan"/>
    <s v="2024"/>
    <x v="2"/>
    <s v="Lighting"/>
    <n v="6"/>
    <n v="40"/>
    <n v="14.54"/>
    <s v="C0113"/>
    <s v="EVElYn smitH"/>
    <s v="Pending"/>
    <x v="1"/>
    <x v="2"/>
    <s v="Evelyn Smith"/>
    <n v="240"/>
    <n v="87.24"/>
    <n v="152.76"/>
  </r>
  <r>
    <s v="OR0016"/>
    <d v="2024-01-04T00:00:00"/>
    <s v="Jan"/>
    <s v="2024"/>
    <x v="0"/>
    <s v="Cleaning"/>
    <n v="10"/>
    <n v="10"/>
    <n v="2.36"/>
    <s v="C0012"/>
    <s v="OLIVIA MaRTinEZ"/>
    <s v="Shipped"/>
    <x v="7"/>
    <x v="0"/>
    <s v="Olivia Martinez"/>
    <n v="100"/>
    <n v="23.599999999999998"/>
    <n v="76.400000000000006"/>
  </r>
  <r>
    <s v="OR0017"/>
    <d v="2024-01-04T00:00:00"/>
    <s v="Jan"/>
    <s v="2024"/>
    <x v="0"/>
    <s v="Cleaning"/>
    <n v="2"/>
    <n v="10"/>
    <n v="2.0699999999999998"/>
    <s v="C0076"/>
    <s v="mIa JONeS"/>
    <s v="Delivered"/>
    <x v="2"/>
    <x v="0"/>
    <s v="Mia Jones"/>
    <n v="20"/>
    <n v="4.1399999999999997"/>
    <n v="15.86"/>
  </r>
  <r>
    <s v="OR0018"/>
    <d v="2024-01-05T00:00:00"/>
    <s v="Jan"/>
    <s v="2024"/>
    <x v="1"/>
    <s v="Bags"/>
    <n v="7"/>
    <n v="25"/>
    <n v="6.64"/>
    <s v="C0082"/>
    <s v="avA joNEs"/>
    <s v="Delivered"/>
    <x v="1"/>
    <x v="1"/>
    <s v="Ava Jones"/>
    <n v="175"/>
    <n v="46.48"/>
    <n v="128.52000000000001"/>
  </r>
  <r>
    <s v="OR0019"/>
    <d v="2024-01-05T00:00:00"/>
    <s v="Jan"/>
    <s v="2024"/>
    <x v="2"/>
    <s v="Lighting"/>
    <n v="5"/>
    <n v="40"/>
    <n v="15.48"/>
    <s v="C0108"/>
    <s v="HarpEr MILLeR"/>
    <s v="Delivered"/>
    <x v="5"/>
    <x v="2"/>
    <s v="Harper Miller"/>
    <n v="200"/>
    <n v="77.400000000000006"/>
    <n v="122.6"/>
  </r>
  <r>
    <s v="OR0020"/>
    <d v="2024-01-05T00:00:00"/>
    <s v="Jan"/>
    <s v="2024"/>
    <x v="0"/>
    <s v="Cleaning"/>
    <n v="8"/>
    <n v="10"/>
    <n v="2.67"/>
    <s v="C0013"/>
    <s v="eVelYN martiNEZ"/>
    <s v="Delivered"/>
    <x v="7"/>
    <x v="0"/>
    <s v="Evelyn Martinez"/>
    <n v="80"/>
    <n v="21.36"/>
    <n v="58.64"/>
  </r>
  <r>
    <s v="OR0021"/>
    <d v="2024-01-05T00:00:00"/>
    <s v="Jan"/>
    <s v="2024"/>
    <x v="4"/>
    <s v="Gardening"/>
    <n v="3"/>
    <n v="12"/>
    <n v="3.23"/>
    <s v="C0122"/>
    <s v="aIDeN DAVIS"/>
    <s v="Delivered"/>
    <x v="6"/>
    <x v="4"/>
    <s v="Aiden Davis"/>
    <n v="36"/>
    <n v="9.69"/>
    <n v="26.310000000000002"/>
  </r>
  <r>
    <s v="OR0022"/>
    <d v="2024-01-06T00:00:00"/>
    <s v="Jan"/>
    <s v="2024"/>
    <x v="2"/>
    <s v="Lighting"/>
    <n v="3"/>
    <n v="40"/>
    <n v="11.81"/>
    <s v="C0191"/>
    <s v="lIaM roDrIGUEZ"/>
    <s v="Pending"/>
    <x v="4"/>
    <x v="2"/>
    <s v="Liam Rodriguez"/>
    <n v="120"/>
    <n v="35.43"/>
    <n v="84.57"/>
  </r>
  <r>
    <s v="OR0023"/>
    <d v="2024-01-06T00:00:00"/>
    <s v="Jan"/>
    <s v="2024"/>
    <x v="2"/>
    <s v="Lighting"/>
    <n v="6"/>
    <n v="40"/>
    <n v="12.11"/>
    <s v="C0014"/>
    <s v="CHARlOtTe GArCIA"/>
    <s v="Delivered"/>
    <x v="4"/>
    <x v="2"/>
    <s v="Charlotte Garcia"/>
    <n v="240"/>
    <n v="72.66"/>
    <n v="167.34"/>
  </r>
  <r>
    <s v="OR0024"/>
    <d v="2024-01-06T00:00:00"/>
    <s v="Jan"/>
    <s v="2024"/>
    <x v="1"/>
    <s v="Bags"/>
    <n v="7"/>
    <n v="25"/>
    <n v="8.4499999999999993"/>
    <s v="C0017"/>
    <s v="lIaM roDrIGUEZ"/>
    <s v="Delivered"/>
    <x v="5"/>
    <x v="1"/>
    <s v="Liam Rodriguez"/>
    <n v="175"/>
    <n v="59.149999999999991"/>
    <n v="115.85000000000001"/>
  </r>
  <r>
    <s v="OR0025"/>
    <d v="2024-01-06T00:00:00"/>
    <s v="Jan"/>
    <s v="2024"/>
    <x v="0"/>
    <s v="Cleaning"/>
    <n v="8"/>
    <n v="10"/>
    <n v="3.8"/>
    <s v="C0160"/>
    <s v="LucAs gaRcia"/>
    <s v="Returned"/>
    <x v="7"/>
    <x v="0"/>
    <s v="Lucas Garcia"/>
    <n v="80"/>
    <n v="30.4"/>
    <n v="49.6"/>
  </r>
  <r>
    <s v="OR0026"/>
    <d v="2024-01-06T00:00:00"/>
    <s v="Jan"/>
    <s v="2024"/>
    <x v="3"/>
    <s v="Kitchenware"/>
    <n v="7"/>
    <n v="15"/>
    <n v="3.13"/>
    <s v="C0052"/>
    <s v="Mia joHnSon"/>
    <s v="Shipped"/>
    <x v="1"/>
    <x v="3"/>
    <s v="Mia Johnson"/>
    <n v="105"/>
    <n v="21.91"/>
    <n v="83.09"/>
  </r>
  <r>
    <s v="OR0027"/>
    <d v="2024-01-06T00:00:00"/>
    <s v="Jan"/>
    <s v="2024"/>
    <x v="0"/>
    <s v="Cleaning"/>
    <n v="6"/>
    <n v="10"/>
    <n v="3.18"/>
    <s v="C0199"/>
    <s v="oLIvIA MILLEr"/>
    <s v="Delivered"/>
    <x v="0"/>
    <x v="0"/>
    <s v="Olivia Miller"/>
    <n v="60"/>
    <n v="19.080000000000002"/>
    <n v="40.92"/>
  </r>
  <r>
    <s v="OR0028"/>
    <d v="2024-01-07T00:00:00"/>
    <s v="Jan"/>
    <s v="2024"/>
    <x v="4"/>
    <s v="Gardening"/>
    <n v="9"/>
    <n v="12"/>
    <n v="3.94"/>
    <s v="C0104"/>
    <s v="mAsOn roDRiguez"/>
    <s v="Delivered"/>
    <x v="2"/>
    <x v="4"/>
    <s v="Mason Rodriguez"/>
    <n v="108"/>
    <n v="35.46"/>
    <n v="72.539999999999992"/>
  </r>
  <r>
    <s v="OR0029"/>
    <d v="2024-01-07T00:00:00"/>
    <s v="Jan"/>
    <s v="2024"/>
    <x v="2"/>
    <s v="Lighting"/>
    <n v="3"/>
    <n v="40"/>
    <n v="10.79"/>
    <s v="C0038"/>
    <s v="Noah MARtINez"/>
    <s v="Delivered"/>
    <x v="1"/>
    <x v="2"/>
    <s v="Noah Martinez"/>
    <n v="120"/>
    <n v="32.369999999999997"/>
    <n v="87.63"/>
  </r>
  <r>
    <s v="OR0030"/>
    <d v="2024-01-07T00:00:00"/>
    <s v="Jan"/>
    <s v="2024"/>
    <x v="1"/>
    <s v="Bags"/>
    <n v="4"/>
    <n v="25"/>
    <n v="8.43"/>
    <s v="C0088"/>
    <s v="lIam garCia"/>
    <s v="Shipped"/>
    <x v="7"/>
    <x v="1"/>
    <s v="Liam Garcia"/>
    <n v="100"/>
    <n v="33.72"/>
    <n v="66.28"/>
  </r>
  <r>
    <s v="OR0031"/>
    <d v="2024-01-08T00:00:00"/>
    <s v="Jan"/>
    <s v="2024"/>
    <x v="3"/>
    <s v="Kitchenware"/>
    <n v="5"/>
    <n v="15"/>
    <n v="3.55"/>
    <s v="C0167"/>
    <s v="aidEN bROWn"/>
    <s v="Delivered"/>
    <x v="3"/>
    <x v="3"/>
    <s v="Aiden Brown"/>
    <n v="75"/>
    <n v="17.75"/>
    <n v="57.25"/>
  </r>
  <r>
    <s v="OR0032"/>
    <d v="2024-01-08T00:00:00"/>
    <s v="Jan"/>
    <s v="2024"/>
    <x v="3"/>
    <s v="Kitchenware"/>
    <n v="6"/>
    <n v="15"/>
    <n v="4.04"/>
    <s v="C0151"/>
    <s v="Emma SMITh"/>
    <s v="Delivered"/>
    <x v="0"/>
    <x v="3"/>
    <s v="Emma Smith"/>
    <n v="90"/>
    <n v="24.240000000000002"/>
    <n v="65.759999999999991"/>
  </r>
  <r>
    <s v="OR0033"/>
    <d v="2024-01-09T00:00:00"/>
    <s v="Jan"/>
    <s v="2024"/>
    <x v="0"/>
    <s v="Cleaning"/>
    <n v="8"/>
    <n v="10"/>
    <n v="2.6"/>
    <s v="C0033"/>
    <s v="miA roDriGuez"/>
    <s v="Pending"/>
    <x v="7"/>
    <x v="0"/>
    <s v="Mia Rodriguez"/>
    <n v="80"/>
    <n v="20.8"/>
    <n v="59.2"/>
  </r>
  <r>
    <s v="OR0034"/>
    <d v="2024-01-09T00:00:00"/>
    <s v="Jan"/>
    <s v="2024"/>
    <x v="4"/>
    <s v="Gardening"/>
    <n v="10"/>
    <n v="12"/>
    <n v="2.74"/>
    <s v="C0181"/>
    <s v="OlIvIA GARcia"/>
    <s v="Delivered"/>
    <x v="4"/>
    <x v="4"/>
    <s v="Olivia Garcia"/>
    <n v="120"/>
    <n v="27.400000000000002"/>
    <n v="92.6"/>
  </r>
  <r>
    <s v="OR0035"/>
    <d v="2024-01-10T00:00:00"/>
    <s v="Jan"/>
    <s v="2024"/>
    <x v="1"/>
    <s v="Bags"/>
    <n v="10"/>
    <n v="25"/>
    <n v="9.86"/>
    <s v="C0012"/>
    <s v="OLIVIA MaRTinEZ"/>
    <s v="Delivered"/>
    <x v="4"/>
    <x v="1"/>
    <s v="Olivia Martinez"/>
    <n v="250"/>
    <n v="98.6"/>
    <n v="151.4"/>
  </r>
  <r>
    <s v="OR0036"/>
    <d v="2024-01-10T00:00:00"/>
    <s v="Jan"/>
    <s v="2024"/>
    <x v="4"/>
    <s v="Gardening"/>
    <n v="9"/>
    <n v="12"/>
    <n v="3.33"/>
    <s v="C0052"/>
    <s v="Mia joHnSon"/>
    <s v="Delivered"/>
    <x v="6"/>
    <x v="4"/>
    <s v="Mia Johnson"/>
    <n v="108"/>
    <n v="29.97"/>
    <n v="78.03"/>
  </r>
  <r>
    <s v="OR0037"/>
    <d v="2024-01-10T00:00:00"/>
    <s v="Jan"/>
    <s v="2024"/>
    <x v="3"/>
    <s v="Kitchenware"/>
    <n v="6"/>
    <n v="15"/>
    <n v="3.13"/>
    <s v="C0157"/>
    <s v="oLivIa jOHNsON"/>
    <s v="Delivered"/>
    <x v="9"/>
    <x v="3"/>
    <s v="Olivia Johnson"/>
    <n v="90"/>
    <n v="18.78"/>
    <n v="71.22"/>
  </r>
  <r>
    <s v="OR0038"/>
    <d v="2024-01-11T00:00:00"/>
    <s v="Jan"/>
    <s v="2024"/>
    <x v="4"/>
    <s v="Gardening"/>
    <n v="4"/>
    <n v="12"/>
    <n v="4.74"/>
    <s v="C0084"/>
    <s v="EtHaN jOnES"/>
    <s v="Pending"/>
    <x v="6"/>
    <x v="4"/>
    <s v="Ethan Jones"/>
    <n v="48"/>
    <n v="18.96"/>
    <n v="29.04"/>
  </r>
  <r>
    <s v="OR0039"/>
    <d v="2024-01-12T00:00:00"/>
    <s v="Jan"/>
    <s v="2024"/>
    <x v="4"/>
    <s v="Gardening"/>
    <n v="9"/>
    <n v="12"/>
    <n v="4.33"/>
    <s v="C0085"/>
    <s v="eThan mARTIneZ"/>
    <s v="Delivered"/>
    <x v="5"/>
    <x v="4"/>
    <s v="Ethan Martinez"/>
    <n v="108"/>
    <n v="38.97"/>
    <n v="69.03"/>
  </r>
  <r>
    <s v="OR0040"/>
    <d v="2024-01-12T00:00:00"/>
    <s v="Jan"/>
    <s v="2024"/>
    <x v="1"/>
    <s v="Bags"/>
    <n v="3"/>
    <n v="25"/>
    <n v="8.17"/>
    <s v="C0188"/>
    <s v="LUCAS wiLlIaMS"/>
    <s v="Shipped"/>
    <x v="3"/>
    <x v="1"/>
    <s v="Lucas Williams"/>
    <n v="75"/>
    <n v="24.509999999999998"/>
    <n v="50.49"/>
  </r>
  <r>
    <s v="OR0041"/>
    <d v="2024-01-12T00:00:00"/>
    <s v="Jan"/>
    <s v="2024"/>
    <x v="1"/>
    <s v="Bags"/>
    <n v="6"/>
    <n v="25"/>
    <n v="6.37"/>
    <s v="C0043"/>
    <s v="logan roDRIgUEZ"/>
    <s v="Delivered"/>
    <x v="5"/>
    <x v="1"/>
    <s v="Logan Rodriguez"/>
    <n v="150"/>
    <n v="38.22"/>
    <n v="111.78"/>
  </r>
  <r>
    <s v="OR0042"/>
    <d v="2024-01-13T00:00:00"/>
    <s v="Jan"/>
    <s v="2024"/>
    <x v="1"/>
    <s v="Bags"/>
    <n v="7"/>
    <n v="25"/>
    <n v="6.03"/>
    <s v="C0053"/>
    <s v="mIa JOhnsON"/>
    <s v="Delivered"/>
    <x v="7"/>
    <x v="1"/>
    <s v="Mia Johnson"/>
    <n v="175"/>
    <n v="42.21"/>
    <n v="132.79"/>
  </r>
  <r>
    <s v="OR0043"/>
    <d v="2024-01-13T00:00:00"/>
    <s v="Jan"/>
    <s v="2024"/>
    <x v="2"/>
    <s v="Lighting"/>
    <n v="7"/>
    <n v="40"/>
    <n v="11.98"/>
    <s v="C0022"/>
    <s v="jAmES sMiTH"/>
    <s v="Shipped"/>
    <x v="5"/>
    <x v="2"/>
    <s v="James Smith"/>
    <n v="280"/>
    <n v="83.86"/>
    <n v="196.14"/>
  </r>
  <r>
    <s v="OR0044"/>
    <d v="2024-01-13T00:00:00"/>
    <s v="Jan"/>
    <s v="2024"/>
    <x v="0"/>
    <s v="Cleaning"/>
    <n v="2"/>
    <n v="10"/>
    <n v="2.46"/>
    <s v="C0081"/>
    <s v="MasoN mILLeR"/>
    <s v="Delivered"/>
    <x v="8"/>
    <x v="0"/>
    <s v="Mason Miller"/>
    <n v="20"/>
    <n v="4.92"/>
    <n v="15.08"/>
  </r>
  <r>
    <s v="OR0045"/>
    <d v="2024-01-13T00:00:00"/>
    <s v="Jan"/>
    <s v="2024"/>
    <x v="4"/>
    <s v="Gardening"/>
    <n v="5"/>
    <n v="12"/>
    <n v="4.2"/>
    <s v="C0106"/>
    <s v="aVA MartINez"/>
    <s v="Returned"/>
    <x v="8"/>
    <x v="4"/>
    <s v="Ava Martinez"/>
    <n v="60"/>
    <n v="21"/>
    <n v="39"/>
  </r>
  <r>
    <s v="OR0046"/>
    <d v="2024-01-14T00:00:00"/>
    <s v="Jan"/>
    <s v="2024"/>
    <x v="1"/>
    <s v="Bags"/>
    <n v="5"/>
    <n v="25"/>
    <n v="6.32"/>
    <s v="C0069"/>
    <s v="LiaM GarCia"/>
    <s v="Delivered"/>
    <x v="5"/>
    <x v="1"/>
    <s v="Liam Garcia"/>
    <n v="125"/>
    <n v="31.6"/>
    <n v="93.4"/>
  </r>
  <r>
    <s v="OR0047"/>
    <d v="2024-01-14T00:00:00"/>
    <s v="Jan"/>
    <s v="2024"/>
    <x v="0"/>
    <s v="Cleaning"/>
    <n v="7"/>
    <n v="10"/>
    <n v="2.88"/>
    <s v="C0164"/>
    <s v="ChArLotTE daviS"/>
    <s v="Shipped"/>
    <x v="1"/>
    <x v="0"/>
    <s v="Charlotte Davis"/>
    <n v="70"/>
    <n v="20.16"/>
    <n v="49.84"/>
  </r>
  <r>
    <s v="OR0048"/>
    <d v="2024-01-14T00:00:00"/>
    <s v="Jan"/>
    <s v="2024"/>
    <x v="0"/>
    <s v="Cleaning"/>
    <n v="3"/>
    <n v="10"/>
    <n v="3.54"/>
    <s v="C0103"/>
    <s v="lIam garCia"/>
    <s v="Shipped"/>
    <x v="3"/>
    <x v="0"/>
    <s v="Liam Garcia"/>
    <n v="30"/>
    <n v="10.620000000000001"/>
    <n v="19.38"/>
  </r>
  <r>
    <s v="OR0049"/>
    <d v="2024-01-14T00:00:00"/>
    <s v="Jan"/>
    <s v="2024"/>
    <x v="2"/>
    <s v="Lighting"/>
    <n v="1"/>
    <n v="40"/>
    <n v="15.48"/>
    <s v="C0161"/>
    <s v="CHARlOttE gArCiA"/>
    <s v="Pending"/>
    <x v="1"/>
    <x v="2"/>
    <s v="Charlotte Garcia"/>
    <n v="40"/>
    <n v="15.48"/>
    <n v="24.52"/>
  </r>
  <r>
    <s v="OR0050"/>
    <d v="2024-01-14T00:00:00"/>
    <s v="Jan"/>
    <s v="2024"/>
    <x v="2"/>
    <s v="Lighting"/>
    <n v="5"/>
    <n v="40"/>
    <n v="13.2"/>
    <s v="C0086"/>
    <s v="OlIVER johnsOn"/>
    <s v="Delivered"/>
    <x v="6"/>
    <x v="2"/>
    <s v="Oliver Johnson"/>
    <n v="200"/>
    <n v="66"/>
    <n v="134"/>
  </r>
  <r>
    <s v="OR0051"/>
    <d v="2024-01-14T00:00:00"/>
    <s v="Jan"/>
    <s v="2024"/>
    <x v="1"/>
    <s v="Bags"/>
    <n v="4"/>
    <n v="25"/>
    <n v="7.94"/>
    <s v="C0059"/>
    <s v="LOGaN rODrIgUEz"/>
    <s v="Delivered"/>
    <x v="0"/>
    <x v="1"/>
    <s v="Logan Rodriguez"/>
    <n v="100"/>
    <n v="31.76"/>
    <n v="68.239999999999995"/>
  </r>
  <r>
    <s v="OR0052"/>
    <d v="2024-01-14T00:00:00"/>
    <s v="Jan"/>
    <s v="2024"/>
    <x v="0"/>
    <s v="Cleaning"/>
    <n v="6"/>
    <n v="10"/>
    <n v="2.73"/>
    <s v="C0158"/>
    <s v="isABElla jOneS"/>
    <s v="Delivered"/>
    <x v="2"/>
    <x v="0"/>
    <s v="Isabella Jones"/>
    <n v="60"/>
    <n v="16.38"/>
    <n v="43.620000000000005"/>
  </r>
  <r>
    <s v="OR0053"/>
    <d v="2024-01-14T00:00:00"/>
    <s v="Jan"/>
    <s v="2024"/>
    <x v="2"/>
    <s v="Lighting"/>
    <n v="2"/>
    <n v="40"/>
    <n v="13.63"/>
    <s v="C0119"/>
    <s v="mAson ROdrigUEz"/>
    <s v="Shipped"/>
    <x v="0"/>
    <x v="2"/>
    <s v="Mason Rodriguez"/>
    <n v="80"/>
    <n v="27.26"/>
    <n v="52.739999999999995"/>
  </r>
  <r>
    <s v="OR0054"/>
    <d v="2024-01-14T00:00:00"/>
    <s v="Jan"/>
    <s v="2024"/>
    <x v="2"/>
    <s v="Lighting"/>
    <n v="1"/>
    <n v="40"/>
    <n v="11.98"/>
    <s v="C0054"/>
    <s v="IsabELLA RoDRIgUEz"/>
    <s v="Delivered"/>
    <x v="4"/>
    <x v="2"/>
    <s v="Isabella Rodriguez"/>
    <n v="40"/>
    <n v="11.98"/>
    <n v="28.02"/>
  </r>
  <r>
    <s v="OR0055"/>
    <d v="2024-01-15T00:00:00"/>
    <s v="Jan"/>
    <s v="2024"/>
    <x v="1"/>
    <s v="Bags"/>
    <n v="5"/>
    <n v="25"/>
    <n v="6.78"/>
    <s v="C0073"/>
    <s v="HarPEr bRowN"/>
    <s v="Returned"/>
    <x v="0"/>
    <x v="1"/>
    <s v="Harper Brown"/>
    <n v="125"/>
    <n v="33.9"/>
    <n v="91.1"/>
  </r>
  <r>
    <s v="OR0056"/>
    <d v="2024-01-16T00:00:00"/>
    <s v="Jan"/>
    <s v="2024"/>
    <x v="3"/>
    <s v="Kitchenware"/>
    <n v="5"/>
    <n v="15"/>
    <n v="5.35"/>
    <s v="C0077"/>
    <s v="MaSon WillIAMs"/>
    <s v="Delivered"/>
    <x v="6"/>
    <x v="3"/>
    <s v="Mason Williams"/>
    <n v="75"/>
    <n v="26.75"/>
    <n v="48.25"/>
  </r>
  <r>
    <s v="OR0057"/>
    <d v="2024-01-17T00:00:00"/>
    <s v="Jan"/>
    <s v="2024"/>
    <x v="0"/>
    <s v="Cleaning"/>
    <n v="1"/>
    <n v="10"/>
    <n v="3.11"/>
    <s v="C0034"/>
    <s v="EtHan RodrIgUEz"/>
    <s v="Shipped"/>
    <x v="6"/>
    <x v="0"/>
    <s v="Ethan Rodriguez"/>
    <n v="10"/>
    <n v="3.11"/>
    <n v="6.8900000000000006"/>
  </r>
  <r>
    <s v="OR0058"/>
    <d v="2024-01-17T00:00:00"/>
    <s v="Jan"/>
    <s v="2024"/>
    <x v="2"/>
    <s v="Lighting"/>
    <n v="7"/>
    <n v="40"/>
    <n v="9.3800000000000008"/>
    <s v="C0066"/>
    <s v="JaMeS garcIA"/>
    <s v="Shipped"/>
    <x v="7"/>
    <x v="2"/>
    <s v="James Garcia"/>
    <n v="280"/>
    <n v="65.660000000000011"/>
    <n v="214.33999999999997"/>
  </r>
  <r>
    <s v="OR0059"/>
    <d v="2024-01-18T00:00:00"/>
    <s v="Jan"/>
    <s v="2024"/>
    <x v="0"/>
    <s v="Cleaning"/>
    <n v="1"/>
    <n v="10"/>
    <n v="3.75"/>
    <s v="C0196"/>
    <s v="mia MILLER"/>
    <s v="Returned"/>
    <x v="0"/>
    <x v="0"/>
    <s v="Mia Miller"/>
    <n v="10"/>
    <n v="3.75"/>
    <n v="6.25"/>
  </r>
  <r>
    <s v="OR0060"/>
    <d v="2024-01-18T00:00:00"/>
    <s v="Jan"/>
    <s v="2024"/>
    <x v="1"/>
    <s v="Bags"/>
    <n v="6"/>
    <n v="25"/>
    <n v="7.18"/>
    <s v="C0145"/>
    <s v="SoPHiA brown"/>
    <s v="Delivered"/>
    <x v="6"/>
    <x v="1"/>
    <s v="Sophia Brown"/>
    <n v="150"/>
    <n v="43.08"/>
    <n v="106.92"/>
  </r>
  <r>
    <s v="OR0061"/>
    <d v="2024-01-18T00:00:00"/>
    <s v="Jan"/>
    <s v="2024"/>
    <x v="4"/>
    <s v="Gardening"/>
    <n v="3"/>
    <n v="12"/>
    <n v="4.53"/>
    <s v="C0094"/>
    <s v="aIDen jones"/>
    <s v="Delivered"/>
    <x v="1"/>
    <x v="4"/>
    <s v="Aiden Jones"/>
    <n v="36"/>
    <n v="13.59"/>
    <n v="22.41"/>
  </r>
  <r>
    <s v="OR0062"/>
    <d v="2024-01-19T00:00:00"/>
    <s v="Jan"/>
    <s v="2024"/>
    <x v="0"/>
    <s v="Cleaning"/>
    <n v="2"/>
    <n v="10"/>
    <n v="3.53"/>
    <s v="C0105"/>
    <s v="elIjah DavIS"/>
    <s v="Delivered"/>
    <x v="9"/>
    <x v="0"/>
    <s v="Elijah Davis"/>
    <n v="20"/>
    <n v="7.06"/>
    <n v="12.940000000000001"/>
  </r>
  <r>
    <s v="OR0063"/>
    <d v="2024-01-19T00:00:00"/>
    <s v="Jan"/>
    <s v="2024"/>
    <x v="0"/>
    <s v="Cleaning"/>
    <n v="6"/>
    <n v="10"/>
    <n v="2.13"/>
    <s v="C0064"/>
    <s v="sOPHia mARtinEZ"/>
    <s v="Delivered"/>
    <x v="4"/>
    <x v="0"/>
    <s v="Sophia Martinez"/>
    <n v="60"/>
    <n v="12.78"/>
    <n v="47.22"/>
  </r>
  <r>
    <s v="OR0064"/>
    <d v="2024-01-19T00:00:00"/>
    <s v="Jan"/>
    <s v="2024"/>
    <x v="3"/>
    <s v="Kitchenware"/>
    <n v="3"/>
    <n v="15"/>
    <n v="3.45"/>
    <s v="C0139"/>
    <s v="AmELIa GARCIa"/>
    <s v="Delivered"/>
    <x v="9"/>
    <x v="3"/>
    <s v="Amelia Garcia"/>
    <n v="45"/>
    <n v="10.350000000000001"/>
    <n v="34.65"/>
  </r>
  <r>
    <s v="OR0065"/>
    <d v="2024-01-20T00:00:00"/>
    <s v="Jan"/>
    <s v="2024"/>
    <x v="3"/>
    <s v="Kitchenware"/>
    <n v="10"/>
    <n v="15"/>
    <n v="4.71"/>
    <s v="C0065"/>
    <s v="avA rodRiGUEz"/>
    <s v="Delivered"/>
    <x v="0"/>
    <x v="3"/>
    <s v="Ava Rodriguez"/>
    <n v="150"/>
    <n v="47.1"/>
    <n v="102.9"/>
  </r>
  <r>
    <s v="OR0066"/>
    <d v="2024-01-20T00:00:00"/>
    <s v="Jan"/>
    <s v="2024"/>
    <x v="1"/>
    <s v="Bags"/>
    <n v="3"/>
    <n v="25"/>
    <n v="5.42"/>
    <s v="C0014"/>
    <s v="CHARlOtTe GArCIA"/>
    <s v="Delivered"/>
    <x v="8"/>
    <x v="1"/>
    <s v="Charlotte Garcia"/>
    <n v="75"/>
    <n v="16.259999999999998"/>
    <n v="58.74"/>
  </r>
  <r>
    <s v="OR0067"/>
    <d v="2024-01-20T00:00:00"/>
    <s v="Jan"/>
    <s v="2024"/>
    <x v="3"/>
    <s v="Kitchenware"/>
    <n v="6"/>
    <n v="15"/>
    <n v="4.32"/>
    <s v="C0062"/>
    <s v="emma dAviS"/>
    <s v="Delivered"/>
    <x v="0"/>
    <x v="3"/>
    <s v="Emma Davis"/>
    <n v="90"/>
    <n v="25.92"/>
    <n v="64.08"/>
  </r>
  <r>
    <s v="OR0068"/>
    <d v="2024-01-21T00:00:00"/>
    <s v="Jan"/>
    <s v="2024"/>
    <x v="2"/>
    <s v="Lighting"/>
    <n v="7"/>
    <n v="40"/>
    <n v="9.9700000000000006"/>
    <s v="C0128"/>
    <s v="jamEs wILLIAmS"/>
    <s v="Delivered"/>
    <x v="7"/>
    <x v="2"/>
    <s v="James Williams"/>
    <n v="280"/>
    <n v="69.790000000000006"/>
    <n v="210.20999999999998"/>
  </r>
  <r>
    <s v="OR0069"/>
    <d v="2024-01-21T00:00:00"/>
    <s v="Jan"/>
    <s v="2024"/>
    <x v="4"/>
    <s v="Gardening"/>
    <n v="1"/>
    <n v="12"/>
    <n v="3.78"/>
    <s v="C0145"/>
    <s v="SoPHiA brown"/>
    <s v="Delivered"/>
    <x v="7"/>
    <x v="4"/>
    <s v="Sophia Brown"/>
    <n v="12"/>
    <n v="3.78"/>
    <n v="8.2200000000000006"/>
  </r>
  <r>
    <s v="OR0070"/>
    <d v="2024-01-22T00:00:00"/>
    <s v="Jan"/>
    <s v="2024"/>
    <x v="2"/>
    <s v="Lighting"/>
    <n v="2"/>
    <n v="40"/>
    <n v="8.1999999999999993"/>
    <s v="C0145"/>
    <s v="SoPHiA brown"/>
    <s v="Delivered"/>
    <x v="7"/>
    <x v="2"/>
    <s v="Sophia Brown"/>
    <n v="80"/>
    <n v="16.399999999999999"/>
    <n v="63.6"/>
  </r>
  <r>
    <s v="OR0071"/>
    <d v="2024-01-22T00:00:00"/>
    <s v="Jan"/>
    <s v="2024"/>
    <x v="2"/>
    <s v="Lighting"/>
    <n v="2"/>
    <n v="40"/>
    <n v="9.2100000000000009"/>
    <s v="C0045"/>
    <s v="lIaM smith"/>
    <s v="Delivered"/>
    <x v="7"/>
    <x v="2"/>
    <s v="Liam Smith"/>
    <n v="80"/>
    <n v="18.420000000000002"/>
    <n v="61.58"/>
  </r>
  <r>
    <s v="OR0072"/>
    <d v="2024-01-22T00:00:00"/>
    <s v="Jan"/>
    <s v="2024"/>
    <x v="3"/>
    <s v="Kitchenware"/>
    <n v="7"/>
    <n v="15"/>
    <n v="5.93"/>
    <s v="C0067"/>
    <s v="lOGan SMITh"/>
    <s v="Delivered"/>
    <x v="0"/>
    <x v="3"/>
    <s v="Logan Smith"/>
    <n v="105"/>
    <n v="41.51"/>
    <n v="63.49"/>
  </r>
  <r>
    <s v="OR0073"/>
    <d v="2024-01-22T00:00:00"/>
    <s v="Jan"/>
    <s v="2024"/>
    <x v="3"/>
    <s v="Kitchenware"/>
    <n v="7"/>
    <n v="15"/>
    <n v="4.4800000000000004"/>
    <s v="C0054"/>
    <s v="IsabELLA RoDRIgUEz"/>
    <s v="Delivered"/>
    <x v="6"/>
    <x v="3"/>
    <s v="Isabella Rodriguez"/>
    <n v="105"/>
    <n v="31.360000000000003"/>
    <n v="73.64"/>
  </r>
  <r>
    <s v="OR0074"/>
    <d v="2024-01-22T00:00:00"/>
    <s v="Jan"/>
    <s v="2024"/>
    <x v="0"/>
    <s v="Cleaning"/>
    <n v="1"/>
    <n v="10"/>
    <n v="3.95"/>
    <s v="C0101"/>
    <s v="lIam GArCiA"/>
    <s v="Delivered"/>
    <x v="4"/>
    <x v="0"/>
    <s v="Liam Garcia"/>
    <n v="10"/>
    <n v="3.95"/>
    <n v="6.05"/>
  </r>
  <r>
    <s v="OR0075"/>
    <d v="2024-01-22T00:00:00"/>
    <s v="Jan"/>
    <s v="2024"/>
    <x v="4"/>
    <s v="Gardening"/>
    <n v="1"/>
    <n v="12"/>
    <n v="4.5999999999999996"/>
    <s v="C0100"/>
    <s v="logAn sMItH"/>
    <s v="Delivered"/>
    <x v="7"/>
    <x v="4"/>
    <s v="Logan Smith"/>
    <n v="12"/>
    <n v="4.5999999999999996"/>
    <n v="7.4"/>
  </r>
  <r>
    <s v="OR0076"/>
    <d v="2024-01-23T00:00:00"/>
    <s v="Jan"/>
    <s v="2024"/>
    <x v="1"/>
    <s v="Bags"/>
    <n v="4"/>
    <n v="25"/>
    <n v="8.75"/>
    <s v="C0141"/>
    <s v="eVeLYn mARtiNez"/>
    <s v="Delivered"/>
    <x v="5"/>
    <x v="1"/>
    <s v="Evelyn Martinez"/>
    <n v="100"/>
    <n v="35"/>
    <n v="65"/>
  </r>
  <r>
    <s v="OR0077"/>
    <d v="2024-01-24T00:00:00"/>
    <s v="Jan"/>
    <s v="2024"/>
    <x v="0"/>
    <s v="Cleaning"/>
    <n v="8"/>
    <n v="10"/>
    <n v="2.83"/>
    <s v="C0191"/>
    <s v="lIaM roDrIGUEZ"/>
    <s v="Pending"/>
    <x v="0"/>
    <x v="0"/>
    <s v="Liam Rodriguez"/>
    <n v="80"/>
    <n v="22.64"/>
    <n v="57.36"/>
  </r>
  <r>
    <s v="OR0078"/>
    <d v="2024-01-24T00:00:00"/>
    <s v="Jan"/>
    <s v="2024"/>
    <x v="1"/>
    <s v="Bags"/>
    <n v="8"/>
    <n v="25"/>
    <n v="5.86"/>
    <s v="C0009"/>
    <s v="eThAN WIlLIamS"/>
    <s v="Delivered"/>
    <x v="4"/>
    <x v="1"/>
    <s v="Ethan Williams"/>
    <n v="200"/>
    <n v="46.88"/>
    <n v="153.12"/>
  </r>
  <r>
    <s v="OR0079"/>
    <d v="2024-01-24T00:00:00"/>
    <s v="Jan"/>
    <s v="2024"/>
    <x v="1"/>
    <s v="Bags"/>
    <n v="4"/>
    <n v="25"/>
    <n v="9.89"/>
    <s v="C0057"/>
    <s v="EvElyn MiLLeR"/>
    <s v="Delivered"/>
    <x v="8"/>
    <x v="1"/>
    <s v="Evelyn Miller"/>
    <n v="100"/>
    <n v="39.56"/>
    <n v="60.44"/>
  </r>
  <r>
    <s v="OR0080"/>
    <d v="2024-01-25T00:00:00"/>
    <s v="Jan"/>
    <s v="2024"/>
    <x v="2"/>
    <s v="Lighting"/>
    <n v="5"/>
    <n v="40"/>
    <n v="10.28"/>
    <s v="C0120"/>
    <s v="HARper SmiTh"/>
    <s v="Delivered"/>
    <x v="5"/>
    <x v="2"/>
    <s v="Harper Smith"/>
    <n v="200"/>
    <n v="51.4"/>
    <n v="148.6"/>
  </r>
  <r>
    <s v="OR0081"/>
    <d v="2024-01-26T00:00:00"/>
    <s v="Jan"/>
    <s v="2024"/>
    <x v="3"/>
    <s v="Kitchenware"/>
    <n v="7"/>
    <n v="15"/>
    <n v="5.82"/>
    <s v="C0139"/>
    <s v="AmELIa GARCIa"/>
    <s v="Returned"/>
    <x v="7"/>
    <x v="3"/>
    <s v="Amelia Garcia"/>
    <n v="105"/>
    <n v="40.74"/>
    <n v="64.259999999999991"/>
  </r>
  <r>
    <s v="OR0082"/>
    <d v="2024-01-26T00:00:00"/>
    <s v="Jan"/>
    <s v="2024"/>
    <x v="0"/>
    <s v="Cleaning"/>
    <n v="9"/>
    <n v="10"/>
    <n v="3.04"/>
    <s v="C0156"/>
    <s v="cHARlottE GArciA"/>
    <s v="Delivered"/>
    <x v="9"/>
    <x v="0"/>
    <s v="Charlotte Garcia"/>
    <n v="90"/>
    <n v="27.36"/>
    <n v="62.64"/>
  </r>
  <r>
    <s v="OR0083"/>
    <d v="2024-01-26T00:00:00"/>
    <s v="Jan"/>
    <s v="2024"/>
    <x v="0"/>
    <s v="Cleaning"/>
    <n v="7"/>
    <n v="10"/>
    <n v="2.2400000000000002"/>
    <s v="C0066"/>
    <s v="JaMeS garcIA"/>
    <s v="Delivered"/>
    <x v="9"/>
    <x v="0"/>
    <s v="James Garcia"/>
    <n v="70"/>
    <n v="15.680000000000001"/>
    <n v="54.32"/>
  </r>
  <r>
    <s v="OR0084"/>
    <d v="2024-01-27T00:00:00"/>
    <s v="Jan"/>
    <s v="2024"/>
    <x v="1"/>
    <s v="Bags"/>
    <n v="2"/>
    <n v="25"/>
    <n v="6.69"/>
    <s v="C0195"/>
    <s v="MASoN dAVis"/>
    <s v="Delivered"/>
    <x v="9"/>
    <x v="1"/>
    <s v="Mason Davis"/>
    <n v="50"/>
    <n v="13.38"/>
    <n v="36.619999999999997"/>
  </r>
  <r>
    <s v="OR0085"/>
    <d v="2024-01-27T00:00:00"/>
    <s v="Jan"/>
    <s v="2024"/>
    <x v="3"/>
    <s v="Kitchenware"/>
    <n v="9"/>
    <n v="15"/>
    <n v="3.37"/>
    <s v="C0182"/>
    <s v="AVA MilLEr"/>
    <s v="Delivered"/>
    <x v="0"/>
    <x v="3"/>
    <s v="Ava Miller"/>
    <n v="135"/>
    <n v="30.330000000000002"/>
    <n v="104.67"/>
  </r>
  <r>
    <s v="OR0086"/>
    <d v="2024-01-27T00:00:00"/>
    <s v="Jan"/>
    <s v="2024"/>
    <x v="1"/>
    <s v="Bags"/>
    <n v="4"/>
    <n v="25"/>
    <n v="8.91"/>
    <s v="C0021"/>
    <s v="isABelLA RoDriGUEZ"/>
    <s v="Returned"/>
    <x v="7"/>
    <x v="1"/>
    <s v="Isabella Rodriguez"/>
    <n v="100"/>
    <n v="35.64"/>
    <n v="64.36"/>
  </r>
  <r>
    <s v="OR0087"/>
    <d v="2024-01-27T00:00:00"/>
    <s v="Jan"/>
    <s v="2024"/>
    <x v="4"/>
    <s v="Gardening"/>
    <n v="1"/>
    <n v="12"/>
    <n v="2.87"/>
    <s v="C0146"/>
    <s v="isAbeLla GARCia"/>
    <s v="Shipped"/>
    <x v="5"/>
    <x v="4"/>
    <s v="Isabella Garcia"/>
    <n v="12"/>
    <n v="2.87"/>
    <n v="9.129999999999999"/>
  </r>
  <r>
    <s v="OR0088"/>
    <d v="2024-01-27T00:00:00"/>
    <s v="Jan"/>
    <s v="2024"/>
    <x v="2"/>
    <s v="Lighting"/>
    <n v="6"/>
    <n v="40"/>
    <n v="11.82"/>
    <s v="C0171"/>
    <s v="MiA DAvis"/>
    <s v="Delivered"/>
    <x v="0"/>
    <x v="2"/>
    <s v="Mia Davis"/>
    <n v="240"/>
    <n v="70.92"/>
    <n v="169.07999999999998"/>
  </r>
  <r>
    <s v="OR0089"/>
    <d v="2024-01-27T00:00:00"/>
    <s v="Jan"/>
    <s v="2024"/>
    <x v="1"/>
    <s v="Bags"/>
    <n v="6"/>
    <n v="25"/>
    <n v="9.0500000000000007"/>
    <s v="C0062"/>
    <s v="emma dAviS"/>
    <s v="Shipped"/>
    <x v="8"/>
    <x v="1"/>
    <s v="Emma Davis"/>
    <n v="150"/>
    <n v="54.300000000000004"/>
    <n v="95.699999999999989"/>
  </r>
  <r>
    <s v="OR0090"/>
    <d v="2024-01-28T00:00:00"/>
    <s v="Jan"/>
    <s v="2024"/>
    <x v="4"/>
    <s v="Gardening"/>
    <n v="10"/>
    <n v="12"/>
    <n v="4.34"/>
    <s v="C0110"/>
    <s v="olIVIa garCIa"/>
    <s v="Shipped"/>
    <x v="7"/>
    <x v="4"/>
    <s v="Olivia Garcia"/>
    <n v="120"/>
    <n v="43.4"/>
    <n v="76.599999999999994"/>
  </r>
  <r>
    <s v="OR0091"/>
    <d v="2024-01-28T00:00:00"/>
    <s v="Jan"/>
    <s v="2024"/>
    <x v="1"/>
    <s v="Bags"/>
    <n v="3"/>
    <n v="25"/>
    <n v="7.45"/>
    <s v="C0053"/>
    <s v="mIa JOhnsON"/>
    <s v="Shipped"/>
    <x v="3"/>
    <x v="1"/>
    <s v="Mia Johnson"/>
    <n v="75"/>
    <n v="22.35"/>
    <n v="52.65"/>
  </r>
  <r>
    <s v="OR0092"/>
    <d v="2024-01-28T00:00:00"/>
    <s v="Jan"/>
    <s v="2024"/>
    <x v="3"/>
    <s v="Kitchenware"/>
    <n v="9"/>
    <n v="15"/>
    <n v="4.92"/>
    <s v="C0016"/>
    <s v="charLOtTE jONeS"/>
    <s v="Pending"/>
    <x v="0"/>
    <x v="3"/>
    <s v="Charlotte Jones"/>
    <n v="135"/>
    <n v="44.28"/>
    <n v="90.72"/>
  </r>
  <r>
    <s v="OR0093"/>
    <d v="2024-01-28T00:00:00"/>
    <s v="Jan"/>
    <s v="2024"/>
    <x v="0"/>
    <s v="Cleaning"/>
    <n v="7"/>
    <n v="10"/>
    <n v="2.4500000000000002"/>
    <s v="C0174"/>
    <s v="mASOn JOHNSon"/>
    <s v="Delivered"/>
    <x v="6"/>
    <x v="0"/>
    <s v="Mason Johnson"/>
    <n v="70"/>
    <n v="17.150000000000002"/>
    <n v="52.849999999999994"/>
  </r>
  <r>
    <s v="OR0094"/>
    <d v="2024-01-28T00:00:00"/>
    <s v="Jan"/>
    <s v="2024"/>
    <x v="1"/>
    <s v="Bags"/>
    <n v="1"/>
    <n v="25"/>
    <n v="7.24"/>
    <s v="C0012"/>
    <s v="OLIVIA MaRTinEZ"/>
    <s v="Shipped"/>
    <x v="9"/>
    <x v="1"/>
    <s v="Olivia Martinez"/>
    <n v="25"/>
    <n v="7.24"/>
    <n v="17.759999999999998"/>
  </r>
  <r>
    <s v="OR0095"/>
    <d v="2024-01-28T00:00:00"/>
    <s v="Jan"/>
    <s v="2024"/>
    <x v="2"/>
    <s v="Lighting"/>
    <n v="2"/>
    <n v="40"/>
    <n v="14.07"/>
    <s v="C0014"/>
    <s v="CHARlOtTe GArCIA"/>
    <s v="Returned"/>
    <x v="6"/>
    <x v="2"/>
    <s v="Charlotte Garcia"/>
    <n v="80"/>
    <n v="28.14"/>
    <n v="51.86"/>
  </r>
  <r>
    <s v="OR0096"/>
    <d v="2024-01-28T00:00:00"/>
    <s v="Jan"/>
    <s v="2024"/>
    <x v="1"/>
    <s v="Bags"/>
    <n v="10"/>
    <n v="25"/>
    <n v="9.9"/>
    <s v="C0110"/>
    <s v="olIVIa garCIa"/>
    <s v="Delivered"/>
    <x v="9"/>
    <x v="1"/>
    <s v="Olivia Garcia"/>
    <n v="250"/>
    <n v="99"/>
    <n v="151"/>
  </r>
  <r>
    <s v="OR0097"/>
    <d v="2024-01-29T00:00:00"/>
    <s v="Jan"/>
    <s v="2024"/>
    <x v="2"/>
    <s v="Lighting"/>
    <n v="9"/>
    <n v="40"/>
    <n v="15.18"/>
    <s v="C0194"/>
    <s v="NoaH bROWn"/>
    <s v="Pending"/>
    <x v="6"/>
    <x v="2"/>
    <s v="Noah Brown"/>
    <n v="360"/>
    <n v="136.62"/>
    <n v="223.38"/>
  </r>
  <r>
    <s v="OR0098"/>
    <d v="2024-01-29T00:00:00"/>
    <s v="Jan"/>
    <s v="2024"/>
    <x v="0"/>
    <s v="Cleaning"/>
    <n v="4"/>
    <n v="10"/>
    <n v="3.54"/>
    <s v="C0188"/>
    <s v="LUCAS wiLlIaMS"/>
    <s v="Delivered"/>
    <x v="6"/>
    <x v="0"/>
    <s v="Lucas Williams"/>
    <n v="40"/>
    <n v="14.16"/>
    <n v="25.84"/>
  </r>
  <r>
    <s v="OR0099"/>
    <d v="2024-01-29T00:00:00"/>
    <s v="Jan"/>
    <s v="2024"/>
    <x v="4"/>
    <s v="Gardening"/>
    <n v="10"/>
    <n v="12"/>
    <n v="3.79"/>
    <s v="C0095"/>
    <s v="hARPeR rODrIGueZ"/>
    <s v="Delivered"/>
    <x v="1"/>
    <x v="4"/>
    <s v="Harper Rodriguez"/>
    <n v="120"/>
    <n v="37.9"/>
    <n v="82.1"/>
  </r>
  <r>
    <s v="OR0100"/>
    <d v="2024-01-29T00:00:00"/>
    <s v="Jan"/>
    <s v="2024"/>
    <x v="0"/>
    <s v="Cleaning"/>
    <n v="8"/>
    <n v="10"/>
    <n v="2.6"/>
    <s v="C0018"/>
    <s v="miA brOWn"/>
    <s v="Delivered"/>
    <x v="5"/>
    <x v="0"/>
    <s v="Mia Brown"/>
    <n v="80"/>
    <n v="20.8"/>
    <n v="59.2"/>
  </r>
  <r>
    <s v="OR0101"/>
    <d v="2024-01-29T00:00:00"/>
    <s v="Jan"/>
    <s v="2024"/>
    <x v="1"/>
    <s v="Bags"/>
    <n v="8"/>
    <n v="25"/>
    <n v="6.48"/>
    <s v="C0023"/>
    <s v="nOAH gARciA"/>
    <s v="Shipped"/>
    <x v="4"/>
    <x v="1"/>
    <s v="Noah Garcia"/>
    <n v="200"/>
    <n v="51.84"/>
    <n v="148.16"/>
  </r>
  <r>
    <s v="OR0102"/>
    <d v="2024-01-29T00:00:00"/>
    <s v="Jan"/>
    <s v="2024"/>
    <x v="0"/>
    <s v="Cleaning"/>
    <n v="9"/>
    <n v="10"/>
    <n v="3.07"/>
    <s v="C0165"/>
    <s v="haRper dAVIs"/>
    <s v="Pending"/>
    <x v="9"/>
    <x v="0"/>
    <s v="Harper Davis"/>
    <n v="90"/>
    <n v="27.63"/>
    <n v="62.370000000000005"/>
  </r>
  <r>
    <s v="OR0103"/>
    <d v="2024-01-30T00:00:00"/>
    <s v="Jan"/>
    <s v="2024"/>
    <x v="2"/>
    <s v="Lighting"/>
    <n v="8"/>
    <n v="40"/>
    <n v="10.88"/>
    <s v="C0037"/>
    <s v="AVa dAVIs"/>
    <s v="Shipped"/>
    <x v="5"/>
    <x v="2"/>
    <s v="Ava Davis"/>
    <n v="320"/>
    <n v="87.04"/>
    <n v="232.95999999999998"/>
  </r>
  <r>
    <s v="OR0104"/>
    <d v="2024-01-30T00:00:00"/>
    <s v="Jan"/>
    <s v="2024"/>
    <x v="3"/>
    <s v="Kitchenware"/>
    <n v="7"/>
    <n v="15"/>
    <n v="5.75"/>
    <s v="C0007"/>
    <s v="ava BRoWN"/>
    <s v="Delivered"/>
    <x v="2"/>
    <x v="3"/>
    <s v="Ava Brown"/>
    <n v="105"/>
    <n v="40.25"/>
    <n v="64.75"/>
  </r>
  <r>
    <s v="OR0105"/>
    <d v="2024-01-31T00:00:00"/>
    <s v="Jan"/>
    <s v="2024"/>
    <x v="0"/>
    <s v="Cleaning"/>
    <n v="3"/>
    <n v="10"/>
    <n v="2.88"/>
    <s v="C0124"/>
    <s v="hArper MIllEr"/>
    <s v="Shipped"/>
    <x v="5"/>
    <x v="0"/>
    <s v="Harper Miller"/>
    <n v="30"/>
    <n v="8.64"/>
    <n v="21.36"/>
  </r>
  <r>
    <s v="OR0106"/>
    <d v="2024-01-31T00:00:00"/>
    <s v="Jan"/>
    <s v="2024"/>
    <x v="0"/>
    <s v="Cleaning"/>
    <n v="9"/>
    <n v="10"/>
    <n v="3.15"/>
    <s v="C0146"/>
    <s v="isAbeLla GARCia"/>
    <s v="Delivered"/>
    <x v="6"/>
    <x v="0"/>
    <s v="Isabella Garcia"/>
    <n v="90"/>
    <n v="28.349999999999998"/>
    <n v="61.650000000000006"/>
  </r>
  <r>
    <s v="OR0107"/>
    <d v="2024-01-31T00:00:00"/>
    <s v="Jan"/>
    <s v="2024"/>
    <x v="1"/>
    <s v="Bags"/>
    <n v="1"/>
    <n v="25"/>
    <n v="5.62"/>
    <s v="C0158"/>
    <s v="isABElla jOneS"/>
    <s v="Delivered"/>
    <x v="4"/>
    <x v="1"/>
    <s v="Isabella Jones"/>
    <n v="25"/>
    <n v="5.62"/>
    <n v="19.38"/>
  </r>
  <r>
    <s v="OR0108"/>
    <d v="2024-01-31T00:00:00"/>
    <s v="Jan"/>
    <s v="2024"/>
    <x v="1"/>
    <s v="Bags"/>
    <n v="10"/>
    <n v="25"/>
    <n v="7.15"/>
    <s v="C0035"/>
    <s v="EVeLyN marTinez"/>
    <s v="Delivered"/>
    <x v="8"/>
    <x v="1"/>
    <s v="Evelyn Martinez"/>
    <n v="250"/>
    <n v="71.5"/>
    <n v="178.5"/>
  </r>
  <r>
    <s v="OR0109"/>
    <d v="2024-01-31T00:00:00"/>
    <s v="Jan"/>
    <s v="2024"/>
    <x v="2"/>
    <s v="Lighting"/>
    <n v="10"/>
    <n v="40"/>
    <n v="14.26"/>
    <s v="C0114"/>
    <s v="cHARlottE Jones"/>
    <s v="Delivered"/>
    <x v="7"/>
    <x v="2"/>
    <s v="Charlotte Jones"/>
    <n v="400"/>
    <n v="142.6"/>
    <n v="257.39999999999998"/>
  </r>
  <r>
    <s v="OR0110"/>
    <d v="2024-01-31T00:00:00"/>
    <s v="Jan"/>
    <s v="2024"/>
    <x v="4"/>
    <s v="Gardening"/>
    <n v="3"/>
    <n v="12"/>
    <n v="3.43"/>
    <s v="C0009"/>
    <s v="eThAN WIlLIamS"/>
    <s v="Delivered"/>
    <x v="9"/>
    <x v="4"/>
    <s v="Ethan Williams"/>
    <n v="36"/>
    <n v="10.290000000000001"/>
    <n v="25.71"/>
  </r>
  <r>
    <s v="OR0111"/>
    <d v="2024-02-01T00:00:00"/>
    <s v="Feb"/>
    <s v="2024"/>
    <x v="1"/>
    <s v="Bags"/>
    <n v="5"/>
    <n v="25"/>
    <n v="7.16"/>
    <s v="C0078"/>
    <s v="olIvEr jOHnson"/>
    <s v="Delivered"/>
    <x v="2"/>
    <x v="1"/>
    <s v="Oliver Johnson"/>
    <n v="125"/>
    <n v="35.799999999999997"/>
    <n v="89.2"/>
  </r>
  <r>
    <s v="OR0112"/>
    <d v="2024-02-01T00:00:00"/>
    <s v="Feb"/>
    <s v="2024"/>
    <x v="2"/>
    <s v="Lighting"/>
    <n v="1"/>
    <n v="40"/>
    <n v="13.32"/>
    <s v="C0122"/>
    <s v="aIDeN DAVIS"/>
    <s v="Delivered"/>
    <x v="1"/>
    <x v="2"/>
    <s v="Aiden Davis"/>
    <n v="40"/>
    <n v="13.32"/>
    <n v="26.68"/>
  </r>
  <r>
    <s v="OR0113"/>
    <d v="2024-02-02T00:00:00"/>
    <s v="Feb"/>
    <s v="2024"/>
    <x v="3"/>
    <s v="Kitchenware"/>
    <n v="8"/>
    <n v="15"/>
    <n v="4.83"/>
    <s v="C0111"/>
    <s v="emMA dAVIs"/>
    <s v="Pending"/>
    <x v="9"/>
    <x v="3"/>
    <s v="Emma Davis"/>
    <n v="120"/>
    <n v="38.64"/>
    <n v="81.36"/>
  </r>
  <r>
    <s v="OR0114"/>
    <d v="2024-02-03T00:00:00"/>
    <s v="Feb"/>
    <s v="2024"/>
    <x v="1"/>
    <s v="Bags"/>
    <n v="2"/>
    <n v="25"/>
    <n v="5.45"/>
    <s v="C0187"/>
    <s v="avA rODRIgUeZ"/>
    <s v="Shipped"/>
    <x v="7"/>
    <x v="1"/>
    <s v="Ava Rodriguez"/>
    <n v="50"/>
    <n v="10.9"/>
    <n v="39.1"/>
  </r>
  <r>
    <s v="OR0115"/>
    <d v="2024-02-04T00:00:00"/>
    <s v="Feb"/>
    <s v="2024"/>
    <x v="1"/>
    <s v="Bags"/>
    <n v="9"/>
    <n v="25"/>
    <n v="6.65"/>
    <s v="C0194"/>
    <s v="NoaH bROWn"/>
    <s v="Delivered"/>
    <x v="9"/>
    <x v="1"/>
    <s v="Noah Brown"/>
    <n v="225"/>
    <n v="59.85"/>
    <n v="165.15"/>
  </r>
  <r>
    <s v="OR0116"/>
    <d v="2024-02-05T00:00:00"/>
    <s v="Feb"/>
    <s v="2024"/>
    <x v="0"/>
    <s v="Cleaning"/>
    <n v="1"/>
    <n v="10"/>
    <n v="2.91"/>
    <s v="C0033"/>
    <s v="miA roDriGuez"/>
    <s v="Delivered"/>
    <x v="7"/>
    <x v="0"/>
    <s v="Mia Rodriguez"/>
    <n v="10"/>
    <n v="2.91"/>
    <n v="7.09"/>
  </r>
  <r>
    <s v="OR0117"/>
    <d v="2024-02-06T00:00:00"/>
    <s v="Feb"/>
    <s v="2024"/>
    <x v="0"/>
    <s v="Cleaning"/>
    <n v="8"/>
    <n v="10"/>
    <n v="3.92"/>
    <s v="C0108"/>
    <s v="HarpEr MILLeR"/>
    <s v="Shipped"/>
    <x v="4"/>
    <x v="0"/>
    <s v="Harper Miller"/>
    <n v="80"/>
    <n v="31.36"/>
    <n v="48.64"/>
  </r>
  <r>
    <s v="OR0118"/>
    <d v="2024-02-06T00:00:00"/>
    <s v="Feb"/>
    <s v="2024"/>
    <x v="3"/>
    <s v="Kitchenware"/>
    <n v="5"/>
    <n v="15"/>
    <n v="4.6100000000000003"/>
    <s v="C0192"/>
    <s v="charLoTtE jOhnsON"/>
    <s v="Pending"/>
    <x v="7"/>
    <x v="3"/>
    <s v="Charlotte Johnson"/>
    <n v="75"/>
    <n v="23.05"/>
    <n v="51.95"/>
  </r>
  <r>
    <s v="OR0119"/>
    <d v="2024-02-06T00:00:00"/>
    <s v="Feb"/>
    <s v="2024"/>
    <x v="0"/>
    <s v="Cleaning"/>
    <n v="4"/>
    <n v="10"/>
    <n v="3.17"/>
    <s v="C0193"/>
    <s v="aVA SmIth"/>
    <s v="Delivered"/>
    <x v="4"/>
    <x v="0"/>
    <s v="Ava Smith"/>
    <n v="40"/>
    <n v="12.68"/>
    <n v="27.32"/>
  </r>
  <r>
    <s v="OR0120"/>
    <d v="2024-02-06T00:00:00"/>
    <s v="Feb"/>
    <s v="2024"/>
    <x v="2"/>
    <s v="Lighting"/>
    <n v="5"/>
    <n v="40"/>
    <n v="11.02"/>
    <s v="C0145"/>
    <s v="SoPHiA brown"/>
    <s v="Delivered"/>
    <x v="0"/>
    <x v="2"/>
    <s v="Sophia Brown"/>
    <n v="200"/>
    <n v="55.099999999999994"/>
    <n v="144.9"/>
  </r>
  <r>
    <s v="OR0121"/>
    <d v="2024-02-06T00:00:00"/>
    <s v="Feb"/>
    <s v="2024"/>
    <x v="2"/>
    <s v="Lighting"/>
    <n v="1"/>
    <n v="40"/>
    <n v="12.28"/>
    <s v="C0100"/>
    <s v="logAn sMItH"/>
    <s v="Delivered"/>
    <x v="5"/>
    <x v="2"/>
    <s v="Logan Smith"/>
    <n v="40"/>
    <n v="12.28"/>
    <n v="27.72"/>
  </r>
  <r>
    <s v="OR0122"/>
    <d v="2024-02-07T00:00:00"/>
    <s v="Feb"/>
    <s v="2024"/>
    <x v="4"/>
    <s v="Gardening"/>
    <n v="10"/>
    <n v="12"/>
    <n v="3.91"/>
    <s v="C0166"/>
    <s v="NOAh wIlLIamS"/>
    <s v="Shipped"/>
    <x v="7"/>
    <x v="4"/>
    <s v="Noah Williams"/>
    <n v="120"/>
    <n v="39.1"/>
    <n v="80.900000000000006"/>
  </r>
  <r>
    <s v="OR0123"/>
    <d v="2024-02-07T00:00:00"/>
    <s v="Feb"/>
    <s v="2024"/>
    <x v="2"/>
    <s v="Lighting"/>
    <n v="6"/>
    <n v="40"/>
    <n v="15"/>
    <s v="C0131"/>
    <s v="eliJaH MarTIneZ"/>
    <s v="Delivered"/>
    <x v="1"/>
    <x v="2"/>
    <s v="Elijah Martinez"/>
    <n v="240"/>
    <n v="90"/>
    <n v="150"/>
  </r>
  <r>
    <s v="OR0124"/>
    <d v="2024-02-08T00:00:00"/>
    <s v="Feb"/>
    <s v="2024"/>
    <x v="3"/>
    <s v="Kitchenware"/>
    <n v="7"/>
    <n v="15"/>
    <n v="5.54"/>
    <s v="C0135"/>
    <s v="HArPeR DavIs"/>
    <s v="Shipped"/>
    <x v="4"/>
    <x v="3"/>
    <s v="Harper Davis"/>
    <n v="105"/>
    <n v="38.78"/>
    <n v="66.22"/>
  </r>
  <r>
    <s v="OR0125"/>
    <d v="2024-02-08T00:00:00"/>
    <s v="Feb"/>
    <s v="2024"/>
    <x v="3"/>
    <s v="Kitchenware"/>
    <n v="7"/>
    <n v="15"/>
    <n v="3.16"/>
    <s v="C0112"/>
    <s v="eLijAh wIlLIAMs"/>
    <s v="Delivered"/>
    <x v="4"/>
    <x v="3"/>
    <s v="Elijah Williams"/>
    <n v="105"/>
    <n v="22.12"/>
    <n v="82.88"/>
  </r>
  <r>
    <s v="OR0126"/>
    <d v="2024-02-08T00:00:00"/>
    <s v="Feb"/>
    <s v="2024"/>
    <x v="3"/>
    <s v="Kitchenware"/>
    <n v="5"/>
    <n v="15"/>
    <n v="4.28"/>
    <s v="C0002"/>
    <s v="SOpHia BrowN"/>
    <s v="Shipped"/>
    <x v="1"/>
    <x v="3"/>
    <s v="Sophia Brown"/>
    <n v="75"/>
    <n v="21.400000000000002"/>
    <n v="53.599999999999994"/>
  </r>
  <r>
    <s v="OR0127"/>
    <d v="2024-02-09T00:00:00"/>
    <s v="Feb"/>
    <s v="2024"/>
    <x v="4"/>
    <s v="Gardening"/>
    <n v="6"/>
    <n v="12"/>
    <n v="3.5"/>
    <s v="C0160"/>
    <s v="LucAs gaRcia"/>
    <s v="Delivered"/>
    <x v="7"/>
    <x v="4"/>
    <s v="Lucas Garcia"/>
    <n v="72"/>
    <n v="21"/>
    <n v="51"/>
  </r>
  <r>
    <s v="OR0128"/>
    <d v="2024-02-10T00:00:00"/>
    <s v="Feb"/>
    <s v="2024"/>
    <x v="4"/>
    <s v="Gardening"/>
    <n v="10"/>
    <n v="12"/>
    <n v="2.52"/>
    <s v="C0075"/>
    <s v="jaMes brOwn"/>
    <s v="Delivered"/>
    <x v="1"/>
    <x v="4"/>
    <s v="James Brown"/>
    <n v="120"/>
    <n v="25.2"/>
    <n v="94.8"/>
  </r>
  <r>
    <s v="OR0129"/>
    <d v="2024-02-12T00:00:00"/>
    <s v="Feb"/>
    <s v="2024"/>
    <x v="1"/>
    <s v="Bags"/>
    <n v="8"/>
    <n v="25"/>
    <n v="8.44"/>
    <s v="C0042"/>
    <s v="jamES BrOwn"/>
    <s v="Returned"/>
    <x v="4"/>
    <x v="1"/>
    <s v="James Brown"/>
    <n v="200"/>
    <n v="67.52"/>
    <n v="132.48000000000002"/>
  </r>
  <r>
    <s v="OR0130"/>
    <d v="2024-02-13T00:00:00"/>
    <s v="Feb"/>
    <s v="2024"/>
    <x v="0"/>
    <s v="Cleaning"/>
    <n v="9"/>
    <n v="10"/>
    <n v="3.45"/>
    <s v="C0190"/>
    <s v="mASON WILliaMS"/>
    <s v="Delivered"/>
    <x v="0"/>
    <x v="0"/>
    <s v="Mason Williams"/>
    <n v="90"/>
    <n v="31.05"/>
    <n v="58.95"/>
  </r>
  <r>
    <s v="OR0131"/>
    <d v="2024-02-13T00:00:00"/>
    <s v="Feb"/>
    <s v="2024"/>
    <x v="3"/>
    <s v="Kitchenware"/>
    <n v="3"/>
    <n v="15"/>
    <n v="4.2699999999999996"/>
    <s v="C0141"/>
    <s v="eVeLYn mARtiNez"/>
    <s v="Shipped"/>
    <x v="4"/>
    <x v="3"/>
    <s v="Evelyn Martinez"/>
    <n v="45"/>
    <n v="12.809999999999999"/>
    <n v="32.19"/>
  </r>
  <r>
    <s v="OR0132"/>
    <d v="2024-02-13T00:00:00"/>
    <s v="Feb"/>
    <s v="2024"/>
    <x v="0"/>
    <s v="Cleaning"/>
    <n v="9"/>
    <n v="10"/>
    <n v="3.07"/>
    <s v="C0002"/>
    <s v="SOpHia BrowN"/>
    <s v="Shipped"/>
    <x v="7"/>
    <x v="0"/>
    <s v="Sophia Brown"/>
    <n v="90"/>
    <n v="27.63"/>
    <n v="62.370000000000005"/>
  </r>
  <r>
    <s v="OR0133"/>
    <d v="2024-02-14T00:00:00"/>
    <s v="Feb"/>
    <s v="2024"/>
    <x v="2"/>
    <s v="Lighting"/>
    <n v="7"/>
    <n v="40"/>
    <n v="12.58"/>
    <s v="C0122"/>
    <s v="aIDeN DAVIS"/>
    <s v="Pending"/>
    <x v="6"/>
    <x v="2"/>
    <s v="Aiden Davis"/>
    <n v="280"/>
    <n v="88.06"/>
    <n v="191.94"/>
  </r>
  <r>
    <s v="OR0134"/>
    <d v="2024-02-14T00:00:00"/>
    <s v="Feb"/>
    <s v="2024"/>
    <x v="2"/>
    <s v="Lighting"/>
    <n v="2"/>
    <n v="40"/>
    <n v="9.66"/>
    <s v="C0158"/>
    <s v="isABElla jOneS"/>
    <s v="Returned"/>
    <x v="4"/>
    <x v="2"/>
    <s v="Isabella Jones"/>
    <n v="80"/>
    <n v="19.32"/>
    <n v="60.68"/>
  </r>
  <r>
    <s v="OR0135"/>
    <d v="2024-02-14T00:00:00"/>
    <s v="Feb"/>
    <s v="2024"/>
    <x v="1"/>
    <s v="Bags"/>
    <n v="2"/>
    <n v="25"/>
    <n v="9.7100000000000009"/>
    <s v="C0009"/>
    <s v="eThAN WIlLIamS"/>
    <s v="Delivered"/>
    <x v="4"/>
    <x v="1"/>
    <s v="Ethan Williams"/>
    <n v="50"/>
    <n v="19.420000000000002"/>
    <n v="30.58"/>
  </r>
  <r>
    <s v="OR0136"/>
    <d v="2024-02-15T00:00:00"/>
    <s v="Feb"/>
    <s v="2024"/>
    <x v="2"/>
    <s v="Lighting"/>
    <n v="10"/>
    <n v="40"/>
    <n v="14.95"/>
    <s v="C0031"/>
    <s v="harpEr rOdrIguEz"/>
    <s v="Delivered"/>
    <x v="9"/>
    <x v="2"/>
    <s v="Harper Rodriguez"/>
    <n v="400"/>
    <n v="149.5"/>
    <n v="250.5"/>
  </r>
  <r>
    <s v="OR0137"/>
    <d v="2024-02-15T00:00:00"/>
    <s v="Feb"/>
    <s v="2024"/>
    <x v="4"/>
    <s v="Gardening"/>
    <n v="5"/>
    <n v="12"/>
    <n v="3.63"/>
    <s v="C0112"/>
    <s v="eLijAh wIlLIAMs"/>
    <s v="Delivered"/>
    <x v="1"/>
    <x v="4"/>
    <s v="Elijah Williams"/>
    <n v="60"/>
    <n v="18.149999999999999"/>
    <n v="41.85"/>
  </r>
  <r>
    <s v="OR0138"/>
    <d v="2024-02-15T00:00:00"/>
    <s v="Feb"/>
    <s v="2024"/>
    <x v="1"/>
    <s v="Bags"/>
    <n v="2"/>
    <n v="25"/>
    <n v="8.08"/>
    <s v="C0190"/>
    <s v="mASON WILliaMS"/>
    <s v="Delivered"/>
    <x v="1"/>
    <x v="1"/>
    <s v="Mason Williams"/>
    <n v="50"/>
    <n v="16.16"/>
    <n v="33.840000000000003"/>
  </r>
  <r>
    <s v="OR0139"/>
    <d v="2024-02-15T00:00:00"/>
    <s v="Feb"/>
    <s v="2024"/>
    <x v="0"/>
    <s v="Cleaning"/>
    <n v="9"/>
    <n v="10"/>
    <n v="3.45"/>
    <s v="C0091"/>
    <s v="aIDen WIlliAMs"/>
    <s v="Shipped"/>
    <x v="3"/>
    <x v="0"/>
    <s v="Aiden Williams"/>
    <n v="90"/>
    <n v="31.05"/>
    <n v="58.95"/>
  </r>
  <r>
    <s v="OR0140"/>
    <d v="2024-02-15T00:00:00"/>
    <s v="Feb"/>
    <s v="2024"/>
    <x v="4"/>
    <s v="Gardening"/>
    <n v="5"/>
    <n v="12"/>
    <n v="4.0199999999999996"/>
    <s v="C0162"/>
    <s v="Ethan mILLeR"/>
    <s v="Delivered"/>
    <x v="6"/>
    <x v="4"/>
    <s v="Ethan Miller"/>
    <n v="60"/>
    <n v="20.099999999999998"/>
    <n v="39.900000000000006"/>
  </r>
  <r>
    <s v="OR0141"/>
    <d v="2024-02-16T00:00:00"/>
    <s v="Feb"/>
    <s v="2024"/>
    <x v="1"/>
    <s v="Bags"/>
    <n v="4"/>
    <n v="25"/>
    <n v="8"/>
    <s v="C0133"/>
    <s v="HarPER Jones"/>
    <s v="Delivered"/>
    <x v="1"/>
    <x v="1"/>
    <s v="Harper Jones"/>
    <n v="100"/>
    <n v="32"/>
    <n v="68"/>
  </r>
  <r>
    <s v="OR0142"/>
    <d v="2024-02-16T00:00:00"/>
    <s v="Feb"/>
    <s v="2024"/>
    <x v="3"/>
    <s v="Kitchenware"/>
    <n v="1"/>
    <n v="15"/>
    <n v="5.45"/>
    <s v="C0151"/>
    <s v="Emma SMITh"/>
    <s v="Delivered"/>
    <x v="3"/>
    <x v="3"/>
    <s v="Emma Smith"/>
    <n v="15"/>
    <n v="5.45"/>
    <n v="9.5500000000000007"/>
  </r>
  <r>
    <s v="OR0143"/>
    <d v="2024-02-16T00:00:00"/>
    <s v="Feb"/>
    <s v="2024"/>
    <x v="3"/>
    <s v="Kitchenware"/>
    <n v="1"/>
    <n v="15"/>
    <n v="3.59"/>
    <s v="C0109"/>
    <s v="amEliA jOHNSOn"/>
    <s v="Pending"/>
    <x v="8"/>
    <x v="3"/>
    <s v="Amelia Johnson"/>
    <n v="15"/>
    <n v="3.59"/>
    <n v="11.41"/>
  </r>
  <r>
    <s v="OR0144"/>
    <d v="2024-02-17T00:00:00"/>
    <s v="Feb"/>
    <s v="2024"/>
    <x v="2"/>
    <s v="Lighting"/>
    <n v="3"/>
    <n v="40"/>
    <n v="13.47"/>
    <s v="C0167"/>
    <s v="aidEN bROWn"/>
    <s v="Shipped"/>
    <x v="1"/>
    <x v="2"/>
    <s v="Aiden Brown"/>
    <n v="120"/>
    <n v="40.410000000000004"/>
    <n v="79.59"/>
  </r>
  <r>
    <s v="OR0145"/>
    <d v="2024-02-17T00:00:00"/>
    <s v="Feb"/>
    <s v="2024"/>
    <x v="4"/>
    <s v="Gardening"/>
    <n v="8"/>
    <n v="12"/>
    <n v="2.72"/>
    <s v="C0111"/>
    <s v="emMA dAVIs"/>
    <s v="Delivered"/>
    <x v="7"/>
    <x v="4"/>
    <s v="Emma Davis"/>
    <n v="96"/>
    <n v="21.76"/>
    <n v="74.239999999999995"/>
  </r>
  <r>
    <s v="OR0146"/>
    <d v="2024-02-17T00:00:00"/>
    <s v="Feb"/>
    <s v="2024"/>
    <x v="3"/>
    <s v="Kitchenware"/>
    <n v="1"/>
    <n v="15"/>
    <n v="3.43"/>
    <s v="C0058"/>
    <s v="aMElIA johNson"/>
    <s v="Delivered"/>
    <x v="6"/>
    <x v="3"/>
    <s v="Amelia Johnson"/>
    <n v="15"/>
    <n v="3.43"/>
    <n v="11.57"/>
  </r>
  <r>
    <s v="OR0147"/>
    <d v="2024-02-18T00:00:00"/>
    <s v="Feb"/>
    <s v="2024"/>
    <x v="0"/>
    <s v="Cleaning"/>
    <n v="1"/>
    <n v="10"/>
    <n v="3.27"/>
    <s v="C0148"/>
    <s v="aVA RODrIGUEZ"/>
    <s v="Shipped"/>
    <x v="3"/>
    <x v="0"/>
    <s v="Ava Rodriguez"/>
    <n v="10"/>
    <n v="3.27"/>
    <n v="6.73"/>
  </r>
  <r>
    <s v="OR0148"/>
    <d v="2024-02-18T00:00:00"/>
    <s v="Feb"/>
    <s v="2024"/>
    <x v="0"/>
    <s v="Cleaning"/>
    <n v="6"/>
    <n v="10"/>
    <n v="3.92"/>
    <s v="C0127"/>
    <s v="NOAH MArtiNEZ"/>
    <s v="Delivered"/>
    <x v="1"/>
    <x v="0"/>
    <s v="Noah Martinez"/>
    <n v="60"/>
    <n v="23.52"/>
    <n v="36.480000000000004"/>
  </r>
  <r>
    <s v="OR0149"/>
    <d v="2024-02-18T00:00:00"/>
    <s v="Feb"/>
    <s v="2024"/>
    <x v="2"/>
    <s v="Lighting"/>
    <n v="10"/>
    <n v="40"/>
    <n v="10.39"/>
    <s v="C0151"/>
    <s v="Emma SMITh"/>
    <s v="Delivered"/>
    <x v="4"/>
    <x v="2"/>
    <s v="Emma Smith"/>
    <n v="400"/>
    <n v="103.9"/>
    <n v="296.10000000000002"/>
  </r>
  <r>
    <s v="OR0150"/>
    <d v="2024-02-19T00:00:00"/>
    <s v="Feb"/>
    <s v="2024"/>
    <x v="4"/>
    <s v="Gardening"/>
    <n v="1"/>
    <n v="12"/>
    <n v="3.88"/>
    <s v="C0006"/>
    <s v="oliVEr smiTh"/>
    <s v="Delivered"/>
    <x v="8"/>
    <x v="4"/>
    <s v="Oliver Smith"/>
    <n v="12"/>
    <n v="3.88"/>
    <n v="8.120000000000001"/>
  </r>
  <r>
    <s v="OR0151"/>
    <d v="2024-02-19T00:00:00"/>
    <s v="Feb"/>
    <s v="2024"/>
    <x v="2"/>
    <s v="Lighting"/>
    <n v="9"/>
    <n v="40"/>
    <n v="13.95"/>
    <s v="C0183"/>
    <s v="AIDEN davIS"/>
    <s v="Delivered"/>
    <x v="0"/>
    <x v="2"/>
    <s v="Aiden Davis"/>
    <n v="360"/>
    <n v="125.55"/>
    <n v="234.45"/>
  </r>
  <r>
    <s v="OR0152"/>
    <d v="2024-02-20T00:00:00"/>
    <s v="Feb"/>
    <s v="2024"/>
    <x v="2"/>
    <s v="Lighting"/>
    <n v="6"/>
    <n v="40"/>
    <n v="11.41"/>
    <s v="C0150"/>
    <s v="NOAh roDrigUEz"/>
    <s v="Shipped"/>
    <x v="0"/>
    <x v="2"/>
    <s v="Noah Rodriguez"/>
    <n v="240"/>
    <n v="68.460000000000008"/>
    <n v="171.54"/>
  </r>
  <r>
    <s v="OR0153"/>
    <d v="2024-02-21T00:00:00"/>
    <s v="Feb"/>
    <s v="2024"/>
    <x v="2"/>
    <s v="Lighting"/>
    <n v="10"/>
    <n v="40"/>
    <n v="15.1"/>
    <s v="C0034"/>
    <s v="EtHan RodrIgUEz"/>
    <s v="Delivered"/>
    <x v="1"/>
    <x v="2"/>
    <s v="Ethan Rodriguez"/>
    <n v="400"/>
    <n v="151"/>
    <n v="249"/>
  </r>
  <r>
    <s v="OR0154"/>
    <d v="2024-02-21T00:00:00"/>
    <s v="Feb"/>
    <s v="2024"/>
    <x v="4"/>
    <s v="Gardening"/>
    <n v="3"/>
    <n v="12"/>
    <n v="4.78"/>
    <s v="C0077"/>
    <s v="MaSon WillIAMs"/>
    <s v="Delivered"/>
    <x v="5"/>
    <x v="4"/>
    <s v="Mason Williams"/>
    <n v="36"/>
    <n v="14.34"/>
    <n v="21.66"/>
  </r>
  <r>
    <s v="OR0155"/>
    <d v="2024-02-21T00:00:00"/>
    <s v="Feb"/>
    <s v="2024"/>
    <x v="3"/>
    <s v="Kitchenware"/>
    <n v="5"/>
    <n v="15"/>
    <n v="5.09"/>
    <s v="C0015"/>
    <s v="Emma bROwN"/>
    <s v="Delivered"/>
    <x v="5"/>
    <x v="3"/>
    <s v="Emma Brown"/>
    <n v="75"/>
    <n v="25.45"/>
    <n v="49.55"/>
  </r>
  <r>
    <s v="OR0156"/>
    <d v="2024-02-22T00:00:00"/>
    <s v="Feb"/>
    <s v="2024"/>
    <x v="3"/>
    <s v="Kitchenware"/>
    <n v="5"/>
    <n v="15"/>
    <n v="3.54"/>
    <s v="C0146"/>
    <s v="isAbeLla GARCia"/>
    <s v="Delivered"/>
    <x v="9"/>
    <x v="3"/>
    <s v="Isabella Garcia"/>
    <n v="75"/>
    <n v="17.7"/>
    <n v="57.3"/>
  </r>
  <r>
    <s v="OR0157"/>
    <d v="2024-02-23T00:00:00"/>
    <s v="Feb"/>
    <s v="2024"/>
    <x v="2"/>
    <s v="Lighting"/>
    <n v="3"/>
    <n v="40"/>
    <n v="13.26"/>
    <s v="C0044"/>
    <s v="soPHiA DaVIs"/>
    <s v="Delivered"/>
    <x v="0"/>
    <x v="2"/>
    <s v="Sophia Davis"/>
    <n v="120"/>
    <n v="39.78"/>
    <n v="80.22"/>
  </r>
  <r>
    <s v="OR0158"/>
    <d v="2024-02-23T00:00:00"/>
    <s v="Feb"/>
    <s v="2024"/>
    <x v="2"/>
    <s v="Lighting"/>
    <n v="7"/>
    <n v="40"/>
    <n v="8.94"/>
    <s v="C0076"/>
    <s v="mIa JONeS"/>
    <s v="Delivered"/>
    <x v="6"/>
    <x v="2"/>
    <s v="Mia Jones"/>
    <n v="280"/>
    <n v="62.58"/>
    <n v="217.42000000000002"/>
  </r>
  <r>
    <s v="OR0159"/>
    <d v="2024-02-23T00:00:00"/>
    <s v="Feb"/>
    <s v="2024"/>
    <x v="4"/>
    <s v="Gardening"/>
    <n v="2"/>
    <n v="12"/>
    <n v="2.78"/>
    <s v="C0141"/>
    <s v="eVeLYn mARtiNez"/>
    <s v="Delivered"/>
    <x v="0"/>
    <x v="4"/>
    <s v="Evelyn Martinez"/>
    <n v="24"/>
    <n v="5.56"/>
    <n v="18.440000000000001"/>
  </r>
  <r>
    <s v="OR0160"/>
    <d v="2024-02-23T00:00:00"/>
    <s v="Feb"/>
    <s v="2024"/>
    <x v="2"/>
    <s v="Lighting"/>
    <n v="10"/>
    <n v="40"/>
    <n v="9.31"/>
    <s v="C0030"/>
    <s v="cHARLoTTe DAvIs"/>
    <s v="Delivered"/>
    <x v="2"/>
    <x v="2"/>
    <s v="Charlotte Davis"/>
    <n v="400"/>
    <n v="93.100000000000009"/>
    <n v="306.89999999999998"/>
  </r>
  <r>
    <s v="OR0161"/>
    <d v="2024-02-24T00:00:00"/>
    <s v="Feb"/>
    <s v="2024"/>
    <x v="3"/>
    <s v="Kitchenware"/>
    <n v="1"/>
    <n v="15"/>
    <n v="4.33"/>
    <s v="C0175"/>
    <s v="Aiden RoDrIGUEz"/>
    <s v="Delivered"/>
    <x v="4"/>
    <x v="3"/>
    <s v="Aiden Rodriguez"/>
    <n v="15"/>
    <n v="4.33"/>
    <n v="10.67"/>
  </r>
  <r>
    <s v="OR0162"/>
    <d v="2024-02-24T00:00:00"/>
    <s v="Feb"/>
    <s v="2024"/>
    <x v="2"/>
    <s v="Lighting"/>
    <n v="10"/>
    <n v="40"/>
    <n v="9.86"/>
    <s v="C0141"/>
    <s v="eVeLYn mARtiNez"/>
    <s v="Shipped"/>
    <x v="9"/>
    <x v="2"/>
    <s v="Evelyn Martinez"/>
    <n v="400"/>
    <n v="98.6"/>
    <n v="301.39999999999998"/>
  </r>
  <r>
    <s v="OR0163"/>
    <d v="2024-02-24T00:00:00"/>
    <s v="Feb"/>
    <s v="2024"/>
    <x v="4"/>
    <s v="Gardening"/>
    <n v="8"/>
    <n v="12"/>
    <n v="4.18"/>
    <s v="C0091"/>
    <s v="aIDen WIlliAMs"/>
    <s v="Returned"/>
    <x v="6"/>
    <x v="4"/>
    <s v="Aiden Williams"/>
    <n v="96"/>
    <n v="33.44"/>
    <n v="62.56"/>
  </r>
  <r>
    <s v="OR0164"/>
    <d v="2024-02-25T00:00:00"/>
    <s v="Feb"/>
    <s v="2024"/>
    <x v="2"/>
    <s v="Lighting"/>
    <n v="7"/>
    <n v="40"/>
    <n v="8.01"/>
    <s v="C0038"/>
    <s v="Noah MARtINez"/>
    <s v="Shipped"/>
    <x v="5"/>
    <x v="2"/>
    <s v="Noah Martinez"/>
    <n v="280"/>
    <n v="56.07"/>
    <n v="223.93"/>
  </r>
  <r>
    <s v="OR0165"/>
    <d v="2024-02-25T00:00:00"/>
    <s v="Feb"/>
    <s v="2024"/>
    <x v="0"/>
    <s v="Cleaning"/>
    <n v="8"/>
    <n v="10"/>
    <n v="2.31"/>
    <s v="C0021"/>
    <s v="isABelLA RoDriGUEZ"/>
    <s v="Pending"/>
    <x v="2"/>
    <x v="0"/>
    <s v="Isabella Rodriguez"/>
    <n v="80"/>
    <n v="18.48"/>
    <n v="61.519999999999996"/>
  </r>
  <r>
    <s v="OR0166"/>
    <d v="2024-02-25T00:00:00"/>
    <s v="Feb"/>
    <s v="2024"/>
    <x v="3"/>
    <s v="Kitchenware"/>
    <n v="9"/>
    <n v="15"/>
    <n v="3.27"/>
    <s v="C0149"/>
    <s v="soPhiA rODriGuEZ"/>
    <s v="Shipped"/>
    <x v="5"/>
    <x v="3"/>
    <s v="Sophia Rodriguez"/>
    <n v="135"/>
    <n v="29.43"/>
    <n v="105.57"/>
  </r>
  <r>
    <s v="OR0167"/>
    <d v="2024-02-25T00:00:00"/>
    <s v="Feb"/>
    <s v="2024"/>
    <x v="2"/>
    <s v="Lighting"/>
    <n v="8"/>
    <n v="40"/>
    <n v="15.81"/>
    <s v="C0097"/>
    <s v="OlIVIa GarCIA"/>
    <s v="Shipped"/>
    <x v="3"/>
    <x v="2"/>
    <s v="Olivia Garcia"/>
    <n v="320"/>
    <n v="126.48"/>
    <n v="193.51999999999998"/>
  </r>
  <r>
    <s v="OR0168"/>
    <d v="2024-02-26T00:00:00"/>
    <s v="Feb"/>
    <s v="2024"/>
    <x v="2"/>
    <s v="Lighting"/>
    <n v="7"/>
    <n v="40"/>
    <n v="9.9700000000000006"/>
    <s v="C0084"/>
    <s v="EtHaN jOnES"/>
    <s v="Delivered"/>
    <x v="3"/>
    <x v="2"/>
    <s v="Ethan Jones"/>
    <n v="280"/>
    <n v="69.790000000000006"/>
    <n v="210.20999999999998"/>
  </r>
  <r>
    <s v="OR0169"/>
    <d v="2024-02-26T00:00:00"/>
    <s v="Feb"/>
    <s v="2024"/>
    <x v="1"/>
    <s v="Bags"/>
    <n v="3"/>
    <n v="25"/>
    <n v="5.54"/>
    <s v="C0006"/>
    <s v="oliVEr smiTh"/>
    <s v="Shipped"/>
    <x v="7"/>
    <x v="1"/>
    <s v="Oliver Smith"/>
    <n v="75"/>
    <n v="16.62"/>
    <n v="58.379999999999995"/>
  </r>
  <r>
    <s v="OR0170"/>
    <d v="2024-02-26T00:00:00"/>
    <s v="Feb"/>
    <s v="2024"/>
    <x v="3"/>
    <s v="Kitchenware"/>
    <n v="6"/>
    <n v="15"/>
    <n v="3.31"/>
    <s v="C0030"/>
    <s v="cHARLoTTe DAvIs"/>
    <s v="Returned"/>
    <x v="7"/>
    <x v="3"/>
    <s v="Charlotte Davis"/>
    <n v="90"/>
    <n v="19.86"/>
    <n v="70.14"/>
  </r>
  <r>
    <s v="OR0171"/>
    <d v="2024-02-26T00:00:00"/>
    <s v="Feb"/>
    <s v="2024"/>
    <x v="0"/>
    <s v="Cleaning"/>
    <n v="10"/>
    <n v="10"/>
    <n v="2.98"/>
    <s v="C0144"/>
    <s v="lIAM jOneS"/>
    <s v="Delivered"/>
    <x v="2"/>
    <x v="0"/>
    <s v="Liam Jones"/>
    <n v="100"/>
    <n v="29.8"/>
    <n v="70.2"/>
  </r>
  <r>
    <s v="OR0172"/>
    <d v="2024-02-27T00:00:00"/>
    <s v="Feb"/>
    <s v="2024"/>
    <x v="1"/>
    <s v="Bags"/>
    <n v="10"/>
    <n v="25"/>
    <n v="6.26"/>
    <s v="C0087"/>
    <s v="emmA DaviS"/>
    <s v="Delivered"/>
    <x v="9"/>
    <x v="1"/>
    <s v="Emma Davis"/>
    <n v="250"/>
    <n v="62.599999999999994"/>
    <n v="187.4"/>
  </r>
  <r>
    <s v="OR0173"/>
    <d v="2024-02-27T00:00:00"/>
    <s v="Feb"/>
    <s v="2024"/>
    <x v="2"/>
    <s v="Lighting"/>
    <n v="5"/>
    <n v="40"/>
    <n v="15.18"/>
    <s v="C0012"/>
    <s v="OLIVIA MaRTinEZ"/>
    <s v="Shipped"/>
    <x v="3"/>
    <x v="2"/>
    <s v="Olivia Martinez"/>
    <n v="200"/>
    <n v="75.900000000000006"/>
    <n v="124.1"/>
  </r>
  <r>
    <s v="OR0174"/>
    <d v="2024-02-27T00:00:00"/>
    <s v="Feb"/>
    <s v="2024"/>
    <x v="2"/>
    <s v="Lighting"/>
    <n v="1"/>
    <n v="40"/>
    <n v="9.3699999999999992"/>
    <s v="C0009"/>
    <s v="eThAN WIlLIamS"/>
    <s v="Shipped"/>
    <x v="5"/>
    <x v="2"/>
    <s v="Ethan Williams"/>
    <n v="40"/>
    <n v="9.3699999999999992"/>
    <n v="30.630000000000003"/>
  </r>
  <r>
    <s v="OR0175"/>
    <d v="2024-02-27T00:00:00"/>
    <s v="Feb"/>
    <s v="2024"/>
    <x v="1"/>
    <s v="Bags"/>
    <n v="5"/>
    <n v="25"/>
    <n v="6.89"/>
    <s v="C0200"/>
    <s v="mASON JOhNSoN"/>
    <s v="Shipped"/>
    <x v="7"/>
    <x v="1"/>
    <s v="Mason Johnson"/>
    <n v="125"/>
    <n v="34.449999999999996"/>
    <n v="90.550000000000011"/>
  </r>
  <r>
    <s v="OR0176"/>
    <d v="2024-02-27T00:00:00"/>
    <s v="Feb"/>
    <s v="2024"/>
    <x v="2"/>
    <s v="Lighting"/>
    <n v="10"/>
    <n v="40"/>
    <n v="11.7"/>
    <s v="C0041"/>
    <s v="Elijah DAVis"/>
    <s v="Returned"/>
    <x v="8"/>
    <x v="2"/>
    <s v="Elijah Davis"/>
    <n v="400"/>
    <n v="117"/>
    <n v="283"/>
  </r>
  <r>
    <s v="OR0177"/>
    <d v="2024-02-29T00:00:00"/>
    <s v="Feb"/>
    <s v="2024"/>
    <x v="1"/>
    <s v="Bags"/>
    <n v="2"/>
    <n v="25"/>
    <n v="7.19"/>
    <s v="C0058"/>
    <s v="aMElIA johNson"/>
    <s v="Delivered"/>
    <x v="5"/>
    <x v="1"/>
    <s v="Amelia Johnson"/>
    <n v="50"/>
    <n v="14.38"/>
    <n v="35.619999999999997"/>
  </r>
  <r>
    <s v="OR0178"/>
    <d v="2024-03-01T00:00:00"/>
    <s v="Mar"/>
    <s v="2024"/>
    <x v="0"/>
    <s v="Cleaning"/>
    <n v="8"/>
    <n v="10"/>
    <n v="3.89"/>
    <s v="C0050"/>
    <s v="amelia JohnSON"/>
    <s v="Shipped"/>
    <x v="3"/>
    <x v="0"/>
    <s v="Amelia Johnson"/>
    <n v="80"/>
    <n v="31.12"/>
    <n v="48.879999999999995"/>
  </r>
  <r>
    <s v="OR0179"/>
    <d v="2024-03-01T00:00:00"/>
    <s v="Mar"/>
    <s v="2024"/>
    <x v="1"/>
    <s v="Bags"/>
    <n v="2"/>
    <n v="25"/>
    <n v="5.81"/>
    <s v="C0060"/>
    <s v="liaM jONES"/>
    <s v="Delivered"/>
    <x v="6"/>
    <x v="1"/>
    <s v="Liam Jones"/>
    <n v="50"/>
    <n v="11.62"/>
    <n v="38.380000000000003"/>
  </r>
  <r>
    <s v="OR0180"/>
    <d v="2024-03-02T00:00:00"/>
    <s v="Mar"/>
    <s v="2024"/>
    <x v="3"/>
    <s v="Kitchenware"/>
    <n v="5"/>
    <n v="15"/>
    <n v="4.7"/>
    <s v="C0178"/>
    <s v="LucAS gARCia"/>
    <s v="Shipped"/>
    <x v="4"/>
    <x v="3"/>
    <s v="Lucas Garcia"/>
    <n v="75"/>
    <n v="23.5"/>
    <n v="51.5"/>
  </r>
  <r>
    <s v="OR0181"/>
    <d v="2024-03-02T00:00:00"/>
    <s v="Mar"/>
    <s v="2024"/>
    <x v="2"/>
    <s v="Lighting"/>
    <n v="9"/>
    <n v="40"/>
    <n v="9.41"/>
    <s v="C0185"/>
    <s v="haRper sMITH"/>
    <s v="Pending"/>
    <x v="5"/>
    <x v="2"/>
    <s v="Harper Smith"/>
    <n v="360"/>
    <n v="84.69"/>
    <n v="275.31"/>
  </r>
  <r>
    <s v="OR0182"/>
    <d v="2024-03-02T00:00:00"/>
    <s v="Mar"/>
    <s v="2024"/>
    <x v="3"/>
    <s v="Kitchenware"/>
    <n v="4"/>
    <n v="15"/>
    <n v="4.91"/>
    <s v="C0108"/>
    <s v="HarpEr MILLeR"/>
    <s v="Returned"/>
    <x v="5"/>
    <x v="3"/>
    <s v="Harper Miller"/>
    <n v="60"/>
    <n v="19.64"/>
    <n v="40.36"/>
  </r>
  <r>
    <s v="OR0183"/>
    <d v="2024-03-02T00:00:00"/>
    <s v="Mar"/>
    <s v="2024"/>
    <x v="3"/>
    <s v="Kitchenware"/>
    <n v="8"/>
    <n v="15"/>
    <n v="3.02"/>
    <s v="C0014"/>
    <s v="CHARlOtTe GArCIA"/>
    <s v="Delivered"/>
    <x v="8"/>
    <x v="3"/>
    <s v="Charlotte Garcia"/>
    <n v="120"/>
    <n v="24.16"/>
    <n v="95.84"/>
  </r>
  <r>
    <s v="OR0184"/>
    <d v="2024-03-02T00:00:00"/>
    <s v="Mar"/>
    <s v="2024"/>
    <x v="1"/>
    <s v="Bags"/>
    <n v="1"/>
    <n v="25"/>
    <n v="5.23"/>
    <s v="C0189"/>
    <s v="mIa milLeR"/>
    <s v="Delivered"/>
    <x v="4"/>
    <x v="1"/>
    <s v="Mia Miller"/>
    <n v="25"/>
    <n v="5.23"/>
    <n v="19.77"/>
  </r>
  <r>
    <s v="OR0185"/>
    <d v="2024-03-03T00:00:00"/>
    <s v="Mar"/>
    <s v="2024"/>
    <x v="1"/>
    <s v="Bags"/>
    <n v="8"/>
    <n v="25"/>
    <n v="6.86"/>
    <s v="C0041"/>
    <s v="Elijah DAVis"/>
    <s v="Pending"/>
    <x v="9"/>
    <x v="1"/>
    <s v="Elijah Davis"/>
    <n v="200"/>
    <n v="54.88"/>
    <n v="145.12"/>
  </r>
  <r>
    <s v="OR0186"/>
    <d v="2024-03-03T00:00:00"/>
    <s v="Mar"/>
    <s v="2024"/>
    <x v="3"/>
    <s v="Kitchenware"/>
    <n v="1"/>
    <n v="15"/>
    <n v="3.91"/>
    <s v="C0034"/>
    <s v="EtHan RodrIgUEz"/>
    <s v="Shipped"/>
    <x v="4"/>
    <x v="3"/>
    <s v="Ethan Rodriguez"/>
    <n v="15"/>
    <n v="3.91"/>
    <n v="11.09"/>
  </r>
  <r>
    <s v="OR0187"/>
    <d v="2024-03-03T00:00:00"/>
    <s v="Mar"/>
    <s v="2024"/>
    <x v="2"/>
    <s v="Lighting"/>
    <n v="8"/>
    <n v="40"/>
    <n v="14.99"/>
    <s v="C0154"/>
    <s v="lIAm jOhnsOn"/>
    <s v="Delivered"/>
    <x v="6"/>
    <x v="2"/>
    <s v="Liam Johnson"/>
    <n v="320"/>
    <n v="119.92"/>
    <n v="200.07999999999998"/>
  </r>
  <r>
    <s v="OR0188"/>
    <d v="2024-03-04T00:00:00"/>
    <s v="Mar"/>
    <s v="2024"/>
    <x v="3"/>
    <s v="Kitchenware"/>
    <n v="3"/>
    <n v="15"/>
    <n v="3.87"/>
    <s v="C0057"/>
    <s v="EvElyn MiLLeR"/>
    <s v="Delivered"/>
    <x v="1"/>
    <x v="3"/>
    <s v="Evelyn Miller"/>
    <n v="45"/>
    <n v="11.61"/>
    <n v="33.39"/>
  </r>
  <r>
    <s v="OR0189"/>
    <d v="2024-03-04T00:00:00"/>
    <s v="Mar"/>
    <s v="2024"/>
    <x v="4"/>
    <s v="Gardening"/>
    <n v="5"/>
    <n v="12"/>
    <n v="2.98"/>
    <s v="C0108"/>
    <s v="HarpEr MILLeR"/>
    <s v="Delivered"/>
    <x v="5"/>
    <x v="4"/>
    <s v="Harper Miller"/>
    <n v="60"/>
    <n v="14.9"/>
    <n v="45.1"/>
  </r>
  <r>
    <s v="OR0190"/>
    <d v="2024-03-04T00:00:00"/>
    <s v="Mar"/>
    <s v="2024"/>
    <x v="4"/>
    <s v="Gardening"/>
    <n v="1"/>
    <n v="12"/>
    <n v="3.44"/>
    <s v="C0062"/>
    <s v="emma dAviS"/>
    <s v="Shipped"/>
    <x v="5"/>
    <x v="4"/>
    <s v="Emma Davis"/>
    <n v="12"/>
    <n v="3.44"/>
    <n v="8.56"/>
  </r>
  <r>
    <s v="OR0191"/>
    <d v="2024-03-05T00:00:00"/>
    <s v="Mar"/>
    <s v="2024"/>
    <x v="3"/>
    <s v="Kitchenware"/>
    <n v="7"/>
    <n v="15"/>
    <n v="5.35"/>
    <s v="C0025"/>
    <s v="isABeLlA garcIa"/>
    <s v="Delivered"/>
    <x v="0"/>
    <x v="3"/>
    <s v="Isabella Garcia"/>
    <n v="105"/>
    <n v="37.449999999999996"/>
    <n v="67.550000000000011"/>
  </r>
  <r>
    <s v="OR0192"/>
    <d v="2024-03-06T00:00:00"/>
    <s v="Mar"/>
    <s v="2024"/>
    <x v="3"/>
    <s v="Kitchenware"/>
    <n v="7"/>
    <n v="15"/>
    <n v="5.0999999999999996"/>
    <s v="C0096"/>
    <s v="EthAn joHnSoN"/>
    <s v="Delivered"/>
    <x v="4"/>
    <x v="3"/>
    <s v="Ethan Johnson"/>
    <n v="105"/>
    <n v="35.699999999999996"/>
    <n v="69.300000000000011"/>
  </r>
  <r>
    <s v="OR0193"/>
    <d v="2024-03-06T00:00:00"/>
    <s v="Mar"/>
    <s v="2024"/>
    <x v="4"/>
    <s v="Gardening"/>
    <n v="2"/>
    <n v="12"/>
    <n v="4.1100000000000003"/>
    <s v="C0125"/>
    <s v="lucas BrowN"/>
    <s v="Shipped"/>
    <x v="1"/>
    <x v="4"/>
    <s v="Lucas Brown"/>
    <n v="24"/>
    <n v="8.2200000000000006"/>
    <n v="15.78"/>
  </r>
  <r>
    <s v="OR0194"/>
    <d v="2024-03-06T00:00:00"/>
    <s v="Mar"/>
    <s v="2024"/>
    <x v="0"/>
    <s v="Cleaning"/>
    <n v="3"/>
    <n v="10"/>
    <n v="3.11"/>
    <s v="C0009"/>
    <s v="eThAN WIlLIamS"/>
    <s v="Delivered"/>
    <x v="1"/>
    <x v="0"/>
    <s v="Ethan Williams"/>
    <n v="30"/>
    <n v="9.33"/>
    <n v="20.67"/>
  </r>
  <r>
    <s v="OR0195"/>
    <d v="2024-03-06T00:00:00"/>
    <s v="Mar"/>
    <s v="2024"/>
    <x v="0"/>
    <s v="Cleaning"/>
    <n v="5"/>
    <n v="10"/>
    <n v="2.19"/>
    <s v="C0040"/>
    <s v="amELia milLer"/>
    <s v="Pending"/>
    <x v="4"/>
    <x v="0"/>
    <s v="Amelia Miller"/>
    <n v="50"/>
    <n v="10.95"/>
    <n v="39.049999999999997"/>
  </r>
  <r>
    <s v="OR0196"/>
    <d v="2024-03-06T00:00:00"/>
    <s v="Mar"/>
    <s v="2024"/>
    <x v="4"/>
    <s v="Gardening"/>
    <n v="7"/>
    <n v="12"/>
    <n v="3.6"/>
    <s v="C0110"/>
    <s v="olIVIa garCIa"/>
    <s v="Shipped"/>
    <x v="1"/>
    <x v="4"/>
    <s v="Olivia Garcia"/>
    <n v="84"/>
    <n v="25.2"/>
    <n v="58.8"/>
  </r>
  <r>
    <s v="OR0197"/>
    <d v="2024-03-06T00:00:00"/>
    <s v="Mar"/>
    <s v="2024"/>
    <x v="0"/>
    <s v="Cleaning"/>
    <n v="2"/>
    <n v="10"/>
    <n v="3.92"/>
    <s v="C0085"/>
    <s v="eThan mARTIneZ"/>
    <s v="Delivered"/>
    <x v="9"/>
    <x v="0"/>
    <s v="Ethan Martinez"/>
    <n v="20"/>
    <n v="7.84"/>
    <n v="12.16"/>
  </r>
  <r>
    <s v="OR0198"/>
    <d v="2024-03-06T00:00:00"/>
    <s v="Mar"/>
    <s v="2024"/>
    <x v="1"/>
    <s v="Bags"/>
    <n v="10"/>
    <n v="25"/>
    <n v="6.02"/>
    <s v="C0135"/>
    <s v="HArPeR DavIs"/>
    <s v="Returned"/>
    <x v="5"/>
    <x v="1"/>
    <s v="Harper Davis"/>
    <n v="250"/>
    <n v="60.199999999999996"/>
    <n v="189.8"/>
  </r>
  <r>
    <s v="OR0199"/>
    <d v="2024-03-07T00:00:00"/>
    <s v="Mar"/>
    <s v="2024"/>
    <x v="1"/>
    <s v="Bags"/>
    <n v="2"/>
    <n v="25"/>
    <n v="5.62"/>
    <s v="C0102"/>
    <s v="Liam bROwn"/>
    <s v="Shipped"/>
    <x v="0"/>
    <x v="1"/>
    <s v="Liam Brown"/>
    <n v="50"/>
    <n v="11.24"/>
    <n v="38.76"/>
  </r>
  <r>
    <s v="OR0200"/>
    <d v="2024-03-07T00:00:00"/>
    <s v="Mar"/>
    <s v="2024"/>
    <x v="4"/>
    <s v="Gardening"/>
    <n v="7"/>
    <n v="12"/>
    <n v="4.74"/>
    <s v="C0182"/>
    <s v="AVA MilLEr"/>
    <s v="Shipped"/>
    <x v="9"/>
    <x v="4"/>
    <s v="Ava Miller"/>
    <n v="84"/>
    <n v="33.18"/>
    <n v="50.82"/>
  </r>
  <r>
    <s v="OR0201"/>
    <d v="2024-03-08T00:00:00"/>
    <s v="Mar"/>
    <s v="2024"/>
    <x v="1"/>
    <s v="Bags"/>
    <n v="3"/>
    <n v="25"/>
    <n v="8.43"/>
    <s v="C0003"/>
    <s v="SOpHia GaRcIa"/>
    <s v="Shipped"/>
    <x v="2"/>
    <x v="1"/>
    <s v="Sophia Garcia"/>
    <n v="75"/>
    <n v="25.29"/>
    <n v="49.71"/>
  </r>
  <r>
    <s v="OR0202"/>
    <d v="2024-03-08T00:00:00"/>
    <s v="Mar"/>
    <s v="2024"/>
    <x v="2"/>
    <s v="Lighting"/>
    <n v="10"/>
    <n v="40"/>
    <n v="14.31"/>
    <s v="C0044"/>
    <s v="soPHiA DaVIs"/>
    <s v="Delivered"/>
    <x v="3"/>
    <x v="2"/>
    <s v="Sophia Davis"/>
    <n v="400"/>
    <n v="143.1"/>
    <n v="256.89999999999998"/>
  </r>
  <r>
    <s v="OR0203"/>
    <d v="2024-03-08T00:00:00"/>
    <s v="Mar"/>
    <s v="2024"/>
    <x v="0"/>
    <s v="Cleaning"/>
    <n v="9"/>
    <n v="10"/>
    <n v="2.67"/>
    <s v="C0048"/>
    <s v="ELIJah bROwn"/>
    <s v="Shipped"/>
    <x v="8"/>
    <x v="0"/>
    <s v="Elijah Brown"/>
    <n v="90"/>
    <n v="24.03"/>
    <n v="65.97"/>
  </r>
  <r>
    <s v="OR0204"/>
    <d v="2024-03-08T00:00:00"/>
    <s v="Mar"/>
    <s v="2024"/>
    <x v="4"/>
    <s v="Gardening"/>
    <n v="4"/>
    <n v="12"/>
    <n v="2.87"/>
    <s v="C0199"/>
    <s v="oLIvIA MILLEr"/>
    <s v="Delivered"/>
    <x v="0"/>
    <x v="4"/>
    <s v="Olivia Miller"/>
    <n v="48"/>
    <n v="11.48"/>
    <n v="36.519999999999996"/>
  </r>
  <r>
    <s v="OR0205"/>
    <d v="2024-03-08T00:00:00"/>
    <s v="Mar"/>
    <s v="2024"/>
    <x v="1"/>
    <s v="Bags"/>
    <n v="10"/>
    <n v="25"/>
    <n v="8.3699999999999992"/>
    <s v="C0108"/>
    <s v="HarpEr MILLeR"/>
    <s v="Delivered"/>
    <x v="7"/>
    <x v="1"/>
    <s v="Harper Miller"/>
    <n v="250"/>
    <n v="83.699999999999989"/>
    <n v="166.3"/>
  </r>
  <r>
    <s v="OR0206"/>
    <d v="2024-03-08T00:00:00"/>
    <s v="Mar"/>
    <s v="2024"/>
    <x v="2"/>
    <s v="Lighting"/>
    <n v="4"/>
    <n v="40"/>
    <n v="12.92"/>
    <s v="C0058"/>
    <s v="aMElIA johNson"/>
    <s v="Delivered"/>
    <x v="2"/>
    <x v="2"/>
    <s v="Amelia Johnson"/>
    <n v="160"/>
    <n v="51.68"/>
    <n v="108.32"/>
  </r>
  <r>
    <s v="OR0207"/>
    <d v="2024-03-09T00:00:00"/>
    <s v="Mar"/>
    <s v="2024"/>
    <x v="0"/>
    <s v="Cleaning"/>
    <n v="6"/>
    <n v="10"/>
    <n v="3.16"/>
    <s v="C0193"/>
    <s v="aVA SmIth"/>
    <s v="Delivered"/>
    <x v="8"/>
    <x v="0"/>
    <s v="Ava Smith"/>
    <n v="60"/>
    <n v="18.96"/>
    <n v="41.04"/>
  </r>
  <r>
    <s v="OR0208"/>
    <d v="2024-03-09T00:00:00"/>
    <s v="Mar"/>
    <s v="2024"/>
    <x v="0"/>
    <s v="Cleaning"/>
    <n v="9"/>
    <n v="10"/>
    <n v="2.2999999999999998"/>
    <s v="C0175"/>
    <s v="Aiden RoDrIGUEz"/>
    <s v="Delivered"/>
    <x v="0"/>
    <x v="0"/>
    <s v="Aiden Rodriguez"/>
    <n v="90"/>
    <n v="20.7"/>
    <n v="69.3"/>
  </r>
  <r>
    <s v="OR0209"/>
    <d v="2024-03-09T00:00:00"/>
    <s v="Mar"/>
    <s v="2024"/>
    <x v="1"/>
    <s v="Bags"/>
    <n v="1"/>
    <n v="25"/>
    <n v="8.83"/>
    <s v="C0104"/>
    <s v="mAsOn roDRiguez"/>
    <s v="Delivered"/>
    <x v="2"/>
    <x v="1"/>
    <s v="Mason Rodriguez"/>
    <n v="25"/>
    <n v="8.83"/>
    <n v="16.170000000000002"/>
  </r>
  <r>
    <s v="OR0210"/>
    <d v="2024-03-10T00:00:00"/>
    <s v="Mar"/>
    <s v="2024"/>
    <x v="3"/>
    <s v="Kitchenware"/>
    <n v="9"/>
    <n v="15"/>
    <n v="5.95"/>
    <s v="C0200"/>
    <s v="mASON JOhNSoN"/>
    <s v="Shipped"/>
    <x v="0"/>
    <x v="3"/>
    <s v="Mason Johnson"/>
    <n v="135"/>
    <n v="53.550000000000004"/>
    <n v="81.449999999999989"/>
  </r>
  <r>
    <s v="OR0211"/>
    <d v="2024-03-10T00:00:00"/>
    <s v="Mar"/>
    <s v="2024"/>
    <x v="2"/>
    <s v="Lighting"/>
    <n v="2"/>
    <n v="40"/>
    <n v="12.52"/>
    <s v="C0050"/>
    <s v="amelia JohnSON"/>
    <s v="Delivered"/>
    <x v="6"/>
    <x v="2"/>
    <s v="Amelia Johnson"/>
    <n v="80"/>
    <n v="25.04"/>
    <n v="54.96"/>
  </r>
  <r>
    <s v="OR0212"/>
    <d v="2024-03-10T00:00:00"/>
    <s v="Mar"/>
    <s v="2024"/>
    <x v="2"/>
    <s v="Lighting"/>
    <n v="8"/>
    <n v="40"/>
    <n v="12.66"/>
    <s v="C0043"/>
    <s v="logan roDRIgUEZ"/>
    <s v="Delivered"/>
    <x v="1"/>
    <x v="2"/>
    <s v="Logan Rodriguez"/>
    <n v="320"/>
    <n v="101.28"/>
    <n v="218.72"/>
  </r>
  <r>
    <s v="OR0213"/>
    <d v="2024-03-10T00:00:00"/>
    <s v="Mar"/>
    <s v="2024"/>
    <x v="1"/>
    <s v="Bags"/>
    <n v="7"/>
    <n v="25"/>
    <n v="7.98"/>
    <s v="C0072"/>
    <s v="EVeLYn GarcIa"/>
    <s v="Returned"/>
    <x v="2"/>
    <x v="1"/>
    <s v="Evelyn Garcia"/>
    <n v="175"/>
    <n v="55.86"/>
    <n v="119.14"/>
  </r>
  <r>
    <s v="OR0214"/>
    <d v="2024-03-10T00:00:00"/>
    <s v="Mar"/>
    <s v="2024"/>
    <x v="2"/>
    <s v="Lighting"/>
    <n v="7"/>
    <n v="40"/>
    <n v="8.81"/>
    <s v="C0193"/>
    <s v="aVA SmIth"/>
    <s v="Delivered"/>
    <x v="0"/>
    <x v="2"/>
    <s v="Ava Smith"/>
    <n v="280"/>
    <n v="61.67"/>
    <n v="218.32999999999998"/>
  </r>
  <r>
    <s v="OR0215"/>
    <d v="2024-03-10T00:00:00"/>
    <s v="Mar"/>
    <s v="2024"/>
    <x v="3"/>
    <s v="Kitchenware"/>
    <n v="5"/>
    <n v="15"/>
    <n v="5.82"/>
    <s v="C0143"/>
    <s v="jAmEs mIllER"/>
    <s v="Delivered"/>
    <x v="6"/>
    <x v="3"/>
    <s v="James Miller"/>
    <n v="75"/>
    <n v="29.1"/>
    <n v="45.9"/>
  </r>
  <r>
    <s v="OR0216"/>
    <d v="2024-03-11T00:00:00"/>
    <s v="Mar"/>
    <s v="2024"/>
    <x v="0"/>
    <s v="Cleaning"/>
    <n v="8"/>
    <n v="10"/>
    <n v="2.13"/>
    <s v="C0126"/>
    <s v="lUcas SMitH"/>
    <s v="Pending"/>
    <x v="3"/>
    <x v="0"/>
    <s v="Lucas Smith"/>
    <n v="80"/>
    <n v="17.04"/>
    <n v="62.96"/>
  </r>
  <r>
    <s v="OR0217"/>
    <d v="2024-03-11T00:00:00"/>
    <s v="Mar"/>
    <s v="2024"/>
    <x v="4"/>
    <s v="Gardening"/>
    <n v="2"/>
    <n v="12"/>
    <n v="3.59"/>
    <s v="C0055"/>
    <s v="lucaS RoDRIguez"/>
    <s v="Pending"/>
    <x v="3"/>
    <x v="4"/>
    <s v="Lucas Rodriguez"/>
    <n v="24"/>
    <n v="7.18"/>
    <n v="16.82"/>
  </r>
  <r>
    <s v="OR0218"/>
    <d v="2024-03-11T00:00:00"/>
    <s v="Mar"/>
    <s v="2024"/>
    <x v="0"/>
    <s v="Cleaning"/>
    <n v="5"/>
    <n v="10"/>
    <n v="2.5099999999999998"/>
    <s v="C0147"/>
    <s v="LuCaS williAmS"/>
    <s v="Shipped"/>
    <x v="7"/>
    <x v="0"/>
    <s v="Lucas Williams"/>
    <n v="50"/>
    <n v="12.549999999999999"/>
    <n v="37.450000000000003"/>
  </r>
  <r>
    <s v="OR0219"/>
    <d v="2024-03-12T00:00:00"/>
    <s v="Mar"/>
    <s v="2024"/>
    <x v="1"/>
    <s v="Bags"/>
    <n v="4"/>
    <n v="25"/>
    <n v="8.09"/>
    <s v="C0075"/>
    <s v="jaMes brOwn"/>
    <s v="Returned"/>
    <x v="2"/>
    <x v="1"/>
    <s v="James Brown"/>
    <n v="100"/>
    <n v="32.36"/>
    <n v="67.64"/>
  </r>
  <r>
    <s v="OR0220"/>
    <d v="2024-03-13T00:00:00"/>
    <s v="Mar"/>
    <s v="2024"/>
    <x v="4"/>
    <s v="Gardening"/>
    <n v="10"/>
    <n v="12"/>
    <n v="2.69"/>
    <s v="C0144"/>
    <s v="lIAM jOneS"/>
    <s v="Pending"/>
    <x v="5"/>
    <x v="4"/>
    <s v="Liam Jones"/>
    <n v="120"/>
    <n v="26.9"/>
    <n v="93.1"/>
  </r>
  <r>
    <s v="OR0221"/>
    <d v="2024-03-14T00:00:00"/>
    <s v="Mar"/>
    <s v="2024"/>
    <x v="4"/>
    <s v="Gardening"/>
    <n v="1"/>
    <n v="12"/>
    <n v="4.71"/>
    <s v="C0112"/>
    <s v="eLijAh wIlLIAMs"/>
    <s v="Shipped"/>
    <x v="8"/>
    <x v="4"/>
    <s v="Elijah Williams"/>
    <n v="12"/>
    <n v="4.71"/>
    <n v="7.29"/>
  </r>
  <r>
    <s v="OR0222"/>
    <d v="2024-03-15T00:00:00"/>
    <s v="Mar"/>
    <s v="2024"/>
    <x v="0"/>
    <s v="Cleaning"/>
    <n v="5"/>
    <n v="10"/>
    <n v="3.65"/>
    <s v="C0126"/>
    <s v="lUcas SMitH"/>
    <s v="Delivered"/>
    <x v="4"/>
    <x v="0"/>
    <s v="Lucas Smith"/>
    <n v="50"/>
    <n v="18.25"/>
    <n v="31.75"/>
  </r>
  <r>
    <s v="OR0223"/>
    <d v="2024-03-15T00:00:00"/>
    <s v="Mar"/>
    <s v="2024"/>
    <x v="0"/>
    <s v="Cleaning"/>
    <n v="9"/>
    <n v="10"/>
    <n v="2.21"/>
    <s v="C0058"/>
    <s v="aMElIA johNson"/>
    <s v="Delivered"/>
    <x v="1"/>
    <x v="0"/>
    <s v="Amelia Johnson"/>
    <n v="90"/>
    <n v="19.89"/>
    <n v="70.11"/>
  </r>
  <r>
    <s v="OR0224"/>
    <d v="2024-03-15T00:00:00"/>
    <s v="Mar"/>
    <s v="2024"/>
    <x v="0"/>
    <s v="Cleaning"/>
    <n v="3"/>
    <n v="10"/>
    <n v="2.73"/>
    <s v="C0001"/>
    <s v="nOAH SmITH"/>
    <s v="Delivered"/>
    <x v="9"/>
    <x v="0"/>
    <s v="Noah Smith"/>
    <n v="30"/>
    <n v="8.19"/>
    <n v="21.810000000000002"/>
  </r>
  <r>
    <s v="OR0225"/>
    <d v="2024-03-16T00:00:00"/>
    <s v="Mar"/>
    <s v="2024"/>
    <x v="3"/>
    <s v="Kitchenware"/>
    <n v="8"/>
    <n v="15"/>
    <n v="5.9"/>
    <s v="C0182"/>
    <s v="AVA MilLEr"/>
    <s v="Delivered"/>
    <x v="8"/>
    <x v="3"/>
    <s v="Ava Miller"/>
    <n v="120"/>
    <n v="47.2"/>
    <n v="72.8"/>
  </r>
  <r>
    <s v="OR0226"/>
    <d v="2024-03-16T00:00:00"/>
    <s v="Mar"/>
    <s v="2024"/>
    <x v="4"/>
    <s v="Gardening"/>
    <n v="2"/>
    <n v="12"/>
    <n v="3.27"/>
    <s v="C0077"/>
    <s v="MaSon WillIAMs"/>
    <s v="Shipped"/>
    <x v="7"/>
    <x v="4"/>
    <s v="Mason Williams"/>
    <n v="24"/>
    <n v="6.54"/>
    <n v="17.46"/>
  </r>
  <r>
    <s v="OR0227"/>
    <d v="2024-03-16T00:00:00"/>
    <s v="Mar"/>
    <s v="2024"/>
    <x v="3"/>
    <s v="Kitchenware"/>
    <n v="2"/>
    <n v="15"/>
    <n v="4.99"/>
    <s v="C0036"/>
    <s v="iSaBElLA MILLER"/>
    <s v="Returned"/>
    <x v="6"/>
    <x v="3"/>
    <s v="Isabella Miller"/>
    <n v="30"/>
    <n v="9.98"/>
    <n v="20.02"/>
  </r>
  <r>
    <s v="OR0228"/>
    <d v="2024-03-16T00:00:00"/>
    <s v="Mar"/>
    <s v="2024"/>
    <x v="0"/>
    <s v="Cleaning"/>
    <n v="6"/>
    <n v="10"/>
    <n v="2.0299999999999998"/>
    <s v="C0157"/>
    <s v="oLivIa jOHNsON"/>
    <s v="Returned"/>
    <x v="1"/>
    <x v="0"/>
    <s v="Olivia Johnson"/>
    <n v="60"/>
    <n v="12.18"/>
    <n v="47.82"/>
  </r>
  <r>
    <s v="OR0229"/>
    <d v="2024-03-17T00:00:00"/>
    <s v="Mar"/>
    <s v="2024"/>
    <x v="3"/>
    <s v="Kitchenware"/>
    <n v="6"/>
    <n v="15"/>
    <n v="3.55"/>
    <s v="C0103"/>
    <s v="lIam garCia"/>
    <s v="Delivered"/>
    <x v="8"/>
    <x v="3"/>
    <s v="Liam Garcia"/>
    <n v="90"/>
    <n v="21.299999999999997"/>
    <n v="68.7"/>
  </r>
  <r>
    <s v="OR0230"/>
    <d v="2024-03-17T00:00:00"/>
    <s v="Mar"/>
    <s v="2024"/>
    <x v="1"/>
    <s v="Bags"/>
    <n v="9"/>
    <n v="25"/>
    <n v="6.29"/>
    <s v="C0147"/>
    <s v="LuCaS williAmS"/>
    <s v="Delivered"/>
    <x v="3"/>
    <x v="1"/>
    <s v="Lucas Williams"/>
    <n v="225"/>
    <n v="56.61"/>
    <n v="168.39"/>
  </r>
  <r>
    <s v="OR0231"/>
    <d v="2024-03-17T00:00:00"/>
    <s v="Mar"/>
    <s v="2024"/>
    <x v="0"/>
    <s v="Cleaning"/>
    <n v="4"/>
    <n v="10"/>
    <n v="3.87"/>
    <s v="C0162"/>
    <s v="Ethan mILLeR"/>
    <s v="Delivered"/>
    <x v="6"/>
    <x v="0"/>
    <s v="Ethan Miller"/>
    <n v="40"/>
    <n v="15.48"/>
    <n v="24.52"/>
  </r>
  <r>
    <s v="OR0232"/>
    <d v="2024-03-17T00:00:00"/>
    <s v="Mar"/>
    <s v="2024"/>
    <x v="2"/>
    <s v="Lighting"/>
    <n v="1"/>
    <n v="40"/>
    <n v="9.98"/>
    <s v="C0069"/>
    <s v="LiaM GarCia"/>
    <s v="Delivered"/>
    <x v="1"/>
    <x v="2"/>
    <s v="Liam Garcia"/>
    <n v="40"/>
    <n v="9.98"/>
    <n v="30.02"/>
  </r>
  <r>
    <s v="OR0233"/>
    <d v="2024-03-18T00:00:00"/>
    <s v="Mar"/>
    <s v="2024"/>
    <x v="1"/>
    <s v="Bags"/>
    <n v="3"/>
    <n v="25"/>
    <n v="8.7100000000000009"/>
    <s v="C0168"/>
    <s v="mIa broWn"/>
    <s v="Delivered"/>
    <x v="6"/>
    <x v="1"/>
    <s v="Mia Brown"/>
    <n v="75"/>
    <n v="26.130000000000003"/>
    <n v="48.87"/>
  </r>
  <r>
    <s v="OR0234"/>
    <d v="2024-03-19T00:00:00"/>
    <s v="Mar"/>
    <s v="2024"/>
    <x v="1"/>
    <s v="Bags"/>
    <n v="8"/>
    <n v="25"/>
    <n v="9.14"/>
    <s v="C0002"/>
    <s v="SOpHia BrowN"/>
    <s v="Delivered"/>
    <x v="7"/>
    <x v="1"/>
    <s v="Sophia Brown"/>
    <n v="200"/>
    <n v="73.12"/>
    <n v="126.88"/>
  </r>
  <r>
    <s v="OR0235"/>
    <d v="2024-03-19T00:00:00"/>
    <s v="Mar"/>
    <s v="2024"/>
    <x v="0"/>
    <s v="Cleaning"/>
    <n v="1"/>
    <n v="10"/>
    <n v="3.91"/>
    <s v="C0069"/>
    <s v="LiaM GarCia"/>
    <s v="Delivered"/>
    <x v="9"/>
    <x v="0"/>
    <s v="Liam Garcia"/>
    <n v="10"/>
    <n v="3.91"/>
    <n v="6.09"/>
  </r>
  <r>
    <s v="OR0236"/>
    <d v="2024-03-20T00:00:00"/>
    <s v="Mar"/>
    <s v="2024"/>
    <x v="1"/>
    <s v="Bags"/>
    <n v="3"/>
    <n v="25"/>
    <n v="5.7"/>
    <s v="C0137"/>
    <s v="loGAn smitH"/>
    <s v="Shipped"/>
    <x v="4"/>
    <x v="1"/>
    <s v="Logan Smith"/>
    <n v="75"/>
    <n v="17.100000000000001"/>
    <n v="57.9"/>
  </r>
  <r>
    <s v="OR0237"/>
    <d v="2024-03-21T00:00:00"/>
    <s v="Mar"/>
    <s v="2024"/>
    <x v="4"/>
    <s v="Gardening"/>
    <n v="8"/>
    <n v="12"/>
    <n v="2.88"/>
    <s v="C0023"/>
    <s v="nOAH gARciA"/>
    <s v="Returned"/>
    <x v="3"/>
    <x v="4"/>
    <s v="Noah Garcia"/>
    <n v="96"/>
    <n v="23.04"/>
    <n v="72.960000000000008"/>
  </r>
  <r>
    <s v="OR0238"/>
    <d v="2024-03-21T00:00:00"/>
    <s v="Mar"/>
    <s v="2024"/>
    <x v="4"/>
    <s v="Gardening"/>
    <n v="1"/>
    <n v="12"/>
    <n v="3.25"/>
    <s v="C0036"/>
    <s v="iSaBElLA MILLER"/>
    <s v="Returned"/>
    <x v="6"/>
    <x v="4"/>
    <s v="Isabella Miller"/>
    <n v="12"/>
    <n v="3.25"/>
    <n v="8.75"/>
  </r>
  <r>
    <s v="OR0239"/>
    <d v="2024-03-21T00:00:00"/>
    <s v="Mar"/>
    <s v="2024"/>
    <x v="3"/>
    <s v="Kitchenware"/>
    <n v="7"/>
    <n v="15"/>
    <n v="3.63"/>
    <s v="C0004"/>
    <s v="AIDEn GArcia"/>
    <s v="Delivered"/>
    <x v="8"/>
    <x v="3"/>
    <s v="Aiden Garcia"/>
    <n v="105"/>
    <n v="25.41"/>
    <n v="79.59"/>
  </r>
  <r>
    <s v="OR0240"/>
    <d v="2024-03-21T00:00:00"/>
    <s v="Mar"/>
    <s v="2024"/>
    <x v="0"/>
    <s v="Cleaning"/>
    <n v="5"/>
    <n v="10"/>
    <n v="3.98"/>
    <s v="C0176"/>
    <s v="oLiver Miller"/>
    <s v="Delivered"/>
    <x v="9"/>
    <x v="0"/>
    <s v="Oliver Miller"/>
    <n v="50"/>
    <n v="19.899999999999999"/>
    <n v="30.1"/>
  </r>
  <r>
    <s v="OR0241"/>
    <d v="2024-03-22T00:00:00"/>
    <s v="Mar"/>
    <s v="2024"/>
    <x v="3"/>
    <s v="Kitchenware"/>
    <n v="4"/>
    <n v="15"/>
    <n v="3.4"/>
    <s v="C0200"/>
    <s v="mASON JOhNSoN"/>
    <s v="Shipped"/>
    <x v="8"/>
    <x v="3"/>
    <s v="Mason Johnson"/>
    <n v="60"/>
    <n v="13.6"/>
    <n v="46.4"/>
  </r>
  <r>
    <s v="OR0242"/>
    <d v="2024-03-22T00:00:00"/>
    <s v="Mar"/>
    <s v="2024"/>
    <x v="2"/>
    <s v="Lighting"/>
    <n v="9"/>
    <n v="40"/>
    <n v="10.92"/>
    <s v="C0062"/>
    <s v="emma dAviS"/>
    <s v="Returned"/>
    <x v="1"/>
    <x v="2"/>
    <s v="Emma Davis"/>
    <n v="360"/>
    <n v="98.28"/>
    <n v="261.72000000000003"/>
  </r>
  <r>
    <s v="OR0243"/>
    <d v="2024-03-22T00:00:00"/>
    <s v="Mar"/>
    <s v="2024"/>
    <x v="0"/>
    <s v="Cleaning"/>
    <n v="3"/>
    <n v="10"/>
    <n v="2.91"/>
    <s v="C0181"/>
    <s v="OlIvIA GARcia"/>
    <s v="Shipped"/>
    <x v="5"/>
    <x v="0"/>
    <s v="Olivia Garcia"/>
    <n v="30"/>
    <n v="8.73"/>
    <n v="21.27"/>
  </r>
  <r>
    <s v="OR0244"/>
    <d v="2024-03-22T00:00:00"/>
    <s v="Mar"/>
    <s v="2024"/>
    <x v="2"/>
    <s v="Lighting"/>
    <n v="2"/>
    <n v="40"/>
    <n v="11.01"/>
    <s v="C0140"/>
    <s v="AIdeN SMiTh"/>
    <s v="Shipped"/>
    <x v="7"/>
    <x v="2"/>
    <s v="Aiden Smith"/>
    <n v="80"/>
    <n v="22.02"/>
    <n v="57.980000000000004"/>
  </r>
  <r>
    <s v="OR0245"/>
    <d v="2024-03-23T00:00:00"/>
    <s v="Mar"/>
    <s v="2024"/>
    <x v="3"/>
    <s v="Kitchenware"/>
    <n v="2"/>
    <n v="15"/>
    <n v="4.99"/>
    <s v="C0154"/>
    <s v="lIAm jOhnsOn"/>
    <s v="Delivered"/>
    <x v="2"/>
    <x v="3"/>
    <s v="Liam Johnson"/>
    <n v="30"/>
    <n v="9.98"/>
    <n v="20.02"/>
  </r>
  <r>
    <s v="OR0246"/>
    <d v="2024-03-23T00:00:00"/>
    <s v="Mar"/>
    <s v="2024"/>
    <x v="2"/>
    <s v="Lighting"/>
    <n v="2"/>
    <n v="40"/>
    <n v="10.69"/>
    <s v="C0015"/>
    <s v="Emma bROwN"/>
    <s v="Delivered"/>
    <x v="7"/>
    <x v="2"/>
    <s v="Emma Brown"/>
    <n v="80"/>
    <n v="21.38"/>
    <n v="58.620000000000005"/>
  </r>
  <r>
    <s v="OR0247"/>
    <d v="2024-03-24T00:00:00"/>
    <s v="Mar"/>
    <s v="2024"/>
    <x v="2"/>
    <s v="Lighting"/>
    <n v="10"/>
    <n v="40"/>
    <n v="9.1"/>
    <s v="C0048"/>
    <s v="ELIJah bROwn"/>
    <s v="Delivered"/>
    <x v="6"/>
    <x v="2"/>
    <s v="Elijah Brown"/>
    <n v="400"/>
    <n v="91"/>
    <n v="309"/>
  </r>
  <r>
    <s v="OR0248"/>
    <d v="2024-03-24T00:00:00"/>
    <s v="Mar"/>
    <s v="2024"/>
    <x v="2"/>
    <s v="Lighting"/>
    <n v="5"/>
    <n v="40"/>
    <n v="11.38"/>
    <s v="C0194"/>
    <s v="NoaH bROWn"/>
    <s v="Delivered"/>
    <x v="7"/>
    <x v="2"/>
    <s v="Noah Brown"/>
    <n v="200"/>
    <n v="56.900000000000006"/>
    <n v="143.1"/>
  </r>
  <r>
    <s v="OR0249"/>
    <d v="2024-03-24T00:00:00"/>
    <s v="Mar"/>
    <s v="2024"/>
    <x v="2"/>
    <s v="Lighting"/>
    <n v="2"/>
    <n v="40"/>
    <n v="13.29"/>
    <s v="C0068"/>
    <s v="LOGan jOhNson"/>
    <s v="Delivered"/>
    <x v="8"/>
    <x v="2"/>
    <s v="Logan Johnson"/>
    <n v="80"/>
    <n v="26.58"/>
    <n v="53.42"/>
  </r>
  <r>
    <s v="OR0250"/>
    <d v="2024-03-24T00:00:00"/>
    <s v="Mar"/>
    <s v="2024"/>
    <x v="2"/>
    <s v="Lighting"/>
    <n v="1"/>
    <n v="40"/>
    <n v="14.99"/>
    <s v="C0200"/>
    <s v="mASON JOhNSoN"/>
    <s v="Returned"/>
    <x v="1"/>
    <x v="2"/>
    <s v="Mason Johnson"/>
    <n v="40"/>
    <n v="14.99"/>
    <n v="25.009999999999998"/>
  </r>
  <r>
    <s v="OR0251"/>
    <d v="2024-03-24T00:00:00"/>
    <s v="Mar"/>
    <s v="2024"/>
    <x v="1"/>
    <s v="Bags"/>
    <n v="2"/>
    <n v="25"/>
    <n v="5.01"/>
    <s v="C0004"/>
    <s v="AIDEn GArcia"/>
    <s v="Shipped"/>
    <x v="8"/>
    <x v="1"/>
    <s v="Aiden Garcia"/>
    <n v="50"/>
    <n v="10.02"/>
    <n v="39.980000000000004"/>
  </r>
  <r>
    <s v="OR0252"/>
    <d v="2024-03-26T00:00:00"/>
    <s v="Mar"/>
    <s v="2024"/>
    <x v="4"/>
    <s v="Gardening"/>
    <n v="9"/>
    <n v="12"/>
    <n v="2.99"/>
    <s v="C0003"/>
    <s v="SOpHia GaRcIa"/>
    <s v="Delivered"/>
    <x v="5"/>
    <x v="4"/>
    <s v="Sophia Garcia"/>
    <n v="108"/>
    <n v="26.910000000000004"/>
    <n v="81.09"/>
  </r>
  <r>
    <s v="OR0253"/>
    <d v="2024-03-26T00:00:00"/>
    <s v="Mar"/>
    <s v="2024"/>
    <x v="2"/>
    <s v="Lighting"/>
    <n v="3"/>
    <n v="40"/>
    <n v="12.12"/>
    <s v="C0132"/>
    <s v="amEliA JonEs"/>
    <s v="Delivered"/>
    <x v="9"/>
    <x v="2"/>
    <s v="Amelia Jones"/>
    <n v="120"/>
    <n v="36.36"/>
    <n v="83.64"/>
  </r>
  <r>
    <s v="OR0254"/>
    <d v="2024-03-26T00:00:00"/>
    <s v="Mar"/>
    <s v="2024"/>
    <x v="4"/>
    <s v="Gardening"/>
    <n v="1"/>
    <n v="12"/>
    <n v="3.21"/>
    <s v="C0148"/>
    <s v="aVA RODrIGUEZ"/>
    <s v="Shipped"/>
    <x v="1"/>
    <x v="4"/>
    <s v="Ava Rodriguez"/>
    <n v="12"/>
    <n v="3.21"/>
    <n v="8.7899999999999991"/>
  </r>
  <r>
    <s v="OR0255"/>
    <d v="2024-03-27T00:00:00"/>
    <s v="Mar"/>
    <s v="2024"/>
    <x v="4"/>
    <s v="Gardening"/>
    <n v="5"/>
    <n v="12"/>
    <n v="3.41"/>
    <s v="C0165"/>
    <s v="haRper dAVIs"/>
    <s v="Delivered"/>
    <x v="0"/>
    <x v="4"/>
    <s v="Harper Davis"/>
    <n v="60"/>
    <n v="17.05"/>
    <n v="42.95"/>
  </r>
  <r>
    <s v="OR0256"/>
    <d v="2024-03-27T00:00:00"/>
    <s v="Mar"/>
    <s v="2024"/>
    <x v="3"/>
    <s v="Kitchenware"/>
    <n v="9"/>
    <n v="15"/>
    <n v="3.88"/>
    <s v="C0030"/>
    <s v="cHARLoTTe DAvIs"/>
    <s v="Delivered"/>
    <x v="6"/>
    <x v="3"/>
    <s v="Charlotte Davis"/>
    <n v="135"/>
    <n v="34.92"/>
    <n v="100.08"/>
  </r>
  <r>
    <s v="OR0257"/>
    <d v="2024-03-27T00:00:00"/>
    <s v="Mar"/>
    <s v="2024"/>
    <x v="2"/>
    <s v="Lighting"/>
    <n v="10"/>
    <n v="40"/>
    <n v="11.05"/>
    <s v="C0126"/>
    <s v="lUcas SMitH"/>
    <s v="Delivered"/>
    <x v="8"/>
    <x v="2"/>
    <s v="Lucas Smith"/>
    <n v="400"/>
    <n v="110.5"/>
    <n v="289.5"/>
  </r>
  <r>
    <s v="OR0258"/>
    <d v="2024-03-27T00:00:00"/>
    <s v="Mar"/>
    <s v="2024"/>
    <x v="0"/>
    <s v="Cleaning"/>
    <n v="2"/>
    <n v="10"/>
    <n v="3.43"/>
    <s v="C0200"/>
    <s v="mASON JOhNSoN"/>
    <s v="Pending"/>
    <x v="8"/>
    <x v="0"/>
    <s v="Mason Johnson"/>
    <n v="20"/>
    <n v="6.86"/>
    <n v="13.14"/>
  </r>
  <r>
    <s v="OR0259"/>
    <d v="2024-03-28T00:00:00"/>
    <s v="Mar"/>
    <s v="2024"/>
    <x v="1"/>
    <s v="Bags"/>
    <n v="2"/>
    <n v="25"/>
    <n v="6.89"/>
    <s v="C0071"/>
    <s v="AvA mARTINeZ"/>
    <s v="Pending"/>
    <x v="9"/>
    <x v="1"/>
    <s v="Ava Martinez"/>
    <n v="50"/>
    <n v="13.78"/>
    <n v="36.22"/>
  </r>
  <r>
    <s v="OR0260"/>
    <d v="2024-03-28T00:00:00"/>
    <s v="Mar"/>
    <s v="2024"/>
    <x v="0"/>
    <s v="Cleaning"/>
    <n v="7"/>
    <n v="10"/>
    <n v="2.2000000000000002"/>
    <s v="C0126"/>
    <s v="lUcas SMitH"/>
    <s v="Shipped"/>
    <x v="0"/>
    <x v="0"/>
    <s v="Lucas Smith"/>
    <n v="70"/>
    <n v="15.400000000000002"/>
    <n v="54.599999999999994"/>
  </r>
  <r>
    <s v="OR0261"/>
    <d v="2024-03-28T00:00:00"/>
    <s v="Mar"/>
    <s v="2024"/>
    <x v="1"/>
    <s v="Bags"/>
    <n v="7"/>
    <n v="25"/>
    <n v="5.89"/>
    <s v="C0068"/>
    <s v="LOGan jOhNson"/>
    <s v="Delivered"/>
    <x v="5"/>
    <x v="1"/>
    <s v="Logan Johnson"/>
    <n v="175"/>
    <n v="41.23"/>
    <n v="133.77000000000001"/>
  </r>
  <r>
    <s v="OR0262"/>
    <d v="2024-03-28T00:00:00"/>
    <s v="Mar"/>
    <s v="2024"/>
    <x v="1"/>
    <s v="Bags"/>
    <n v="8"/>
    <n v="25"/>
    <n v="8.61"/>
    <s v="C0067"/>
    <s v="lOGan SMITh"/>
    <s v="Delivered"/>
    <x v="0"/>
    <x v="1"/>
    <s v="Logan Smith"/>
    <n v="200"/>
    <n v="68.88"/>
    <n v="131.12"/>
  </r>
  <r>
    <s v="OR0263"/>
    <d v="2024-03-29T00:00:00"/>
    <s v="Mar"/>
    <s v="2024"/>
    <x v="0"/>
    <s v="Cleaning"/>
    <n v="5"/>
    <n v="10"/>
    <n v="2.82"/>
    <s v="C0045"/>
    <s v="lIaM smith"/>
    <s v="Delivered"/>
    <x v="9"/>
    <x v="0"/>
    <s v="Liam Smith"/>
    <n v="50"/>
    <n v="14.1"/>
    <n v="35.9"/>
  </r>
  <r>
    <s v="OR0264"/>
    <d v="2024-03-29T00:00:00"/>
    <s v="Mar"/>
    <s v="2024"/>
    <x v="2"/>
    <s v="Lighting"/>
    <n v="10"/>
    <n v="40"/>
    <n v="11.87"/>
    <s v="C0166"/>
    <s v="NOAh wIlLIamS"/>
    <s v="Delivered"/>
    <x v="6"/>
    <x v="2"/>
    <s v="Noah Williams"/>
    <n v="400"/>
    <n v="118.69999999999999"/>
    <n v="281.3"/>
  </r>
  <r>
    <s v="OR0265"/>
    <d v="2024-03-30T00:00:00"/>
    <s v="Mar"/>
    <s v="2024"/>
    <x v="3"/>
    <s v="Kitchenware"/>
    <n v="1"/>
    <n v="15"/>
    <n v="5.3"/>
    <s v="C0191"/>
    <s v="lIaM roDrIGUEZ"/>
    <s v="Delivered"/>
    <x v="1"/>
    <x v="3"/>
    <s v="Liam Rodriguez"/>
    <n v="15"/>
    <n v="5.3"/>
    <n v="9.6999999999999993"/>
  </r>
  <r>
    <s v="OR0266"/>
    <d v="2024-03-30T00:00:00"/>
    <s v="Mar"/>
    <s v="2024"/>
    <x v="1"/>
    <s v="Bags"/>
    <n v="4"/>
    <n v="25"/>
    <n v="9.4600000000000009"/>
    <s v="C0192"/>
    <s v="charLoTtE jOhnsON"/>
    <s v="Pending"/>
    <x v="8"/>
    <x v="1"/>
    <s v="Charlotte Johnson"/>
    <n v="100"/>
    <n v="37.840000000000003"/>
    <n v="62.16"/>
  </r>
  <r>
    <s v="OR0267"/>
    <d v="2024-03-31T00:00:00"/>
    <s v="Mar"/>
    <s v="2024"/>
    <x v="2"/>
    <s v="Lighting"/>
    <n v="1"/>
    <n v="40"/>
    <n v="12.13"/>
    <s v="C0162"/>
    <s v="Ethan mILLeR"/>
    <s v="Returned"/>
    <x v="3"/>
    <x v="2"/>
    <s v="Ethan Miller"/>
    <n v="40"/>
    <n v="12.13"/>
    <n v="27.869999999999997"/>
  </r>
  <r>
    <s v="OR0268"/>
    <d v="2024-03-31T00:00:00"/>
    <s v="Mar"/>
    <s v="2024"/>
    <x v="4"/>
    <s v="Gardening"/>
    <n v="4"/>
    <n v="12"/>
    <n v="3.9"/>
    <s v="C0068"/>
    <s v="LOGan jOhNson"/>
    <s v="Delivered"/>
    <x v="9"/>
    <x v="4"/>
    <s v="Logan Johnson"/>
    <n v="48"/>
    <n v="15.6"/>
    <n v="32.4"/>
  </r>
  <r>
    <s v="OR0269"/>
    <d v="2024-03-31T00:00:00"/>
    <s v="Mar"/>
    <s v="2024"/>
    <x v="0"/>
    <s v="Cleaning"/>
    <n v="3"/>
    <n v="10"/>
    <n v="2.69"/>
    <s v="C0043"/>
    <s v="logan roDRIgUEZ"/>
    <s v="Returned"/>
    <x v="5"/>
    <x v="0"/>
    <s v="Logan Rodriguez"/>
    <n v="30"/>
    <n v="8.07"/>
    <n v="21.93"/>
  </r>
  <r>
    <s v="OR0270"/>
    <d v="2024-03-31T00:00:00"/>
    <s v="Mar"/>
    <s v="2024"/>
    <x v="2"/>
    <s v="Lighting"/>
    <n v="3"/>
    <n v="40"/>
    <n v="12.8"/>
    <s v="C0017"/>
    <s v="LIAM rODRIgueZ"/>
    <s v="Delivered"/>
    <x v="7"/>
    <x v="2"/>
    <s v="Liam Rodriguez"/>
    <n v="120"/>
    <n v="38.400000000000006"/>
    <n v="81.599999999999994"/>
  </r>
  <r>
    <s v="OR0271"/>
    <d v="2024-03-31T00:00:00"/>
    <s v="Mar"/>
    <s v="2024"/>
    <x v="3"/>
    <s v="Kitchenware"/>
    <n v="8"/>
    <n v="15"/>
    <n v="3.64"/>
    <s v="C0197"/>
    <s v="noah wIlliaMS"/>
    <s v="Delivered"/>
    <x v="4"/>
    <x v="3"/>
    <s v="Noah Williams"/>
    <n v="120"/>
    <n v="29.12"/>
    <n v="90.88"/>
  </r>
  <r>
    <s v="OR0272"/>
    <d v="2024-03-31T00:00:00"/>
    <s v="Mar"/>
    <s v="2024"/>
    <x v="0"/>
    <s v="Cleaning"/>
    <n v="9"/>
    <n v="10"/>
    <n v="3.6"/>
    <s v="C0186"/>
    <s v="ISabellA bRoWN"/>
    <s v="Delivered"/>
    <x v="7"/>
    <x v="0"/>
    <s v="Isabella Brown"/>
    <n v="90"/>
    <n v="32.4"/>
    <n v="57.6"/>
  </r>
  <r>
    <s v="OR0273"/>
    <d v="2024-04-01T00:00:00"/>
    <s v="Apr"/>
    <s v="2024"/>
    <x v="1"/>
    <s v="Bags"/>
    <n v="7"/>
    <n v="25"/>
    <n v="5.07"/>
    <s v="C0050"/>
    <s v="amelia JohnSON"/>
    <s v="Delivered"/>
    <x v="2"/>
    <x v="1"/>
    <s v="Amelia Johnson"/>
    <n v="175"/>
    <n v="35.49"/>
    <n v="139.51"/>
  </r>
  <r>
    <s v="OR0274"/>
    <d v="2024-04-01T00:00:00"/>
    <s v="Apr"/>
    <s v="2024"/>
    <x v="4"/>
    <s v="Gardening"/>
    <n v="3"/>
    <n v="12"/>
    <n v="3.17"/>
    <s v="C0067"/>
    <s v="lOGan SMITh"/>
    <s v="Delivered"/>
    <x v="4"/>
    <x v="4"/>
    <s v="Logan Smith"/>
    <n v="36"/>
    <n v="9.51"/>
    <n v="26.490000000000002"/>
  </r>
  <r>
    <s v="OR0275"/>
    <d v="2024-04-02T00:00:00"/>
    <s v="Apr"/>
    <s v="2024"/>
    <x v="4"/>
    <s v="Gardening"/>
    <n v="10"/>
    <n v="12"/>
    <n v="3.9"/>
    <s v="C0161"/>
    <s v="CHARlOttE gArCiA"/>
    <s v="Delivered"/>
    <x v="9"/>
    <x v="4"/>
    <s v="Charlotte Garcia"/>
    <n v="120"/>
    <n v="39"/>
    <n v="81"/>
  </r>
  <r>
    <s v="OR0276"/>
    <d v="2024-04-02T00:00:00"/>
    <s v="Apr"/>
    <s v="2024"/>
    <x v="3"/>
    <s v="Kitchenware"/>
    <n v="8"/>
    <n v="15"/>
    <n v="4.9400000000000004"/>
    <s v="C0005"/>
    <s v="eLiJAH garCiA"/>
    <s v="Delivered"/>
    <x v="1"/>
    <x v="3"/>
    <s v="Elijah Garcia"/>
    <n v="120"/>
    <n v="39.520000000000003"/>
    <n v="80.47999999999999"/>
  </r>
  <r>
    <s v="OR0277"/>
    <d v="2024-04-02T00:00:00"/>
    <s v="Apr"/>
    <s v="2024"/>
    <x v="3"/>
    <s v="Kitchenware"/>
    <n v="1"/>
    <n v="15"/>
    <n v="5.04"/>
    <s v="C0079"/>
    <s v="OlIVIA willIams"/>
    <s v="Delivered"/>
    <x v="2"/>
    <x v="3"/>
    <s v="Olivia Williams"/>
    <n v="15"/>
    <n v="5.04"/>
    <n v="9.9600000000000009"/>
  </r>
  <r>
    <s v="OR0278"/>
    <d v="2024-04-03T00:00:00"/>
    <s v="Apr"/>
    <s v="2024"/>
    <x v="2"/>
    <s v="Lighting"/>
    <n v="9"/>
    <n v="40"/>
    <n v="12.88"/>
    <s v="C0052"/>
    <s v="Mia joHnSon"/>
    <s v="Shipped"/>
    <x v="4"/>
    <x v="2"/>
    <s v="Mia Johnson"/>
    <n v="360"/>
    <n v="115.92"/>
    <n v="244.07999999999998"/>
  </r>
  <r>
    <s v="OR0279"/>
    <d v="2024-04-03T00:00:00"/>
    <s v="Apr"/>
    <s v="2024"/>
    <x v="3"/>
    <s v="Kitchenware"/>
    <n v="2"/>
    <n v="15"/>
    <n v="5.45"/>
    <s v="C0152"/>
    <s v="ETHAn GArCIa"/>
    <s v="Shipped"/>
    <x v="1"/>
    <x v="3"/>
    <s v="Ethan Garcia"/>
    <n v="30"/>
    <n v="10.9"/>
    <n v="19.100000000000001"/>
  </r>
  <r>
    <s v="OR0280"/>
    <d v="2024-04-03T00:00:00"/>
    <s v="Apr"/>
    <s v="2024"/>
    <x v="4"/>
    <s v="Gardening"/>
    <n v="5"/>
    <n v="12"/>
    <n v="3.06"/>
    <s v="C0128"/>
    <s v="jamEs wILLIAmS"/>
    <s v="Delivered"/>
    <x v="2"/>
    <x v="4"/>
    <s v="James Williams"/>
    <n v="60"/>
    <n v="15.3"/>
    <n v="44.7"/>
  </r>
  <r>
    <s v="OR0281"/>
    <d v="2024-04-04T00:00:00"/>
    <s v="Apr"/>
    <s v="2024"/>
    <x v="0"/>
    <s v="Cleaning"/>
    <n v="9"/>
    <n v="10"/>
    <n v="2.23"/>
    <s v="C0081"/>
    <s v="MasoN mILLeR"/>
    <s v="Shipped"/>
    <x v="2"/>
    <x v="0"/>
    <s v="Mason Miller"/>
    <n v="90"/>
    <n v="20.07"/>
    <n v="69.930000000000007"/>
  </r>
  <r>
    <s v="OR0282"/>
    <d v="2024-04-04T00:00:00"/>
    <s v="Apr"/>
    <s v="2024"/>
    <x v="1"/>
    <s v="Bags"/>
    <n v="3"/>
    <n v="25"/>
    <n v="8.42"/>
    <s v="C0002"/>
    <s v="SOpHia BrowN"/>
    <s v="Delivered"/>
    <x v="1"/>
    <x v="1"/>
    <s v="Sophia Brown"/>
    <n v="75"/>
    <n v="25.259999999999998"/>
    <n v="49.74"/>
  </r>
  <r>
    <s v="OR0283"/>
    <d v="2024-04-04T00:00:00"/>
    <s v="Apr"/>
    <s v="2024"/>
    <x v="2"/>
    <s v="Lighting"/>
    <n v="10"/>
    <n v="40"/>
    <n v="12.79"/>
    <s v="C0047"/>
    <s v="oLiver jOHNSoN"/>
    <s v="Pending"/>
    <x v="8"/>
    <x v="2"/>
    <s v="Oliver Johnson"/>
    <n v="400"/>
    <n v="127.89999999999999"/>
    <n v="272.10000000000002"/>
  </r>
  <r>
    <s v="OR0284"/>
    <d v="2024-04-04T00:00:00"/>
    <s v="Apr"/>
    <s v="2024"/>
    <x v="0"/>
    <s v="Cleaning"/>
    <n v="8"/>
    <n v="10"/>
    <n v="2.65"/>
    <s v="C0142"/>
    <s v="haRpeR GArCiA"/>
    <s v="Delivered"/>
    <x v="6"/>
    <x v="0"/>
    <s v="Harper Garcia"/>
    <n v="80"/>
    <n v="21.2"/>
    <n v="58.8"/>
  </r>
  <r>
    <s v="OR0285"/>
    <d v="2024-04-05T00:00:00"/>
    <s v="Apr"/>
    <s v="2024"/>
    <x v="2"/>
    <s v="Lighting"/>
    <n v="5"/>
    <n v="40"/>
    <n v="8.31"/>
    <s v="C0098"/>
    <s v="IsAbElLA brOWn"/>
    <s v="Shipped"/>
    <x v="2"/>
    <x v="2"/>
    <s v="Isabella Brown"/>
    <n v="200"/>
    <n v="41.550000000000004"/>
    <n v="158.44999999999999"/>
  </r>
  <r>
    <s v="OR0286"/>
    <d v="2024-04-06T00:00:00"/>
    <s v="Apr"/>
    <s v="2024"/>
    <x v="2"/>
    <s v="Lighting"/>
    <n v="8"/>
    <n v="40"/>
    <n v="10.88"/>
    <s v="C0051"/>
    <s v="EvELyn MarTinez"/>
    <s v="Shipped"/>
    <x v="8"/>
    <x v="2"/>
    <s v="Evelyn Martinez"/>
    <n v="320"/>
    <n v="87.04"/>
    <n v="232.95999999999998"/>
  </r>
  <r>
    <s v="OR0287"/>
    <d v="2024-04-06T00:00:00"/>
    <s v="Apr"/>
    <s v="2024"/>
    <x v="4"/>
    <s v="Gardening"/>
    <n v="6"/>
    <n v="12"/>
    <n v="4.78"/>
    <s v="C0161"/>
    <s v="CHARlOttE gArCiA"/>
    <s v="Shipped"/>
    <x v="9"/>
    <x v="4"/>
    <s v="Charlotte Garcia"/>
    <n v="72"/>
    <n v="28.68"/>
    <n v="43.32"/>
  </r>
  <r>
    <s v="OR0288"/>
    <d v="2024-04-06T00:00:00"/>
    <s v="Apr"/>
    <s v="2024"/>
    <x v="1"/>
    <s v="Bags"/>
    <n v="1"/>
    <n v="25"/>
    <n v="9.26"/>
    <s v="C0098"/>
    <s v="IsAbElLA brOWn"/>
    <s v="Delivered"/>
    <x v="9"/>
    <x v="1"/>
    <s v="Isabella Brown"/>
    <n v="25"/>
    <n v="9.26"/>
    <n v="15.74"/>
  </r>
  <r>
    <s v="OR0289"/>
    <d v="2024-04-07T00:00:00"/>
    <s v="Apr"/>
    <s v="2024"/>
    <x v="1"/>
    <s v="Bags"/>
    <n v="9"/>
    <n v="25"/>
    <n v="8.39"/>
    <s v="C0138"/>
    <s v="jAMeS WIlliaMS"/>
    <s v="Shipped"/>
    <x v="1"/>
    <x v="1"/>
    <s v="James Williams"/>
    <n v="225"/>
    <n v="75.510000000000005"/>
    <n v="149.49"/>
  </r>
  <r>
    <s v="OR0290"/>
    <d v="2024-04-07T00:00:00"/>
    <s v="Apr"/>
    <s v="2024"/>
    <x v="1"/>
    <s v="Bags"/>
    <n v="4"/>
    <n v="25"/>
    <n v="6.45"/>
    <s v="C0065"/>
    <s v="avA rodRiGUEz"/>
    <s v="Delivered"/>
    <x v="7"/>
    <x v="1"/>
    <s v="Ava Rodriguez"/>
    <n v="100"/>
    <n v="25.8"/>
    <n v="74.2"/>
  </r>
  <r>
    <s v="OR0291"/>
    <d v="2024-04-07T00:00:00"/>
    <s v="Apr"/>
    <s v="2024"/>
    <x v="1"/>
    <s v="Bags"/>
    <n v="4"/>
    <n v="25"/>
    <n v="8.35"/>
    <s v="C0085"/>
    <s v="eThan mARTIneZ"/>
    <s v="Delivered"/>
    <x v="6"/>
    <x v="1"/>
    <s v="Ethan Martinez"/>
    <n v="100"/>
    <n v="33.4"/>
    <n v="66.599999999999994"/>
  </r>
  <r>
    <s v="OR0292"/>
    <d v="2024-04-08T00:00:00"/>
    <s v="Apr"/>
    <s v="2024"/>
    <x v="3"/>
    <s v="Kitchenware"/>
    <n v="7"/>
    <n v="15"/>
    <n v="5.75"/>
    <s v="C0051"/>
    <s v="EvELyn MarTinez"/>
    <s v="Shipped"/>
    <x v="6"/>
    <x v="3"/>
    <s v="Evelyn Martinez"/>
    <n v="105"/>
    <n v="40.25"/>
    <n v="64.75"/>
  </r>
  <r>
    <s v="OR0293"/>
    <d v="2024-04-08T00:00:00"/>
    <s v="Apr"/>
    <s v="2024"/>
    <x v="4"/>
    <s v="Gardening"/>
    <n v="7"/>
    <n v="12"/>
    <n v="3.53"/>
    <s v="C0100"/>
    <s v="logAn sMItH"/>
    <s v="Pending"/>
    <x v="6"/>
    <x v="4"/>
    <s v="Logan Smith"/>
    <n v="84"/>
    <n v="24.709999999999997"/>
    <n v="59.290000000000006"/>
  </r>
  <r>
    <s v="OR0294"/>
    <d v="2024-04-08T00:00:00"/>
    <s v="Apr"/>
    <s v="2024"/>
    <x v="1"/>
    <s v="Bags"/>
    <n v="9"/>
    <n v="25"/>
    <n v="5.36"/>
    <s v="C0197"/>
    <s v="noah wIlliaMS"/>
    <s v="Delivered"/>
    <x v="3"/>
    <x v="1"/>
    <s v="Noah Williams"/>
    <n v="225"/>
    <n v="48.24"/>
    <n v="176.76"/>
  </r>
  <r>
    <s v="OR0295"/>
    <d v="2024-04-08T00:00:00"/>
    <s v="Apr"/>
    <s v="2024"/>
    <x v="0"/>
    <s v="Cleaning"/>
    <n v="8"/>
    <n v="10"/>
    <n v="3.52"/>
    <s v="C0119"/>
    <s v="mAson ROdrigUEz"/>
    <s v="Delivered"/>
    <x v="8"/>
    <x v="0"/>
    <s v="Mason Rodriguez"/>
    <n v="80"/>
    <n v="28.16"/>
    <n v="51.84"/>
  </r>
  <r>
    <s v="OR0296"/>
    <d v="2024-04-09T00:00:00"/>
    <s v="Apr"/>
    <s v="2024"/>
    <x v="0"/>
    <s v="Cleaning"/>
    <n v="10"/>
    <n v="10"/>
    <n v="2.86"/>
    <s v="C0183"/>
    <s v="AIDEN davIS"/>
    <s v="Delivered"/>
    <x v="4"/>
    <x v="0"/>
    <s v="Aiden Davis"/>
    <n v="100"/>
    <n v="28.599999999999998"/>
    <n v="71.400000000000006"/>
  </r>
  <r>
    <s v="OR0297"/>
    <d v="2024-04-09T00:00:00"/>
    <s v="Apr"/>
    <s v="2024"/>
    <x v="0"/>
    <s v="Cleaning"/>
    <n v="3"/>
    <n v="10"/>
    <n v="2.5299999999999998"/>
    <s v="C0116"/>
    <s v="liAM jONes"/>
    <s v="Delivered"/>
    <x v="9"/>
    <x v="0"/>
    <s v="Liam Jones"/>
    <n v="30"/>
    <n v="7.59"/>
    <n v="22.41"/>
  </r>
  <r>
    <s v="OR0298"/>
    <d v="2024-04-09T00:00:00"/>
    <s v="Apr"/>
    <s v="2024"/>
    <x v="0"/>
    <s v="Cleaning"/>
    <n v="2"/>
    <n v="10"/>
    <n v="3.58"/>
    <s v="C0151"/>
    <s v="Emma SMITh"/>
    <s v="Shipped"/>
    <x v="7"/>
    <x v="0"/>
    <s v="Emma Smith"/>
    <n v="20"/>
    <n v="7.16"/>
    <n v="12.84"/>
  </r>
  <r>
    <s v="OR0299"/>
    <d v="2024-04-10T00:00:00"/>
    <s v="Apr"/>
    <s v="2024"/>
    <x v="3"/>
    <s v="Kitchenware"/>
    <n v="10"/>
    <n v="15"/>
    <n v="5.89"/>
    <s v="C0011"/>
    <s v="jaMEs wilLIAMs"/>
    <s v="Shipped"/>
    <x v="3"/>
    <x v="3"/>
    <s v="James Williams"/>
    <n v="150"/>
    <n v="58.9"/>
    <n v="91.1"/>
  </r>
  <r>
    <s v="OR0300"/>
    <d v="2024-04-10T00:00:00"/>
    <s v="Apr"/>
    <s v="2024"/>
    <x v="1"/>
    <s v="Bags"/>
    <n v="3"/>
    <n v="25"/>
    <n v="5.6"/>
    <s v="C0095"/>
    <s v="hARPeR rODrIGueZ"/>
    <s v="Delivered"/>
    <x v="8"/>
    <x v="1"/>
    <s v="Harper Rodriguez"/>
    <n v="75"/>
    <n v="16.799999999999997"/>
    <n v="58.2"/>
  </r>
  <r>
    <s v="OR0301"/>
    <d v="2024-04-10T00:00:00"/>
    <s v="Apr"/>
    <s v="2024"/>
    <x v="0"/>
    <s v="Cleaning"/>
    <n v="4"/>
    <n v="10"/>
    <n v="2.4300000000000002"/>
    <s v="C0078"/>
    <s v="olIvEr jOHnson"/>
    <s v="Delivered"/>
    <x v="3"/>
    <x v="0"/>
    <s v="Oliver Johnson"/>
    <n v="40"/>
    <n v="9.7200000000000006"/>
    <n v="30.28"/>
  </r>
  <r>
    <s v="OR0302"/>
    <d v="2024-04-11T00:00:00"/>
    <s v="Apr"/>
    <s v="2024"/>
    <x v="2"/>
    <s v="Lighting"/>
    <n v="3"/>
    <n v="40"/>
    <n v="15.83"/>
    <s v="C0155"/>
    <s v="jAmEs MIlLeR"/>
    <s v="Delivered"/>
    <x v="8"/>
    <x v="2"/>
    <s v="James Miller"/>
    <n v="120"/>
    <n v="47.49"/>
    <n v="72.509999999999991"/>
  </r>
  <r>
    <s v="OR0303"/>
    <d v="2024-04-12T00:00:00"/>
    <s v="Apr"/>
    <s v="2024"/>
    <x v="2"/>
    <s v="Lighting"/>
    <n v="4"/>
    <n v="40"/>
    <n v="8.26"/>
    <s v="C0146"/>
    <s v="isAbeLla GARCia"/>
    <s v="Pending"/>
    <x v="5"/>
    <x v="2"/>
    <s v="Isabella Garcia"/>
    <n v="160"/>
    <n v="33.04"/>
    <n v="126.96000000000001"/>
  </r>
  <r>
    <s v="OR0304"/>
    <d v="2024-04-12T00:00:00"/>
    <s v="Apr"/>
    <s v="2024"/>
    <x v="2"/>
    <s v="Lighting"/>
    <n v="2"/>
    <n v="40"/>
    <n v="8.09"/>
    <s v="C0078"/>
    <s v="olIvEr jOHnson"/>
    <s v="Pending"/>
    <x v="1"/>
    <x v="2"/>
    <s v="Oliver Johnson"/>
    <n v="80"/>
    <n v="16.18"/>
    <n v="63.82"/>
  </r>
  <r>
    <s v="OR0305"/>
    <d v="2024-04-12T00:00:00"/>
    <s v="Apr"/>
    <s v="2024"/>
    <x v="2"/>
    <s v="Lighting"/>
    <n v="10"/>
    <n v="40"/>
    <n v="8.0399999999999991"/>
    <s v="C0133"/>
    <s v="HarPER Jones"/>
    <s v="Delivered"/>
    <x v="1"/>
    <x v="2"/>
    <s v="Harper Jones"/>
    <n v="400"/>
    <n v="80.399999999999991"/>
    <n v="319.60000000000002"/>
  </r>
  <r>
    <s v="OR0306"/>
    <d v="2024-04-13T00:00:00"/>
    <s v="Apr"/>
    <s v="2024"/>
    <x v="1"/>
    <s v="Bags"/>
    <n v="8"/>
    <n v="25"/>
    <n v="5.87"/>
    <s v="C0144"/>
    <s v="lIAM jOneS"/>
    <s v="Delivered"/>
    <x v="1"/>
    <x v="1"/>
    <s v="Liam Jones"/>
    <n v="200"/>
    <n v="46.96"/>
    <n v="153.04"/>
  </r>
  <r>
    <s v="OR0307"/>
    <d v="2024-04-13T00:00:00"/>
    <s v="Apr"/>
    <s v="2024"/>
    <x v="3"/>
    <s v="Kitchenware"/>
    <n v="1"/>
    <n v="15"/>
    <n v="5.9"/>
    <s v="C0119"/>
    <s v="mAson ROdrigUEz"/>
    <s v="Delivered"/>
    <x v="6"/>
    <x v="3"/>
    <s v="Mason Rodriguez"/>
    <n v="15"/>
    <n v="5.9"/>
    <n v="9.1"/>
  </r>
  <r>
    <s v="OR0308"/>
    <d v="2024-04-13T00:00:00"/>
    <s v="Apr"/>
    <s v="2024"/>
    <x v="2"/>
    <s v="Lighting"/>
    <n v="3"/>
    <n v="40"/>
    <n v="14.85"/>
    <s v="C0044"/>
    <s v="soPHiA DaVIs"/>
    <s v="Pending"/>
    <x v="5"/>
    <x v="2"/>
    <s v="Sophia Davis"/>
    <n v="120"/>
    <n v="44.55"/>
    <n v="75.45"/>
  </r>
  <r>
    <s v="OR0309"/>
    <d v="2024-04-14T00:00:00"/>
    <s v="Apr"/>
    <s v="2024"/>
    <x v="2"/>
    <s v="Lighting"/>
    <n v="4"/>
    <n v="40"/>
    <n v="15.39"/>
    <s v="C0157"/>
    <s v="oLivIa jOHNsON"/>
    <s v="Shipped"/>
    <x v="6"/>
    <x v="2"/>
    <s v="Olivia Johnson"/>
    <n v="160"/>
    <n v="61.56"/>
    <n v="98.44"/>
  </r>
  <r>
    <s v="OR0310"/>
    <d v="2024-04-14T00:00:00"/>
    <s v="Apr"/>
    <s v="2024"/>
    <x v="4"/>
    <s v="Gardening"/>
    <n v="2"/>
    <n v="12"/>
    <n v="3.33"/>
    <s v="C0112"/>
    <s v="eLijAh wIlLIAMs"/>
    <s v="Delivered"/>
    <x v="1"/>
    <x v="4"/>
    <s v="Elijah Williams"/>
    <n v="24"/>
    <n v="6.66"/>
    <n v="17.34"/>
  </r>
  <r>
    <s v="OR0311"/>
    <d v="2024-04-14T00:00:00"/>
    <s v="Apr"/>
    <s v="2024"/>
    <x v="2"/>
    <s v="Lighting"/>
    <n v="8"/>
    <n v="40"/>
    <n v="8.81"/>
    <s v="C0135"/>
    <s v="HArPeR DavIs"/>
    <s v="Delivered"/>
    <x v="7"/>
    <x v="2"/>
    <s v="Harper Davis"/>
    <n v="320"/>
    <n v="70.48"/>
    <n v="249.51999999999998"/>
  </r>
  <r>
    <s v="OR0312"/>
    <d v="2024-04-15T00:00:00"/>
    <s v="Apr"/>
    <s v="2024"/>
    <x v="2"/>
    <s v="Lighting"/>
    <n v="5"/>
    <n v="40"/>
    <n v="15.08"/>
    <s v="C0185"/>
    <s v="haRper sMITH"/>
    <s v="Shipped"/>
    <x v="0"/>
    <x v="2"/>
    <s v="Harper Smith"/>
    <n v="200"/>
    <n v="75.400000000000006"/>
    <n v="124.6"/>
  </r>
  <r>
    <s v="OR0313"/>
    <d v="2024-04-15T00:00:00"/>
    <s v="Apr"/>
    <s v="2024"/>
    <x v="2"/>
    <s v="Lighting"/>
    <n v="8"/>
    <n v="40"/>
    <n v="11.5"/>
    <s v="C0065"/>
    <s v="avA rodRiGUEz"/>
    <s v="Pending"/>
    <x v="8"/>
    <x v="2"/>
    <s v="Ava Rodriguez"/>
    <n v="320"/>
    <n v="92"/>
    <n v="228"/>
  </r>
  <r>
    <s v="OR0314"/>
    <d v="2024-04-15T00:00:00"/>
    <s v="Apr"/>
    <s v="2024"/>
    <x v="0"/>
    <s v="Cleaning"/>
    <n v="9"/>
    <n v="10"/>
    <n v="2.65"/>
    <s v="C0103"/>
    <s v="lIam garCia"/>
    <s v="Delivered"/>
    <x v="6"/>
    <x v="0"/>
    <s v="Liam Garcia"/>
    <n v="90"/>
    <n v="23.849999999999998"/>
    <n v="66.150000000000006"/>
  </r>
  <r>
    <s v="OR0315"/>
    <d v="2024-04-16T00:00:00"/>
    <s v="Apr"/>
    <s v="2024"/>
    <x v="0"/>
    <s v="Cleaning"/>
    <n v="2"/>
    <n v="10"/>
    <n v="3.22"/>
    <s v="C0130"/>
    <s v="avA rOdrIGueZ"/>
    <s v="Delivered"/>
    <x v="7"/>
    <x v="0"/>
    <s v="Ava Rodriguez"/>
    <n v="20"/>
    <n v="6.44"/>
    <n v="13.559999999999999"/>
  </r>
  <r>
    <s v="OR0316"/>
    <d v="2024-04-16T00:00:00"/>
    <s v="Apr"/>
    <s v="2024"/>
    <x v="1"/>
    <s v="Bags"/>
    <n v="6"/>
    <n v="25"/>
    <n v="7.37"/>
    <s v="C0181"/>
    <s v="OlIvIA GARcia"/>
    <s v="Shipped"/>
    <x v="1"/>
    <x v="1"/>
    <s v="Olivia Garcia"/>
    <n v="150"/>
    <n v="44.22"/>
    <n v="105.78"/>
  </r>
  <r>
    <s v="OR0317"/>
    <d v="2024-04-17T00:00:00"/>
    <s v="Apr"/>
    <s v="2024"/>
    <x v="4"/>
    <s v="Gardening"/>
    <n v="5"/>
    <n v="12"/>
    <n v="2.5499999999999998"/>
    <s v="C0076"/>
    <s v="mIa JONeS"/>
    <s v="Shipped"/>
    <x v="0"/>
    <x v="4"/>
    <s v="Mia Jones"/>
    <n v="60"/>
    <n v="12.75"/>
    <n v="47.25"/>
  </r>
  <r>
    <s v="OR0318"/>
    <d v="2024-04-17T00:00:00"/>
    <s v="Apr"/>
    <s v="2024"/>
    <x v="1"/>
    <s v="Bags"/>
    <n v="4"/>
    <n v="25"/>
    <n v="6.2"/>
    <s v="C0126"/>
    <s v="lUcas SMitH"/>
    <s v="Shipped"/>
    <x v="1"/>
    <x v="1"/>
    <s v="Lucas Smith"/>
    <n v="100"/>
    <n v="24.8"/>
    <n v="75.2"/>
  </r>
  <r>
    <s v="OR0319"/>
    <d v="2024-04-17T00:00:00"/>
    <s v="Apr"/>
    <s v="2024"/>
    <x v="1"/>
    <s v="Bags"/>
    <n v="4"/>
    <n v="25"/>
    <n v="7.53"/>
    <s v="C0124"/>
    <s v="hArper MIllEr"/>
    <s v="Delivered"/>
    <x v="3"/>
    <x v="1"/>
    <s v="Harper Miller"/>
    <n v="100"/>
    <n v="30.12"/>
    <n v="69.88"/>
  </r>
  <r>
    <s v="OR0320"/>
    <d v="2024-04-18T00:00:00"/>
    <s v="Apr"/>
    <s v="2024"/>
    <x v="1"/>
    <s v="Bags"/>
    <n v="1"/>
    <n v="25"/>
    <n v="7.07"/>
    <s v="C0004"/>
    <s v="AIDEn GArcia"/>
    <s v="Pending"/>
    <x v="7"/>
    <x v="1"/>
    <s v="Aiden Garcia"/>
    <n v="25"/>
    <n v="7.07"/>
    <n v="17.93"/>
  </r>
  <r>
    <s v="OR0321"/>
    <d v="2024-04-19T00:00:00"/>
    <s v="Apr"/>
    <s v="2024"/>
    <x v="0"/>
    <s v="Cleaning"/>
    <n v="7"/>
    <n v="10"/>
    <n v="3.53"/>
    <s v="C0151"/>
    <s v="Emma SMITh"/>
    <s v="Delivered"/>
    <x v="7"/>
    <x v="0"/>
    <s v="Emma Smith"/>
    <n v="70"/>
    <n v="24.709999999999997"/>
    <n v="45.290000000000006"/>
  </r>
  <r>
    <s v="OR0322"/>
    <d v="2024-04-19T00:00:00"/>
    <s v="Apr"/>
    <s v="2024"/>
    <x v="2"/>
    <s v="Lighting"/>
    <n v="7"/>
    <n v="40"/>
    <n v="8.4"/>
    <s v="C0147"/>
    <s v="LuCaS williAmS"/>
    <s v="Delivered"/>
    <x v="0"/>
    <x v="2"/>
    <s v="Lucas Williams"/>
    <n v="280"/>
    <n v="58.800000000000004"/>
    <n v="221.2"/>
  </r>
  <r>
    <s v="OR0323"/>
    <d v="2024-04-19T00:00:00"/>
    <s v="Apr"/>
    <s v="2024"/>
    <x v="4"/>
    <s v="Gardening"/>
    <n v="7"/>
    <n v="12"/>
    <n v="4.59"/>
    <s v="C0167"/>
    <s v="aidEN bROWn"/>
    <s v="Delivered"/>
    <x v="9"/>
    <x v="4"/>
    <s v="Aiden Brown"/>
    <n v="84"/>
    <n v="32.129999999999995"/>
    <n v="51.870000000000005"/>
  </r>
  <r>
    <s v="OR0324"/>
    <d v="2024-04-20T00:00:00"/>
    <s v="Apr"/>
    <s v="2024"/>
    <x v="4"/>
    <s v="Gardening"/>
    <n v="9"/>
    <n v="12"/>
    <n v="3.18"/>
    <s v="C0096"/>
    <s v="EthAn joHnSoN"/>
    <s v="Delivered"/>
    <x v="4"/>
    <x v="4"/>
    <s v="Ethan Johnson"/>
    <n v="108"/>
    <n v="28.62"/>
    <n v="79.38"/>
  </r>
  <r>
    <s v="OR0325"/>
    <d v="2024-04-20T00:00:00"/>
    <s v="Apr"/>
    <s v="2024"/>
    <x v="0"/>
    <s v="Cleaning"/>
    <n v="8"/>
    <n v="10"/>
    <n v="2.5499999999999998"/>
    <s v="C0031"/>
    <s v="harpEr rOdrIguEz"/>
    <s v="Shipped"/>
    <x v="5"/>
    <x v="0"/>
    <s v="Harper Rodriguez"/>
    <n v="80"/>
    <n v="20.399999999999999"/>
    <n v="59.6"/>
  </r>
  <r>
    <s v="OR0326"/>
    <d v="2024-04-20T00:00:00"/>
    <s v="Apr"/>
    <s v="2024"/>
    <x v="1"/>
    <s v="Bags"/>
    <n v="1"/>
    <n v="25"/>
    <n v="6.87"/>
    <s v="C0087"/>
    <s v="emmA DaviS"/>
    <s v="Delivered"/>
    <x v="4"/>
    <x v="1"/>
    <s v="Emma Davis"/>
    <n v="25"/>
    <n v="6.87"/>
    <n v="18.13"/>
  </r>
  <r>
    <s v="OR0327"/>
    <d v="2024-04-21T00:00:00"/>
    <s v="Apr"/>
    <s v="2024"/>
    <x v="2"/>
    <s v="Lighting"/>
    <n v="2"/>
    <n v="40"/>
    <n v="14.17"/>
    <s v="C0093"/>
    <s v="NoAh RODrIguEz"/>
    <s v="Delivered"/>
    <x v="1"/>
    <x v="2"/>
    <s v="Noah Rodriguez"/>
    <n v="80"/>
    <n v="28.34"/>
    <n v="51.66"/>
  </r>
  <r>
    <s v="OR0328"/>
    <d v="2024-04-21T00:00:00"/>
    <s v="Apr"/>
    <s v="2024"/>
    <x v="1"/>
    <s v="Bags"/>
    <n v="4"/>
    <n v="25"/>
    <n v="6.54"/>
    <s v="C0025"/>
    <s v="isABeLlA garcIa"/>
    <s v="Pending"/>
    <x v="9"/>
    <x v="1"/>
    <s v="Isabella Garcia"/>
    <n v="100"/>
    <n v="26.16"/>
    <n v="73.84"/>
  </r>
  <r>
    <s v="OR0329"/>
    <d v="2024-04-21T00:00:00"/>
    <s v="Apr"/>
    <s v="2024"/>
    <x v="2"/>
    <s v="Lighting"/>
    <n v="9"/>
    <n v="40"/>
    <n v="13.64"/>
    <s v="C0078"/>
    <s v="olIvEr jOHnson"/>
    <s v="Delivered"/>
    <x v="3"/>
    <x v="2"/>
    <s v="Oliver Johnson"/>
    <n v="360"/>
    <n v="122.76"/>
    <n v="237.24"/>
  </r>
  <r>
    <s v="OR0330"/>
    <d v="2024-04-22T00:00:00"/>
    <s v="Apr"/>
    <s v="2024"/>
    <x v="1"/>
    <s v="Bags"/>
    <n v="3"/>
    <n v="25"/>
    <n v="9.17"/>
    <s v="C0050"/>
    <s v="amelia JohnSON"/>
    <s v="Shipped"/>
    <x v="1"/>
    <x v="1"/>
    <s v="Amelia Johnson"/>
    <n v="75"/>
    <n v="27.509999999999998"/>
    <n v="47.49"/>
  </r>
  <r>
    <s v="OR0331"/>
    <d v="2024-04-22T00:00:00"/>
    <s v="Apr"/>
    <s v="2024"/>
    <x v="1"/>
    <s v="Bags"/>
    <n v="9"/>
    <n v="25"/>
    <n v="7.13"/>
    <s v="C0120"/>
    <s v="HARper SmiTh"/>
    <s v="Delivered"/>
    <x v="7"/>
    <x v="1"/>
    <s v="Harper Smith"/>
    <n v="225"/>
    <n v="64.17"/>
    <n v="160.82999999999998"/>
  </r>
  <r>
    <s v="OR0332"/>
    <d v="2024-04-22T00:00:00"/>
    <s v="Apr"/>
    <s v="2024"/>
    <x v="3"/>
    <s v="Kitchenware"/>
    <n v="5"/>
    <n v="15"/>
    <n v="4.1100000000000003"/>
    <s v="C0018"/>
    <s v="miA brOWn"/>
    <s v="Delivered"/>
    <x v="4"/>
    <x v="3"/>
    <s v="Mia Brown"/>
    <n v="75"/>
    <n v="20.55"/>
    <n v="54.45"/>
  </r>
  <r>
    <s v="OR0333"/>
    <d v="2024-04-22T00:00:00"/>
    <s v="Apr"/>
    <s v="2024"/>
    <x v="1"/>
    <s v="Bags"/>
    <n v="5"/>
    <n v="25"/>
    <n v="8.42"/>
    <s v="C0165"/>
    <s v="haRper dAVIs"/>
    <s v="Delivered"/>
    <x v="6"/>
    <x v="1"/>
    <s v="Harper Davis"/>
    <n v="125"/>
    <n v="42.1"/>
    <n v="82.9"/>
  </r>
  <r>
    <s v="OR0334"/>
    <d v="2024-04-23T00:00:00"/>
    <s v="Apr"/>
    <s v="2024"/>
    <x v="4"/>
    <s v="Gardening"/>
    <n v="5"/>
    <n v="12"/>
    <n v="3.23"/>
    <s v="C0172"/>
    <s v="loGAN mIlLeR"/>
    <s v="Delivered"/>
    <x v="1"/>
    <x v="4"/>
    <s v="Logan Miller"/>
    <n v="60"/>
    <n v="16.149999999999999"/>
    <n v="43.85"/>
  </r>
  <r>
    <s v="OR0335"/>
    <d v="2024-04-23T00:00:00"/>
    <s v="Apr"/>
    <s v="2024"/>
    <x v="4"/>
    <s v="Gardening"/>
    <n v="3"/>
    <n v="12"/>
    <n v="2.87"/>
    <s v="C0148"/>
    <s v="aVA RODrIGUEZ"/>
    <s v="Delivered"/>
    <x v="5"/>
    <x v="4"/>
    <s v="Ava Rodriguez"/>
    <n v="36"/>
    <n v="8.61"/>
    <n v="27.39"/>
  </r>
  <r>
    <s v="OR0336"/>
    <d v="2024-04-23T00:00:00"/>
    <s v="Apr"/>
    <s v="2024"/>
    <x v="2"/>
    <s v="Lighting"/>
    <n v="9"/>
    <n v="40"/>
    <n v="12.44"/>
    <s v="C0067"/>
    <s v="lOGan SMITh"/>
    <s v="Delivered"/>
    <x v="5"/>
    <x v="2"/>
    <s v="Logan Smith"/>
    <n v="360"/>
    <n v="111.96"/>
    <n v="248.04000000000002"/>
  </r>
  <r>
    <s v="OR0337"/>
    <d v="2024-04-24T00:00:00"/>
    <s v="Apr"/>
    <s v="2024"/>
    <x v="4"/>
    <s v="Gardening"/>
    <n v="1"/>
    <n v="12"/>
    <n v="2.86"/>
    <s v="C0100"/>
    <s v="logAn sMItH"/>
    <s v="Returned"/>
    <x v="7"/>
    <x v="4"/>
    <s v="Logan Smith"/>
    <n v="12"/>
    <n v="2.86"/>
    <n v="9.14"/>
  </r>
  <r>
    <s v="OR0338"/>
    <d v="2024-04-25T00:00:00"/>
    <s v="Apr"/>
    <s v="2024"/>
    <x v="0"/>
    <s v="Cleaning"/>
    <n v="2"/>
    <n v="10"/>
    <n v="3.23"/>
    <s v="C0037"/>
    <s v="AVa dAVIs"/>
    <s v="Shipped"/>
    <x v="9"/>
    <x v="0"/>
    <s v="Ava Davis"/>
    <n v="20"/>
    <n v="6.46"/>
    <n v="13.54"/>
  </r>
  <r>
    <s v="OR0339"/>
    <d v="2024-04-25T00:00:00"/>
    <s v="Apr"/>
    <s v="2024"/>
    <x v="2"/>
    <s v="Lighting"/>
    <n v="6"/>
    <n v="40"/>
    <n v="13.49"/>
    <s v="C0084"/>
    <s v="EtHaN jOnES"/>
    <s v="Delivered"/>
    <x v="8"/>
    <x v="2"/>
    <s v="Ethan Jones"/>
    <n v="240"/>
    <n v="80.94"/>
    <n v="159.06"/>
  </r>
  <r>
    <s v="OR0340"/>
    <d v="2024-04-26T00:00:00"/>
    <s v="Apr"/>
    <s v="2024"/>
    <x v="3"/>
    <s v="Kitchenware"/>
    <n v="8"/>
    <n v="15"/>
    <n v="3.88"/>
    <s v="C0008"/>
    <s v="NoAh wiLLiaMs"/>
    <s v="Shipped"/>
    <x v="9"/>
    <x v="3"/>
    <s v="Noah Williams"/>
    <n v="120"/>
    <n v="31.04"/>
    <n v="88.960000000000008"/>
  </r>
  <r>
    <s v="OR0341"/>
    <d v="2024-04-26T00:00:00"/>
    <s v="Apr"/>
    <s v="2024"/>
    <x v="1"/>
    <s v="Bags"/>
    <n v="3"/>
    <n v="25"/>
    <n v="6.73"/>
    <s v="C0162"/>
    <s v="Ethan mILLeR"/>
    <s v="Delivered"/>
    <x v="0"/>
    <x v="1"/>
    <s v="Ethan Miller"/>
    <n v="75"/>
    <n v="20.190000000000001"/>
    <n v="54.81"/>
  </r>
  <r>
    <s v="OR0342"/>
    <d v="2024-04-26T00:00:00"/>
    <s v="Apr"/>
    <s v="2024"/>
    <x v="4"/>
    <s v="Gardening"/>
    <n v="3"/>
    <n v="12"/>
    <n v="4.47"/>
    <s v="C0151"/>
    <s v="Emma SMITh"/>
    <s v="Shipped"/>
    <x v="8"/>
    <x v="4"/>
    <s v="Emma Smith"/>
    <n v="36"/>
    <n v="13.41"/>
    <n v="22.59"/>
  </r>
  <r>
    <s v="OR0343"/>
    <d v="2024-04-27T00:00:00"/>
    <s v="Apr"/>
    <s v="2024"/>
    <x v="4"/>
    <s v="Gardening"/>
    <n v="6"/>
    <n v="12"/>
    <n v="3.76"/>
    <s v="C0045"/>
    <s v="lIaM smith"/>
    <s v="Returned"/>
    <x v="2"/>
    <x v="4"/>
    <s v="Liam Smith"/>
    <n v="72"/>
    <n v="22.56"/>
    <n v="49.44"/>
  </r>
  <r>
    <s v="OR0344"/>
    <d v="2024-04-27T00:00:00"/>
    <s v="Apr"/>
    <s v="2024"/>
    <x v="4"/>
    <s v="Gardening"/>
    <n v="10"/>
    <n v="12"/>
    <n v="4.42"/>
    <s v="C0021"/>
    <s v="isABelLA RoDriGUEZ"/>
    <s v="Delivered"/>
    <x v="3"/>
    <x v="4"/>
    <s v="Isabella Rodriguez"/>
    <n v="120"/>
    <n v="44.2"/>
    <n v="75.8"/>
  </r>
  <r>
    <s v="OR0345"/>
    <d v="2024-04-27T00:00:00"/>
    <s v="Apr"/>
    <s v="2024"/>
    <x v="0"/>
    <s v="Cleaning"/>
    <n v="7"/>
    <n v="10"/>
    <n v="2.29"/>
    <s v="C0024"/>
    <s v="IsAbELla WILLiamS"/>
    <s v="Shipped"/>
    <x v="1"/>
    <x v="0"/>
    <s v="Isabella Williams"/>
    <n v="70"/>
    <n v="16.03"/>
    <n v="53.97"/>
  </r>
  <r>
    <s v="OR0346"/>
    <d v="2024-04-28T00:00:00"/>
    <s v="Apr"/>
    <s v="2024"/>
    <x v="3"/>
    <s v="Kitchenware"/>
    <n v="6"/>
    <n v="15"/>
    <n v="5.4"/>
    <s v="C0042"/>
    <s v="jamES BrOwn"/>
    <s v="Delivered"/>
    <x v="6"/>
    <x v="3"/>
    <s v="James Brown"/>
    <n v="90"/>
    <n v="32.400000000000006"/>
    <n v="57.599999999999994"/>
  </r>
  <r>
    <s v="OR0347"/>
    <d v="2024-04-28T00:00:00"/>
    <s v="Apr"/>
    <s v="2024"/>
    <x v="2"/>
    <s v="Lighting"/>
    <n v="7"/>
    <n v="40"/>
    <n v="9.5"/>
    <s v="C0037"/>
    <s v="AVa dAVIs"/>
    <s v="Pending"/>
    <x v="3"/>
    <x v="2"/>
    <s v="Ava Davis"/>
    <n v="280"/>
    <n v="66.5"/>
    <n v="213.5"/>
  </r>
  <r>
    <s v="OR0348"/>
    <d v="2024-04-28T00:00:00"/>
    <s v="Apr"/>
    <s v="2024"/>
    <x v="2"/>
    <s v="Lighting"/>
    <n v="7"/>
    <n v="40"/>
    <n v="13.33"/>
    <s v="C0156"/>
    <s v="cHARlottE GArciA"/>
    <s v="Shipped"/>
    <x v="6"/>
    <x v="2"/>
    <s v="Charlotte Garcia"/>
    <n v="280"/>
    <n v="93.31"/>
    <n v="186.69"/>
  </r>
  <r>
    <s v="OR0349"/>
    <d v="2024-04-28T00:00:00"/>
    <s v="Apr"/>
    <s v="2024"/>
    <x v="2"/>
    <s v="Lighting"/>
    <n v="9"/>
    <n v="40"/>
    <n v="15.98"/>
    <s v="C0155"/>
    <s v="jAmEs MIlLeR"/>
    <s v="Returned"/>
    <x v="7"/>
    <x v="2"/>
    <s v="James Miller"/>
    <n v="360"/>
    <n v="143.82"/>
    <n v="216.18"/>
  </r>
  <r>
    <s v="OR0350"/>
    <d v="2024-04-28T00:00:00"/>
    <s v="Apr"/>
    <s v="2024"/>
    <x v="1"/>
    <s v="Bags"/>
    <n v="3"/>
    <n v="25"/>
    <n v="8.76"/>
    <s v="C0002"/>
    <s v="SOpHia BrowN"/>
    <s v="Shipped"/>
    <x v="4"/>
    <x v="1"/>
    <s v="Sophia Brown"/>
    <n v="75"/>
    <n v="26.28"/>
    <n v="48.72"/>
  </r>
  <r>
    <s v="OR0351"/>
    <d v="2024-04-28T00:00:00"/>
    <s v="Apr"/>
    <s v="2024"/>
    <x v="1"/>
    <s v="Bags"/>
    <n v="2"/>
    <n v="25"/>
    <n v="7.85"/>
    <s v="C0043"/>
    <s v="logan roDRIgUEZ"/>
    <s v="Delivered"/>
    <x v="5"/>
    <x v="1"/>
    <s v="Logan Rodriguez"/>
    <n v="50"/>
    <n v="15.7"/>
    <n v="34.299999999999997"/>
  </r>
  <r>
    <s v="OR0352"/>
    <d v="2024-04-29T00:00:00"/>
    <s v="Apr"/>
    <s v="2024"/>
    <x v="3"/>
    <s v="Kitchenware"/>
    <n v="10"/>
    <n v="15"/>
    <n v="3.96"/>
    <s v="C0055"/>
    <s v="lucaS RoDRIguez"/>
    <s v="Delivered"/>
    <x v="1"/>
    <x v="3"/>
    <s v="Lucas Rodriguez"/>
    <n v="150"/>
    <n v="39.6"/>
    <n v="110.4"/>
  </r>
  <r>
    <s v="OR0353"/>
    <d v="2024-04-29T00:00:00"/>
    <s v="Apr"/>
    <s v="2024"/>
    <x v="2"/>
    <s v="Lighting"/>
    <n v="3"/>
    <n v="40"/>
    <n v="12.56"/>
    <s v="C0059"/>
    <s v="LOGaN rODrIgUEz"/>
    <s v="Delivered"/>
    <x v="6"/>
    <x v="2"/>
    <s v="Logan Rodriguez"/>
    <n v="120"/>
    <n v="37.68"/>
    <n v="82.32"/>
  </r>
  <r>
    <s v="OR0354"/>
    <d v="2024-04-29T00:00:00"/>
    <s v="Apr"/>
    <s v="2024"/>
    <x v="0"/>
    <s v="Cleaning"/>
    <n v="5"/>
    <n v="10"/>
    <n v="2.34"/>
    <s v="C0100"/>
    <s v="logAn sMItH"/>
    <s v="Delivered"/>
    <x v="2"/>
    <x v="0"/>
    <s v="Logan Smith"/>
    <n v="50"/>
    <n v="11.7"/>
    <n v="38.299999999999997"/>
  </r>
  <r>
    <s v="OR0355"/>
    <d v="2024-04-30T00:00:00"/>
    <s v="Apr"/>
    <s v="2024"/>
    <x v="2"/>
    <s v="Lighting"/>
    <n v="5"/>
    <n v="40"/>
    <n v="15.01"/>
    <s v="C0059"/>
    <s v="LOGaN rODrIgUEz"/>
    <s v="Pending"/>
    <x v="9"/>
    <x v="2"/>
    <s v="Logan Rodriguez"/>
    <n v="200"/>
    <n v="75.05"/>
    <n v="124.95"/>
  </r>
  <r>
    <s v="OR0356"/>
    <d v="2024-04-30T00:00:00"/>
    <s v="Apr"/>
    <s v="2024"/>
    <x v="1"/>
    <s v="Bags"/>
    <n v="3"/>
    <n v="25"/>
    <n v="5.86"/>
    <s v="C0190"/>
    <s v="mASON WILliaMS"/>
    <s v="Delivered"/>
    <x v="4"/>
    <x v="1"/>
    <s v="Mason Williams"/>
    <n v="75"/>
    <n v="17.580000000000002"/>
    <n v="57.42"/>
  </r>
  <r>
    <s v="OR0357"/>
    <d v="2024-04-30T00:00:00"/>
    <s v="Apr"/>
    <s v="2024"/>
    <x v="2"/>
    <s v="Lighting"/>
    <n v="10"/>
    <n v="40"/>
    <n v="12.59"/>
    <s v="C0051"/>
    <s v="EvELyn MarTinez"/>
    <s v="Delivered"/>
    <x v="3"/>
    <x v="2"/>
    <s v="Evelyn Martinez"/>
    <n v="400"/>
    <n v="125.9"/>
    <n v="274.10000000000002"/>
  </r>
  <r>
    <s v="OR0358"/>
    <d v="2024-05-02T00:00:00"/>
    <s v="May"/>
    <s v="2024"/>
    <x v="1"/>
    <s v="Bags"/>
    <n v="2"/>
    <n v="25"/>
    <n v="8.5500000000000007"/>
    <s v="C0118"/>
    <s v="loGAn martInEZ"/>
    <s v="Shipped"/>
    <x v="8"/>
    <x v="1"/>
    <s v="Logan Martinez"/>
    <n v="50"/>
    <n v="17.100000000000001"/>
    <n v="32.9"/>
  </r>
  <r>
    <s v="OR0359"/>
    <d v="2024-05-02T00:00:00"/>
    <s v="May"/>
    <s v="2024"/>
    <x v="4"/>
    <s v="Gardening"/>
    <n v="1"/>
    <n v="12"/>
    <n v="3"/>
    <s v="C0046"/>
    <s v="elIJah SMItH"/>
    <s v="Delivered"/>
    <x v="4"/>
    <x v="4"/>
    <s v="Elijah Smith"/>
    <n v="12"/>
    <n v="3"/>
    <n v="9"/>
  </r>
  <r>
    <s v="OR0360"/>
    <d v="2024-05-02T00:00:00"/>
    <s v="May"/>
    <s v="2024"/>
    <x v="0"/>
    <s v="Cleaning"/>
    <n v="7"/>
    <n v="10"/>
    <n v="3.06"/>
    <s v="C0129"/>
    <s v="lIaM mIller"/>
    <s v="Delivered"/>
    <x v="8"/>
    <x v="0"/>
    <s v="Liam Miller"/>
    <n v="70"/>
    <n v="21.42"/>
    <n v="48.58"/>
  </r>
  <r>
    <s v="OR0361"/>
    <d v="2024-05-02T00:00:00"/>
    <s v="May"/>
    <s v="2024"/>
    <x v="2"/>
    <s v="Lighting"/>
    <n v="9"/>
    <n v="40"/>
    <n v="9.19"/>
    <s v="C0026"/>
    <s v="eVeLYn BroWn"/>
    <s v="Shipped"/>
    <x v="0"/>
    <x v="2"/>
    <s v="Evelyn Brown"/>
    <n v="360"/>
    <n v="82.71"/>
    <n v="277.29000000000002"/>
  </r>
  <r>
    <s v="OR0362"/>
    <d v="2024-05-03T00:00:00"/>
    <s v="May"/>
    <s v="2024"/>
    <x v="2"/>
    <s v="Lighting"/>
    <n v="4"/>
    <n v="40"/>
    <n v="13.33"/>
    <s v="C0027"/>
    <s v="harpER jOneS"/>
    <s v="Returned"/>
    <x v="8"/>
    <x v="2"/>
    <s v="Harper Jones"/>
    <n v="160"/>
    <n v="53.32"/>
    <n v="106.68"/>
  </r>
  <r>
    <s v="OR0363"/>
    <d v="2024-05-03T00:00:00"/>
    <s v="May"/>
    <s v="2024"/>
    <x v="2"/>
    <s v="Lighting"/>
    <n v="1"/>
    <n v="40"/>
    <n v="9.2200000000000006"/>
    <s v="C0075"/>
    <s v="jaMes brOwn"/>
    <s v="Delivered"/>
    <x v="3"/>
    <x v="2"/>
    <s v="James Brown"/>
    <n v="40"/>
    <n v="9.2200000000000006"/>
    <n v="30.78"/>
  </r>
  <r>
    <s v="OR0364"/>
    <d v="2024-05-03T00:00:00"/>
    <s v="May"/>
    <s v="2024"/>
    <x v="1"/>
    <s v="Bags"/>
    <n v="7"/>
    <n v="25"/>
    <n v="7.3"/>
    <s v="C0043"/>
    <s v="logan roDRIgUEZ"/>
    <s v="Delivered"/>
    <x v="3"/>
    <x v="1"/>
    <s v="Logan Rodriguez"/>
    <n v="175"/>
    <n v="51.1"/>
    <n v="123.9"/>
  </r>
  <r>
    <s v="OR0365"/>
    <d v="2024-05-03T00:00:00"/>
    <s v="May"/>
    <s v="2024"/>
    <x v="3"/>
    <s v="Kitchenware"/>
    <n v="4"/>
    <n v="15"/>
    <n v="3.43"/>
    <s v="C0043"/>
    <s v="logan roDRIgUEZ"/>
    <s v="Delivered"/>
    <x v="7"/>
    <x v="3"/>
    <s v="Logan Rodriguez"/>
    <n v="60"/>
    <n v="13.72"/>
    <n v="46.28"/>
  </r>
  <r>
    <s v="OR0366"/>
    <d v="2024-05-03T00:00:00"/>
    <s v="May"/>
    <s v="2024"/>
    <x v="4"/>
    <s v="Gardening"/>
    <n v="5"/>
    <n v="12"/>
    <n v="3.51"/>
    <s v="C0103"/>
    <s v="lIam garCia"/>
    <s v="Pending"/>
    <x v="7"/>
    <x v="4"/>
    <s v="Liam Garcia"/>
    <n v="60"/>
    <n v="17.549999999999997"/>
    <n v="42.45"/>
  </r>
  <r>
    <s v="OR0367"/>
    <d v="2024-05-03T00:00:00"/>
    <s v="May"/>
    <s v="2024"/>
    <x v="3"/>
    <s v="Kitchenware"/>
    <n v="8"/>
    <n v="15"/>
    <n v="4.95"/>
    <s v="C0104"/>
    <s v="mAsOn roDRiguez"/>
    <s v="Delivered"/>
    <x v="9"/>
    <x v="3"/>
    <s v="Mason Rodriguez"/>
    <n v="120"/>
    <n v="39.6"/>
    <n v="80.400000000000006"/>
  </r>
  <r>
    <s v="OR0368"/>
    <d v="2024-05-04T00:00:00"/>
    <s v="May"/>
    <s v="2024"/>
    <x v="3"/>
    <s v="Kitchenware"/>
    <n v="1"/>
    <n v="15"/>
    <n v="4"/>
    <s v="C0023"/>
    <s v="nOAH gARciA"/>
    <s v="Pending"/>
    <x v="5"/>
    <x v="3"/>
    <s v="Noah Garcia"/>
    <n v="15"/>
    <n v="4"/>
    <n v="11"/>
  </r>
  <r>
    <s v="OR0369"/>
    <d v="2024-05-04T00:00:00"/>
    <s v="May"/>
    <s v="2024"/>
    <x v="1"/>
    <s v="Bags"/>
    <n v="3"/>
    <n v="25"/>
    <n v="5.04"/>
    <s v="C0118"/>
    <s v="loGAn martInEZ"/>
    <s v="Shipped"/>
    <x v="5"/>
    <x v="1"/>
    <s v="Logan Martinez"/>
    <n v="75"/>
    <n v="15.120000000000001"/>
    <n v="59.879999999999995"/>
  </r>
  <r>
    <s v="OR0370"/>
    <d v="2024-05-04T00:00:00"/>
    <s v="May"/>
    <s v="2024"/>
    <x v="4"/>
    <s v="Gardening"/>
    <n v="3"/>
    <n v="12"/>
    <n v="4.1399999999999997"/>
    <s v="C0142"/>
    <s v="haRpeR GArCiA"/>
    <s v="Shipped"/>
    <x v="6"/>
    <x v="4"/>
    <s v="Harper Garcia"/>
    <n v="36"/>
    <n v="12.419999999999998"/>
    <n v="23.580000000000002"/>
  </r>
  <r>
    <s v="OR0371"/>
    <d v="2024-05-05T00:00:00"/>
    <s v="May"/>
    <s v="2024"/>
    <x v="1"/>
    <s v="Bags"/>
    <n v="2"/>
    <n v="25"/>
    <n v="9.6199999999999992"/>
    <s v="C0049"/>
    <s v="AmElIA jOHNSon"/>
    <s v="Shipped"/>
    <x v="4"/>
    <x v="1"/>
    <s v="Amelia Johnson"/>
    <n v="50"/>
    <n v="19.239999999999998"/>
    <n v="30.76"/>
  </r>
  <r>
    <s v="OR0372"/>
    <d v="2024-05-05T00:00:00"/>
    <s v="May"/>
    <s v="2024"/>
    <x v="2"/>
    <s v="Lighting"/>
    <n v="6"/>
    <n v="40"/>
    <n v="15.42"/>
    <s v="C0162"/>
    <s v="Ethan mILLeR"/>
    <s v="Delivered"/>
    <x v="4"/>
    <x v="2"/>
    <s v="Ethan Miller"/>
    <n v="240"/>
    <n v="92.52"/>
    <n v="147.48000000000002"/>
  </r>
  <r>
    <s v="OR0373"/>
    <d v="2024-05-05T00:00:00"/>
    <s v="May"/>
    <s v="2024"/>
    <x v="0"/>
    <s v="Cleaning"/>
    <n v="9"/>
    <n v="10"/>
    <n v="3.13"/>
    <s v="C0190"/>
    <s v="mASON WILliaMS"/>
    <s v="Delivered"/>
    <x v="3"/>
    <x v="0"/>
    <s v="Mason Williams"/>
    <n v="90"/>
    <n v="28.169999999999998"/>
    <n v="61.83"/>
  </r>
  <r>
    <s v="OR0374"/>
    <d v="2024-05-05T00:00:00"/>
    <s v="May"/>
    <s v="2024"/>
    <x v="3"/>
    <s v="Kitchenware"/>
    <n v="10"/>
    <n v="15"/>
    <n v="4.9800000000000004"/>
    <s v="C0103"/>
    <s v="lIam garCia"/>
    <s v="Delivered"/>
    <x v="3"/>
    <x v="3"/>
    <s v="Liam Garcia"/>
    <n v="150"/>
    <n v="49.800000000000004"/>
    <n v="100.19999999999999"/>
  </r>
  <r>
    <s v="OR0375"/>
    <d v="2024-05-06T00:00:00"/>
    <s v="May"/>
    <s v="2024"/>
    <x v="1"/>
    <s v="Bags"/>
    <n v="2"/>
    <n v="25"/>
    <n v="9.25"/>
    <s v="C0162"/>
    <s v="Ethan mILLeR"/>
    <s v="Pending"/>
    <x v="1"/>
    <x v="1"/>
    <s v="Ethan Miller"/>
    <n v="50"/>
    <n v="18.5"/>
    <n v="31.5"/>
  </r>
  <r>
    <s v="OR0376"/>
    <d v="2024-05-07T00:00:00"/>
    <s v="May"/>
    <s v="2024"/>
    <x v="4"/>
    <s v="Gardening"/>
    <n v="4"/>
    <n v="12"/>
    <n v="4.3600000000000003"/>
    <s v="C0189"/>
    <s v="mIa milLeR"/>
    <s v="Pending"/>
    <x v="3"/>
    <x v="4"/>
    <s v="Mia Miller"/>
    <n v="48"/>
    <n v="17.440000000000001"/>
    <n v="30.56"/>
  </r>
  <r>
    <s v="OR0377"/>
    <d v="2024-05-07T00:00:00"/>
    <s v="May"/>
    <s v="2024"/>
    <x v="1"/>
    <s v="Bags"/>
    <n v="7"/>
    <n v="25"/>
    <n v="5.6"/>
    <s v="C0198"/>
    <s v="ELiJAH jOneS"/>
    <s v="Shipped"/>
    <x v="1"/>
    <x v="1"/>
    <s v="Elijah Jones"/>
    <n v="175"/>
    <n v="39.199999999999996"/>
    <n v="135.80000000000001"/>
  </r>
  <r>
    <s v="OR0378"/>
    <d v="2024-05-07T00:00:00"/>
    <s v="May"/>
    <s v="2024"/>
    <x v="2"/>
    <s v="Lighting"/>
    <n v="5"/>
    <n v="40"/>
    <n v="13.32"/>
    <s v="C0018"/>
    <s v="miA brOWn"/>
    <s v="Delivered"/>
    <x v="7"/>
    <x v="2"/>
    <s v="Mia Brown"/>
    <n v="200"/>
    <n v="66.599999999999994"/>
    <n v="133.4"/>
  </r>
  <r>
    <s v="OR0379"/>
    <d v="2024-05-07T00:00:00"/>
    <s v="May"/>
    <s v="2024"/>
    <x v="4"/>
    <s v="Gardening"/>
    <n v="7"/>
    <n v="12"/>
    <n v="3.05"/>
    <s v="C0131"/>
    <s v="eliJaH MarTIneZ"/>
    <s v="Delivered"/>
    <x v="2"/>
    <x v="4"/>
    <s v="Elijah Martinez"/>
    <n v="84"/>
    <n v="21.349999999999998"/>
    <n v="62.650000000000006"/>
  </r>
  <r>
    <s v="OR0380"/>
    <d v="2024-05-08T00:00:00"/>
    <s v="May"/>
    <s v="2024"/>
    <x v="4"/>
    <s v="Gardening"/>
    <n v="8"/>
    <n v="12"/>
    <n v="4.37"/>
    <s v="C0008"/>
    <s v="NoAh wiLLiaMs"/>
    <s v="Delivered"/>
    <x v="0"/>
    <x v="4"/>
    <s v="Noah Williams"/>
    <n v="96"/>
    <n v="34.96"/>
    <n v="61.04"/>
  </r>
  <r>
    <s v="OR0381"/>
    <d v="2024-05-08T00:00:00"/>
    <s v="May"/>
    <s v="2024"/>
    <x v="2"/>
    <s v="Lighting"/>
    <n v="2"/>
    <n v="40"/>
    <n v="13.53"/>
    <s v="C0085"/>
    <s v="eThan mARTIneZ"/>
    <s v="Delivered"/>
    <x v="7"/>
    <x v="2"/>
    <s v="Ethan Martinez"/>
    <n v="80"/>
    <n v="27.06"/>
    <n v="52.94"/>
  </r>
  <r>
    <s v="OR0382"/>
    <d v="2024-05-09T00:00:00"/>
    <s v="May"/>
    <s v="2024"/>
    <x v="2"/>
    <s v="Lighting"/>
    <n v="6"/>
    <n v="40"/>
    <n v="13.84"/>
    <s v="C0187"/>
    <s v="avA rODRIgUeZ"/>
    <s v="Delivered"/>
    <x v="8"/>
    <x v="2"/>
    <s v="Ava Rodriguez"/>
    <n v="240"/>
    <n v="83.039999999999992"/>
    <n v="156.96"/>
  </r>
  <r>
    <s v="OR0383"/>
    <d v="2024-05-09T00:00:00"/>
    <s v="May"/>
    <s v="2024"/>
    <x v="0"/>
    <s v="Cleaning"/>
    <n v="8"/>
    <n v="10"/>
    <n v="2.94"/>
    <s v="C0131"/>
    <s v="eliJaH MarTIneZ"/>
    <s v="Delivered"/>
    <x v="6"/>
    <x v="0"/>
    <s v="Elijah Martinez"/>
    <n v="80"/>
    <n v="23.52"/>
    <n v="56.480000000000004"/>
  </r>
  <r>
    <s v="OR0384"/>
    <d v="2024-05-09T00:00:00"/>
    <s v="May"/>
    <s v="2024"/>
    <x v="0"/>
    <s v="Cleaning"/>
    <n v="9"/>
    <n v="10"/>
    <n v="2.81"/>
    <s v="C0049"/>
    <s v="AmElIA jOHNSon"/>
    <s v="Shipped"/>
    <x v="1"/>
    <x v="0"/>
    <s v="Amelia Johnson"/>
    <n v="90"/>
    <n v="25.29"/>
    <n v="64.710000000000008"/>
  </r>
  <r>
    <s v="OR0385"/>
    <d v="2024-05-10T00:00:00"/>
    <s v="May"/>
    <s v="2024"/>
    <x v="3"/>
    <s v="Kitchenware"/>
    <n v="1"/>
    <n v="15"/>
    <n v="4.66"/>
    <s v="C0017"/>
    <s v="LIAM rODRIgueZ"/>
    <s v="Delivered"/>
    <x v="4"/>
    <x v="3"/>
    <s v="Liam Rodriguez"/>
    <n v="15"/>
    <n v="4.66"/>
    <n v="10.34"/>
  </r>
  <r>
    <s v="OR0386"/>
    <d v="2024-05-10T00:00:00"/>
    <s v="May"/>
    <s v="2024"/>
    <x v="0"/>
    <s v="Cleaning"/>
    <n v="3"/>
    <n v="10"/>
    <n v="3.02"/>
    <s v="C0027"/>
    <s v="harpER jOneS"/>
    <s v="Shipped"/>
    <x v="6"/>
    <x v="0"/>
    <s v="Harper Jones"/>
    <n v="30"/>
    <n v="9.06"/>
    <n v="20.939999999999998"/>
  </r>
  <r>
    <s v="OR0387"/>
    <d v="2024-05-10T00:00:00"/>
    <s v="May"/>
    <s v="2024"/>
    <x v="3"/>
    <s v="Kitchenware"/>
    <n v="6"/>
    <n v="15"/>
    <n v="4.8"/>
    <s v="C0121"/>
    <s v="aideN jOneS"/>
    <s v="Delivered"/>
    <x v="9"/>
    <x v="3"/>
    <s v="Aiden Jones"/>
    <n v="90"/>
    <n v="28.799999999999997"/>
    <n v="61.2"/>
  </r>
  <r>
    <s v="OR0388"/>
    <d v="2024-05-10T00:00:00"/>
    <s v="May"/>
    <s v="2024"/>
    <x v="2"/>
    <s v="Lighting"/>
    <n v="9"/>
    <n v="40"/>
    <n v="14.62"/>
    <s v="C0178"/>
    <s v="LucAS gARCia"/>
    <s v="Returned"/>
    <x v="6"/>
    <x v="2"/>
    <s v="Lucas Garcia"/>
    <n v="360"/>
    <n v="131.57999999999998"/>
    <n v="228.42000000000002"/>
  </r>
  <r>
    <s v="OR0389"/>
    <d v="2024-05-11T00:00:00"/>
    <s v="May"/>
    <s v="2024"/>
    <x v="3"/>
    <s v="Kitchenware"/>
    <n v="5"/>
    <n v="15"/>
    <n v="3.13"/>
    <s v="C0033"/>
    <s v="miA roDriGuez"/>
    <s v="Delivered"/>
    <x v="6"/>
    <x v="3"/>
    <s v="Mia Rodriguez"/>
    <n v="75"/>
    <n v="15.649999999999999"/>
    <n v="59.35"/>
  </r>
  <r>
    <s v="OR0390"/>
    <d v="2024-05-11T00:00:00"/>
    <s v="May"/>
    <s v="2024"/>
    <x v="2"/>
    <s v="Lighting"/>
    <n v="1"/>
    <n v="40"/>
    <n v="13.15"/>
    <s v="C0190"/>
    <s v="mASON WILliaMS"/>
    <s v="Delivered"/>
    <x v="0"/>
    <x v="2"/>
    <s v="Mason Williams"/>
    <n v="40"/>
    <n v="13.15"/>
    <n v="26.85"/>
  </r>
  <r>
    <s v="OR0391"/>
    <d v="2024-05-11T00:00:00"/>
    <s v="May"/>
    <s v="2024"/>
    <x v="2"/>
    <s v="Lighting"/>
    <n v="9"/>
    <n v="40"/>
    <n v="13.31"/>
    <s v="C0075"/>
    <s v="jaMes brOwn"/>
    <s v="Delivered"/>
    <x v="5"/>
    <x v="2"/>
    <s v="James Brown"/>
    <n v="360"/>
    <n v="119.79"/>
    <n v="240.20999999999998"/>
  </r>
  <r>
    <s v="OR0392"/>
    <d v="2024-05-11T00:00:00"/>
    <s v="May"/>
    <s v="2024"/>
    <x v="4"/>
    <s v="Gardening"/>
    <n v="10"/>
    <n v="12"/>
    <n v="3.7"/>
    <s v="C0033"/>
    <s v="miA roDriGuez"/>
    <s v="Delivered"/>
    <x v="4"/>
    <x v="4"/>
    <s v="Mia Rodriguez"/>
    <n v="120"/>
    <n v="37"/>
    <n v="83"/>
  </r>
  <r>
    <s v="OR0393"/>
    <d v="2024-05-11T00:00:00"/>
    <s v="May"/>
    <s v="2024"/>
    <x v="0"/>
    <s v="Cleaning"/>
    <n v="3"/>
    <n v="10"/>
    <n v="3.68"/>
    <s v="C0120"/>
    <s v="HARper SmiTh"/>
    <s v="Pending"/>
    <x v="9"/>
    <x v="0"/>
    <s v="Harper Smith"/>
    <n v="30"/>
    <n v="11.040000000000001"/>
    <n v="18.96"/>
  </r>
  <r>
    <s v="OR0394"/>
    <d v="2024-05-12T00:00:00"/>
    <s v="May"/>
    <s v="2024"/>
    <x v="1"/>
    <s v="Bags"/>
    <n v="7"/>
    <n v="25"/>
    <n v="5.54"/>
    <s v="C0052"/>
    <s v="Mia joHnSon"/>
    <s v="Delivered"/>
    <x v="0"/>
    <x v="1"/>
    <s v="Mia Johnson"/>
    <n v="175"/>
    <n v="38.78"/>
    <n v="136.22"/>
  </r>
  <r>
    <s v="OR0395"/>
    <d v="2024-05-12T00:00:00"/>
    <s v="May"/>
    <s v="2024"/>
    <x v="3"/>
    <s v="Kitchenware"/>
    <n v="2"/>
    <n v="15"/>
    <n v="3.17"/>
    <s v="C0191"/>
    <s v="lIaM roDrIGUEZ"/>
    <s v="Shipped"/>
    <x v="8"/>
    <x v="3"/>
    <s v="Liam Rodriguez"/>
    <n v="30"/>
    <n v="6.34"/>
    <n v="23.66"/>
  </r>
  <r>
    <s v="OR0396"/>
    <d v="2024-05-12T00:00:00"/>
    <s v="May"/>
    <s v="2024"/>
    <x v="2"/>
    <s v="Lighting"/>
    <n v="8"/>
    <n v="40"/>
    <n v="13.61"/>
    <s v="C0118"/>
    <s v="loGAn martInEZ"/>
    <s v="Delivered"/>
    <x v="9"/>
    <x v="2"/>
    <s v="Logan Martinez"/>
    <n v="320"/>
    <n v="108.88"/>
    <n v="211.12"/>
  </r>
  <r>
    <s v="OR0397"/>
    <d v="2024-05-13T00:00:00"/>
    <s v="May"/>
    <s v="2024"/>
    <x v="0"/>
    <s v="Cleaning"/>
    <n v="1"/>
    <n v="10"/>
    <n v="2.72"/>
    <s v="C0051"/>
    <s v="EvELyn MarTinez"/>
    <s v="Returned"/>
    <x v="0"/>
    <x v="0"/>
    <s v="Evelyn Martinez"/>
    <n v="10"/>
    <n v="2.72"/>
    <n v="7.2799999999999994"/>
  </r>
  <r>
    <s v="OR0398"/>
    <d v="2024-05-13T00:00:00"/>
    <s v="May"/>
    <s v="2024"/>
    <x v="0"/>
    <s v="Cleaning"/>
    <n v="3"/>
    <n v="10"/>
    <n v="2.4700000000000002"/>
    <s v="C0023"/>
    <s v="nOAH gARciA"/>
    <s v="Delivered"/>
    <x v="1"/>
    <x v="0"/>
    <s v="Noah Garcia"/>
    <n v="30"/>
    <n v="7.41"/>
    <n v="22.59"/>
  </r>
  <r>
    <s v="OR0399"/>
    <d v="2024-05-14T00:00:00"/>
    <s v="May"/>
    <s v="2024"/>
    <x v="3"/>
    <s v="Kitchenware"/>
    <n v="6"/>
    <n v="15"/>
    <n v="5.97"/>
    <s v="C0114"/>
    <s v="cHARlottE Jones"/>
    <s v="Delivered"/>
    <x v="8"/>
    <x v="3"/>
    <s v="Charlotte Jones"/>
    <n v="90"/>
    <n v="35.82"/>
    <n v="54.18"/>
  </r>
  <r>
    <s v="OR0400"/>
    <d v="2024-05-14T00:00:00"/>
    <s v="May"/>
    <s v="2024"/>
    <x v="0"/>
    <s v="Cleaning"/>
    <n v="7"/>
    <n v="10"/>
    <n v="2.06"/>
    <s v="C0119"/>
    <s v="mAson ROdrigUEz"/>
    <s v="Delivered"/>
    <x v="3"/>
    <x v="0"/>
    <s v="Mason Rodriguez"/>
    <n v="70"/>
    <n v="14.42"/>
    <n v="55.58"/>
  </r>
  <r>
    <s v="OR0401"/>
    <d v="2024-05-14T00:00:00"/>
    <s v="May"/>
    <s v="2024"/>
    <x v="2"/>
    <s v="Lighting"/>
    <n v="3"/>
    <n v="40"/>
    <n v="9.3000000000000007"/>
    <s v="C0045"/>
    <s v="lIaM smith"/>
    <s v="Delivered"/>
    <x v="4"/>
    <x v="2"/>
    <s v="Liam Smith"/>
    <n v="120"/>
    <n v="27.900000000000002"/>
    <n v="92.1"/>
  </r>
  <r>
    <s v="OR0402"/>
    <d v="2024-05-14T00:00:00"/>
    <s v="May"/>
    <s v="2024"/>
    <x v="1"/>
    <s v="Bags"/>
    <n v="9"/>
    <n v="25"/>
    <n v="8.24"/>
    <s v="C0120"/>
    <s v="HARper SmiTh"/>
    <s v="Shipped"/>
    <x v="7"/>
    <x v="1"/>
    <s v="Harper Smith"/>
    <n v="225"/>
    <n v="74.16"/>
    <n v="150.84"/>
  </r>
  <r>
    <s v="OR0403"/>
    <d v="2024-05-14T00:00:00"/>
    <s v="May"/>
    <s v="2024"/>
    <x v="4"/>
    <s v="Gardening"/>
    <n v="2"/>
    <n v="12"/>
    <n v="4.5999999999999996"/>
    <s v="C0168"/>
    <s v="mIa broWn"/>
    <s v="Delivered"/>
    <x v="1"/>
    <x v="4"/>
    <s v="Mia Brown"/>
    <n v="24"/>
    <n v="9.1999999999999993"/>
    <n v="14.8"/>
  </r>
  <r>
    <s v="OR0404"/>
    <d v="2024-05-14T00:00:00"/>
    <s v="May"/>
    <s v="2024"/>
    <x v="2"/>
    <s v="Lighting"/>
    <n v="4"/>
    <n v="40"/>
    <n v="14.68"/>
    <s v="C0006"/>
    <s v="oliVEr smiTh"/>
    <s v="Delivered"/>
    <x v="2"/>
    <x v="2"/>
    <s v="Oliver Smith"/>
    <n v="160"/>
    <n v="58.72"/>
    <n v="101.28"/>
  </r>
  <r>
    <s v="OR0405"/>
    <d v="2024-05-14T00:00:00"/>
    <s v="May"/>
    <s v="2024"/>
    <x v="4"/>
    <s v="Gardening"/>
    <n v="6"/>
    <n v="12"/>
    <n v="3.84"/>
    <s v="C0199"/>
    <s v="oLIvIA MILLEr"/>
    <s v="Returned"/>
    <x v="7"/>
    <x v="4"/>
    <s v="Olivia Miller"/>
    <n v="72"/>
    <n v="23.04"/>
    <n v="48.96"/>
  </r>
  <r>
    <s v="OR0406"/>
    <d v="2024-05-15T00:00:00"/>
    <s v="May"/>
    <s v="2024"/>
    <x v="2"/>
    <s v="Lighting"/>
    <n v="7"/>
    <n v="40"/>
    <n v="11.74"/>
    <s v="C0199"/>
    <s v="oLIvIA MILLEr"/>
    <s v="Delivered"/>
    <x v="4"/>
    <x v="2"/>
    <s v="Olivia Miller"/>
    <n v="280"/>
    <n v="82.18"/>
    <n v="197.82"/>
  </r>
  <r>
    <s v="OR0407"/>
    <d v="2024-05-16T00:00:00"/>
    <s v="May"/>
    <s v="2024"/>
    <x v="0"/>
    <s v="Cleaning"/>
    <n v="2"/>
    <n v="10"/>
    <n v="2.6"/>
    <s v="C0017"/>
    <s v="LIAM rODRIgueZ"/>
    <s v="Delivered"/>
    <x v="4"/>
    <x v="0"/>
    <s v="Liam Rodriguez"/>
    <n v="20"/>
    <n v="5.2"/>
    <n v="14.8"/>
  </r>
  <r>
    <s v="OR0408"/>
    <d v="2024-05-16T00:00:00"/>
    <s v="May"/>
    <s v="2024"/>
    <x v="1"/>
    <s v="Bags"/>
    <n v="6"/>
    <n v="25"/>
    <n v="5.69"/>
    <s v="C0052"/>
    <s v="Mia joHnSon"/>
    <s v="Delivered"/>
    <x v="4"/>
    <x v="1"/>
    <s v="Mia Johnson"/>
    <n v="150"/>
    <n v="34.14"/>
    <n v="115.86"/>
  </r>
  <r>
    <s v="OR0409"/>
    <d v="2024-05-16T00:00:00"/>
    <s v="May"/>
    <s v="2024"/>
    <x v="1"/>
    <s v="Bags"/>
    <n v="10"/>
    <n v="25"/>
    <n v="9.11"/>
    <s v="C0189"/>
    <s v="mIa milLeR"/>
    <s v="Delivered"/>
    <x v="1"/>
    <x v="1"/>
    <s v="Mia Miller"/>
    <n v="250"/>
    <n v="91.1"/>
    <n v="158.9"/>
  </r>
  <r>
    <s v="OR0410"/>
    <d v="2024-05-17T00:00:00"/>
    <s v="May"/>
    <s v="2024"/>
    <x v="2"/>
    <s v="Lighting"/>
    <n v="8"/>
    <n v="40"/>
    <n v="14.14"/>
    <s v="C0015"/>
    <s v="Emma bROwN"/>
    <s v="Shipped"/>
    <x v="3"/>
    <x v="2"/>
    <s v="Emma Brown"/>
    <n v="320"/>
    <n v="113.12"/>
    <n v="206.88"/>
  </r>
  <r>
    <s v="OR0411"/>
    <d v="2024-05-18T00:00:00"/>
    <s v="May"/>
    <s v="2024"/>
    <x v="0"/>
    <s v="Cleaning"/>
    <n v="8"/>
    <n v="10"/>
    <n v="3.2"/>
    <s v="C0196"/>
    <s v="mia MILLER"/>
    <s v="Returned"/>
    <x v="5"/>
    <x v="0"/>
    <s v="Mia Miller"/>
    <n v="80"/>
    <n v="25.6"/>
    <n v="54.4"/>
  </r>
  <r>
    <s v="OR0412"/>
    <d v="2024-05-18T00:00:00"/>
    <s v="May"/>
    <s v="2024"/>
    <x v="3"/>
    <s v="Kitchenware"/>
    <n v="8"/>
    <n v="15"/>
    <n v="5.1100000000000003"/>
    <s v="C0130"/>
    <s v="avA rOdrIGueZ"/>
    <s v="Shipped"/>
    <x v="9"/>
    <x v="3"/>
    <s v="Ava Rodriguez"/>
    <n v="120"/>
    <n v="40.880000000000003"/>
    <n v="79.12"/>
  </r>
  <r>
    <s v="OR0413"/>
    <d v="2024-05-18T00:00:00"/>
    <s v="May"/>
    <s v="2024"/>
    <x v="3"/>
    <s v="Kitchenware"/>
    <n v="1"/>
    <n v="15"/>
    <n v="3.13"/>
    <s v="C0145"/>
    <s v="SoPHiA brown"/>
    <s v="Delivered"/>
    <x v="4"/>
    <x v="3"/>
    <s v="Sophia Brown"/>
    <n v="15"/>
    <n v="3.13"/>
    <n v="11.870000000000001"/>
  </r>
  <r>
    <s v="OR0414"/>
    <d v="2024-05-18T00:00:00"/>
    <s v="May"/>
    <s v="2024"/>
    <x v="1"/>
    <s v="Bags"/>
    <n v="3"/>
    <n v="25"/>
    <n v="5.8"/>
    <s v="C0177"/>
    <s v="MIa MaRtInez"/>
    <s v="Delivered"/>
    <x v="8"/>
    <x v="1"/>
    <s v="Mia Martinez"/>
    <n v="75"/>
    <n v="17.399999999999999"/>
    <n v="57.6"/>
  </r>
  <r>
    <s v="OR0415"/>
    <d v="2024-05-18T00:00:00"/>
    <s v="May"/>
    <s v="2024"/>
    <x v="0"/>
    <s v="Cleaning"/>
    <n v="10"/>
    <n v="10"/>
    <n v="3.45"/>
    <s v="C0159"/>
    <s v="LoGAn martineZ"/>
    <s v="Delivered"/>
    <x v="6"/>
    <x v="0"/>
    <s v="Logan Martinez"/>
    <n v="100"/>
    <n v="34.5"/>
    <n v="65.5"/>
  </r>
  <r>
    <s v="OR0416"/>
    <d v="2024-05-19T00:00:00"/>
    <s v="May"/>
    <s v="2024"/>
    <x v="2"/>
    <s v="Lighting"/>
    <n v="8"/>
    <n v="40"/>
    <n v="11.29"/>
    <s v="C0012"/>
    <s v="OLIVIA MaRTinEZ"/>
    <s v="Pending"/>
    <x v="7"/>
    <x v="2"/>
    <s v="Olivia Martinez"/>
    <n v="320"/>
    <n v="90.32"/>
    <n v="229.68"/>
  </r>
  <r>
    <s v="OR0417"/>
    <d v="2024-05-19T00:00:00"/>
    <s v="May"/>
    <s v="2024"/>
    <x v="4"/>
    <s v="Gardening"/>
    <n v="6"/>
    <n v="12"/>
    <n v="3.5"/>
    <s v="C0154"/>
    <s v="lIAm jOhnsOn"/>
    <s v="Delivered"/>
    <x v="5"/>
    <x v="4"/>
    <s v="Liam Johnson"/>
    <n v="72"/>
    <n v="21"/>
    <n v="51"/>
  </r>
  <r>
    <s v="OR0418"/>
    <d v="2024-05-19T00:00:00"/>
    <s v="May"/>
    <s v="2024"/>
    <x v="3"/>
    <s v="Kitchenware"/>
    <n v="8"/>
    <n v="15"/>
    <n v="5.56"/>
    <s v="C0128"/>
    <s v="jamEs wILLIAmS"/>
    <s v="Shipped"/>
    <x v="5"/>
    <x v="3"/>
    <s v="James Williams"/>
    <n v="120"/>
    <n v="44.48"/>
    <n v="75.52000000000001"/>
  </r>
  <r>
    <s v="OR0419"/>
    <d v="2024-05-19T00:00:00"/>
    <s v="May"/>
    <s v="2024"/>
    <x v="4"/>
    <s v="Gardening"/>
    <n v="3"/>
    <n v="12"/>
    <n v="3.51"/>
    <s v="C0126"/>
    <s v="lUcas SMitH"/>
    <s v="Delivered"/>
    <x v="4"/>
    <x v="4"/>
    <s v="Lucas Smith"/>
    <n v="36"/>
    <n v="10.53"/>
    <n v="25.47"/>
  </r>
  <r>
    <s v="OR0420"/>
    <d v="2024-05-19T00:00:00"/>
    <s v="May"/>
    <s v="2024"/>
    <x v="1"/>
    <s v="Bags"/>
    <n v="6"/>
    <n v="25"/>
    <n v="6.75"/>
    <s v="C0191"/>
    <s v="lIaM roDrIGUEZ"/>
    <s v="Shipped"/>
    <x v="6"/>
    <x v="1"/>
    <s v="Liam Rodriguez"/>
    <n v="150"/>
    <n v="40.5"/>
    <n v="109.5"/>
  </r>
  <r>
    <s v="OR0421"/>
    <d v="2024-05-20T00:00:00"/>
    <s v="May"/>
    <s v="2024"/>
    <x v="4"/>
    <s v="Gardening"/>
    <n v="1"/>
    <n v="12"/>
    <n v="4"/>
    <s v="C0149"/>
    <s v="soPhiA rODriGuEZ"/>
    <s v="Shipped"/>
    <x v="6"/>
    <x v="4"/>
    <s v="Sophia Rodriguez"/>
    <n v="12"/>
    <n v="4"/>
    <n v="8"/>
  </r>
  <r>
    <s v="OR0422"/>
    <d v="2024-05-21T00:00:00"/>
    <s v="May"/>
    <s v="2024"/>
    <x v="2"/>
    <s v="Lighting"/>
    <n v="7"/>
    <n v="40"/>
    <n v="14.84"/>
    <s v="C0150"/>
    <s v="NOAh roDrigUEz"/>
    <s v="Delivered"/>
    <x v="7"/>
    <x v="2"/>
    <s v="Noah Rodriguez"/>
    <n v="280"/>
    <n v="103.88"/>
    <n v="176.12"/>
  </r>
  <r>
    <s v="OR0423"/>
    <d v="2024-05-21T00:00:00"/>
    <s v="May"/>
    <s v="2024"/>
    <x v="2"/>
    <s v="Lighting"/>
    <n v="5"/>
    <n v="40"/>
    <n v="10.58"/>
    <s v="C0063"/>
    <s v="oliVer MilLeR"/>
    <s v="Delivered"/>
    <x v="4"/>
    <x v="2"/>
    <s v="Oliver Miller"/>
    <n v="200"/>
    <n v="52.9"/>
    <n v="147.1"/>
  </r>
  <r>
    <s v="OR0424"/>
    <d v="2024-05-21T00:00:00"/>
    <s v="May"/>
    <s v="2024"/>
    <x v="3"/>
    <s v="Kitchenware"/>
    <n v="9"/>
    <n v="15"/>
    <n v="5.77"/>
    <s v="C0128"/>
    <s v="jamEs wILLIAmS"/>
    <s v="Delivered"/>
    <x v="0"/>
    <x v="3"/>
    <s v="James Williams"/>
    <n v="135"/>
    <n v="51.929999999999993"/>
    <n v="83.070000000000007"/>
  </r>
  <r>
    <s v="OR0425"/>
    <d v="2024-05-22T00:00:00"/>
    <s v="May"/>
    <s v="2024"/>
    <x v="3"/>
    <s v="Kitchenware"/>
    <n v="5"/>
    <n v="15"/>
    <n v="5.92"/>
    <s v="C0004"/>
    <s v="AIDEn GArcia"/>
    <s v="Delivered"/>
    <x v="8"/>
    <x v="3"/>
    <s v="Aiden Garcia"/>
    <n v="75"/>
    <n v="29.6"/>
    <n v="45.4"/>
  </r>
  <r>
    <s v="OR0426"/>
    <d v="2024-05-23T00:00:00"/>
    <s v="May"/>
    <s v="2024"/>
    <x v="2"/>
    <s v="Lighting"/>
    <n v="9"/>
    <n v="40"/>
    <n v="10.53"/>
    <s v="C0125"/>
    <s v="lucas BrowN"/>
    <s v="Shipped"/>
    <x v="0"/>
    <x v="2"/>
    <s v="Lucas Brown"/>
    <n v="360"/>
    <n v="94.77"/>
    <n v="265.23"/>
  </r>
  <r>
    <s v="OR0427"/>
    <d v="2024-05-23T00:00:00"/>
    <s v="May"/>
    <s v="2024"/>
    <x v="3"/>
    <s v="Kitchenware"/>
    <n v="10"/>
    <n v="15"/>
    <n v="3.43"/>
    <s v="C0020"/>
    <s v="JAmES joNeS"/>
    <s v="Delivered"/>
    <x v="4"/>
    <x v="3"/>
    <s v="James Jones"/>
    <n v="150"/>
    <n v="34.300000000000004"/>
    <n v="115.69999999999999"/>
  </r>
  <r>
    <s v="OR0428"/>
    <d v="2024-05-23T00:00:00"/>
    <s v="May"/>
    <s v="2024"/>
    <x v="2"/>
    <s v="Lighting"/>
    <n v="1"/>
    <n v="40"/>
    <n v="12.59"/>
    <s v="C0048"/>
    <s v="ELIJah bROwn"/>
    <s v="Delivered"/>
    <x v="6"/>
    <x v="2"/>
    <s v="Elijah Brown"/>
    <n v="40"/>
    <n v="12.59"/>
    <n v="27.41"/>
  </r>
  <r>
    <s v="OR0429"/>
    <d v="2024-05-23T00:00:00"/>
    <s v="May"/>
    <s v="2024"/>
    <x v="4"/>
    <s v="Gardening"/>
    <n v="3"/>
    <n v="12"/>
    <n v="3.18"/>
    <s v="C0031"/>
    <s v="harpEr rOdrIguEz"/>
    <s v="Delivered"/>
    <x v="2"/>
    <x v="4"/>
    <s v="Harper Rodriguez"/>
    <n v="36"/>
    <n v="9.5400000000000009"/>
    <n v="26.46"/>
  </r>
  <r>
    <s v="OR0430"/>
    <d v="2024-05-23T00:00:00"/>
    <s v="May"/>
    <s v="2024"/>
    <x v="2"/>
    <s v="Lighting"/>
    <n v="9"/>
    <n v="40"/>
    <n v="8.0399999999999991"/>
    <s v="C0140"/>
    <s v="AIdeN SMiTh"/>
    <s v="Pending"/>
    <x v="7"/>
    <x v="2"/>
    <s v="Aiden Smith"/>
    <n v="360"/>
    <n v="72.359999999999985"/>
    <n v="287.64"/>
  </r>
  <r>
    <s v="OR0431"/>
    <d v="2024-05-24T00:00:00"/>
    <s v="May"/>
    <s v="2024"/>
    <x v="1"/>
    <s v="Bags"/>
    <n v="6"/>
    <n v="25"/>
    <n v="6.37"/>
    <s v="C0071"/>
    <s v="AvA mARTINeZ"/>
    <s v="Shipped"/>
    <x v="1"/>
    <x v="1"/>
    <s v="Ava Martinez"/>
    <n v="150"/>
    <n v="38.22"/>
    <n v="111.78"/>
  </r>
  <r>
    <s v="OR0432"/>
    <d v="2024-05-24T00:00:00"/>
    <s v="May"/>
    <s v="2024"/>
    <x v="1"/>
    <s v="Bags"/>
    <n v="2"/>
    <n v="25"/>
    <n v="9.68"/>
    <s v="C0159"/>
    <s v="LoGAn martineZ"/>
    <s v="Shipped"/>
    <x v="2"/>
    <x v="1"/>
    <s v="Logan Martinez"/>
    <n v="50"/>
    <n v="19.36"/>
    <n v="30.64"/>
  </r>
  <r>
    <s v="OR0433"/>
    <d v="2024-05-25T00:00:00"/>
    <s v="May"/>
    <s v="2024"/>
    <x v="1"/>
    <s v="Bags"/>
    <n v="4"/>
    <n v="25"/>
    <n v="6.63"/>
    <s v="C0026"/>
    <s v="eVeLYn BroWn"/>
    <s v="Shipped"/>
    <x v="4"/>
    <x v="1"/>
    <s v="Evelyn Brown"/>
    <n v="100"/>
    <n v="26.52"/>
    <n v="73.48"/>
  </r>
  <r>
    <s v="OR0434"/>
    <d v="2024-05-25T00:00:00"/>
    <s v="May"/>
    <s v="2024"/>
    <x v="3"/>
    <s v="Kitchenware"/>
    <n v="5"/>
    <n v="15"/>
    <n v="5.99"/>
    <s v="C0152"/>
    <s v="ETHAn GArCIa"/>
    <s v="Delivered"/>
    <x v="5"/>
    <x v="3"/>
    <s v="Ethan Garcia"/>
    <n v="75"/>
    <n v="29.950000000000003"/>
    <n v="45.05"/>
  </r>
  <r>
    <s v="OR0435"/>
    <d v="2024-05-25T00:00:00"/>
    <s v="May"/>
    <s v="2024"/>
    <x v="3"/>
    <s v="Kitchenware"/>
    <n v="8"/>
    <n v="15"/>
    <n v="4.1100000000000003"/>
    <s v="C0181"/>
    <s v="OlIvIA GARcia"/>
    <s v="Returned"/>
    <x v="0"/>
    <x v="3"/>
    <s v="Olivia Garcia"/>
    <n v="120"/>
    <n v="32.880000000000003"/>
    <n v="87.12"/>
  </r>
  <r>
    <s v="OR0436"/>
    <d v="2024-05-26T00:00:00"/>
    <s v="May"/>
    <s v="2024"/>
    <x v="0"/>
    <s v="Cleaning"/>
    <n v="1"/>
    <n v="10"/>
    <n v="2.81"/>
    <s v="C0057"/>
    <s v="EvElyn MiLLeR"/>
    <s v="Delivered"/>
    <x v="0"/>
    <x v="0"/>
    <s v="Evelyn Miller"/>
    <n v="10"/>
    <n v="2.81"/>
    <n v="7.1899999999999995"/>
  </r>
  <r>
    <s v="OR0437"/>
    <d v="2024-05-27T00:00:00"/>
    <s v="May"/>
    <s v="2024"/>
    <x v="2"/>
    <s v="Lighting"/>
    <n v="5"/>
    <n v="40"/>
    <n v="9.7200000000000006"/>
    <s v="C0105"/>
    <s v="elIjah DavIS"/>
    <s v="Pending"/>
    <x v="7"/>
    <x v="2"/>
    <s v="Elijah Davis"/>
    <n v="200"/>
    <n v="48.6"/>
    <n v="151.4"/>
  </r>
  <r>
    <s v="OR0438"/>
    <d v="2024-05-27T00:00:00"/>
    <s v="May"/>
    <s v="2024"/>
    <x v="4"/>
    <s v="Gardening"/>
    <n v="8"/>
    <n v="12"/>
    <n v="4.46"/>
    <s v="C0066"/>
    <s v="JaMeS garcIA"/>
    <s v="Pending"/>
    <x v="9"/>
    <x v="4"/>
    <s v="James Garcia"/>
    <n v="96"/>
    <n v="35.68"/>
    <n v="60.32"/>
  </r>
  <r>
    <s v="OR0439"/>
    <d v="2024-05-28T00:00:00"/>
    <s v="May"/>
    <s v="2024"/>
    <x v="1"/>
    <s v="Bags"/>
    <n v="5"/>
    <n v="25"/>
    <n v="7.88"/>
    <s v="C0063"/>
    <s v="oliVer MilLeR"/>
    <s v="Delivered"/>
    <x v="7"/>
    <x v="1"/>
    <s v="Oliver Miller"/>
    <n v="125"/>
    <n v="39.4"/>
    <n v="85.6"/>
  </r>
  <r>
    <s v="OR0440"/>
    <d v="2024-05-28T00:00:00"/>
    <s v="May"/>
    <s v="2024"/>
    <x v="3"/>
    <s v="Kitchenware"/>
    <n v="1"/>
    <n v="15"/>
    <n v="4.3499999999999996"/>
    <s v="C0170"/>
    <s v="avA rOdRIguEZ"/>
    <s v="Delivered"/>
    <x v="2"/>
    <x v="3"/>
    <s v="Ava Rodriguez"/>
    <n v="15"/>
    <n v="4.3499999999999996"/>
    <n v="10.65"/>
  </r>
  <r>
    <s v="OR0441"/>
    <d v="2024-05-28T00:00:00"/>
    <s v="May"/>
    <s v="2024"/>
    <x v="1"/>
    <s v="Bags"/>
    <n v="2"/>
    <n v="25"/>
    <n v="6.85"/>
    <s v="C0064"/>
    <s v="sOPHia mARtinEZ"/>
    <s v="Shipped"/>
    <x v="7"/>
    <x v="1"/>
    <s v="Sophia Martinez"/>
    <n v="50"/>
    <n v="13.7"/>
    <n v="36.299999999999997"/>
  </r>
  <r>
    <s v="OR0442"/>
    <d v="2024-05-28T00:00:00"/>
    <s v="May"/>
    <s v="2024"/>
    <x v="4"/>
    <s v="Gardening"/>
    <n v="9"/>
    <n v="12"/>
    <n v="4.32"/>
    <s v="C0061"/>
    <s v="AiDEn miLleR"/>
    <s v="Delivered"/>
    <x v="1"/>
    <x v="4"/>
    <s v="Aiden Miller"/>
    <n v="108"/>
    <n v="38.880000000000003"/>
    <n v="69.12"/>
  </r>
  <r>
    <s v="OR0443"/>
    <d v="2024-05-28T00:00:00"/>
    <s v="May"/>
    <s v="2024"/>
    <x v="3"/>
    <s v="Kitchenware"/>
    <n v="4"/>
    <n v="15"/>
    <n v="5.41"/>
    <s v="C0185"/>
    <s v="haRper sMITH"/>
    <s v="Shipped"/>
    <x v="1"/>
    <x v="3"/>
    <s v="Harper Smith"/>
    <n v="60"/>
    <n v="21.64"/>
    <n v="38.36"/>
  </r>
  <r>
    <s v="OR0444"/>
    <d v="2024-05-29T00:00:00"/>
    <s v="May"/>
    <s v="2024"/>
    <x v="2"/>
    <s v="Lighting"/>
    <n v="6"/>
    <n v="40"/>
    <n v="9.43"/>
    <s v="C0152"/>
    <s v="ETHAn GArCIa"/>
    <s v="Delivered"/>
    <x v="3"/>
    <x v="2"/>
    <s v="Ethan Garcia"/>
    <n v="240"/>
    <n v="56.58"/>
    <n v="183.42000000000002"/>
  </r>
  <r>
    <s v="OR0445"/>
    <d v="2024-05-29T00:00:00"/>
    <s v="May"/>
    <s v="2024"/>
    <x v="2"/>
    <s v="Lighting"/>
    <n v="4"/>
    <n v="40"/>
    <n v="13.02"/>
    <s v="C0076"/>
    <s v="mIa JONeS"/>
    <s v="Delivered"/>
    <x v="0"/>
    <x v="2"/>
    <s v="Mia Jones"/>
    <n v="160"/>
    <n v="52.08"/>
    <n v="107.92"/>
  </r>
  <r>
    <s v="OR0446"/>
    <d v="2024-05-30T00:00:00"/>
    <s v="May"/>
    <s v="2024"/>
    <x v="3"/>
    <s v="Kitchenware"/>
    <n v="1"/>
    <n v="15"/>
    <n v="3.05"/>
    <s v="C0185"/>
    <s v="haRper sMITH"/>
    <s v="Delivered"/>
    <x v="4"/>
    <x v="3"/>
    <s v="Harper Smith"/>
    <n v="15"/>
    <n v="3.05"/>
    <n v="11.95"/>
  </r>
  <r>
    <s v="OR0447"/>
    <d v="2024-05-30T00:00:00"/>
    <s v="May"/>
    <s v="2024"/>
    <x v="4"/>
    <s v="Gardening"/>
    <n v="7"/>
    <n v="12"/>
    <n v="4.2"/>
    <s v="C0107"/>
    <s v="MAson DAVIs"/>
    <s v="Delivered"/>
    <x v="5"/>
    <x v="4"/>
    <s v="Mason Davis"/>
    <n v="84"/>
    <n v="29.400000000000002"/>
    <n v="54.599999999999994"/>
  </r>
  <r>
    <s v="OR0448"/>
    <d v="2024-05-31T00:00:00"/>
    <s v="May"/>
    <s v="2024"/>
    <x v="2"/>
    <s v="Lighting"/>
    <n v="3"/>
    <n v="40"/>
    <n v="14.46"/>
    <s v="C0063"/>
    <s v="oliVer MilLeR"/>
    <s v="Delivered"/>
    <x v="5"/>
    <x v="2"/>
    <s v="Oliver Miller"/>
    <n v="120"/>
    <n v="43.38"/>
    <n v="76.62"/>
  </r>
  <r>
    <s v="OR0449"/>
    <d v="2024-05-31T00:00:00"/>
    <s v="May"/>
    <s v="2024"/>
    <x v="4"/>
    <s v="Gardening"/>
    <n v="10"/>
    <n v="12"/>
    <n v="4.5999999999999996"/>
    <s v="C0128"/>
    <s v="jamEs wILLIAmS"/>
    <s v="Delivered"/>
    <x v="0"/>
    <x v="4"/>
    <s v="James Williams"/>
    <n v="120"/>
    <n v="46"/>
    <n v="74"/>
  </r>
  <r>
    <s v="OR0450"/>
    <d v="2024-06-02T00:00:00"/>
    <s v="Jun"/>
    <s v="2024"/>
    <x v="4"/>
    <s v="Gardening"/>
    <n v="4"/>
    <n v="12"/>
    <n v="4.3899999999999997"/>
    <s v="C0078"/>
    <s v="olIvEr jOHnson"/>
    <s v="Shipped"/>
    <x v="6"/>
    <x v="4"/>
    <s v="Oliver Johnson"/>
    <n v="48"/>
    <n v="17.559999999999999"/>
    <n v="30.44"/>
  </r>
  <r>
    <s v="OR0451"/>
    <d v="2024-06-02T00:00:00"/>
    <s v="Jun"/>
    <s v="2024"/>
    <x v="2"/>
    <s v="Lighting"/>
    <n v="10"/>
    <n v="40"/>
    <n v="9.85"/>
    <s v="C0071"/>
    <s v="AvA mARTINeZ"/>
    <s v="Delivered"/>
    <x v="0"/>
    <x v="2"/>
    <s v="Ava Martinez"/>
    <n v="400"/>
    <n v="98.5"/>
    <n v="301.5"/>
  </r>
  <r>
    <s v="OR0452"/>
    <d v="2024-06-03T00:00:00"/>
    <s v="Jun"/>
    <s v="2024"/>
    <x v="4"/>
    <s v="Gardening"/>
    <n v="5"/>
    <n v="12"/>
    <n v="3.43"/>
    <s v="C0063"/>
    <s v="oliVer MilLeR"/>
    <s v="Delivered"/>
    <x v="9"/>
    <x v="4"/>
    <s v="Oliver Miller"/>
    <n v="60"/>
    <n v="17.150000000000002"/>
    <n v="42.849999999999994"/>
  </r>
  <r>
    <s v="OR0453"/>
    <d v="2024-06-03T00:00:00"/>
    <s v="Jun"/>
    <s v="2024"/>
    <x v="0"/>
    <s v="Cleaning"/>
    <n v="5"/>
    <n v="10"/>
    <n v="3.46"/>
    <s v="C0109"/>
    <s v="amEliA jOHNSOn"/>
    <s v="Delivered"/>
    <x v="0"/>
    <x v="0"/>
    <s v="Amelia Johnson"/>
    <n v="50"/>
    <n v="17.3"/>
    <n v="32.700000000000003"/>
  </r>
  <r>
    <s v="OR0454"/>
    <d v="2024-06-03T00:00:00"/>
    <s v="Jun"/>
    <s v="2024"/>
    <x v="1"/>
    <s v="Bags"/>
    <n v="1"/>
    <n v="25"/>
    <n v="9.2100000000000009"/>
    <s v="C0015"/>
    <s v="Emma bROwN"/>
    <s v="Shipped"/>
    <x v="0"/>
    <x v="1"/>
    <s v="Emma Brown"/>
    <n v="25"/>
    <n v="9.2100000000000009"/>
    <n v="15.79"/>
  </r>
  <r>
    <s v="OR0455"/>
    <d v="2024-06-03T00:00:00"/>
    <s v="Jun"/>
    <s v="2024"/>
    <x v="4"/>
    <s v="Gardening"/>
    <n v="7"/>
    <n v="12"/>
    <n v="3.5"/>
    <s v="C0183"/>
    <s v="AIDEN davIS"/>
    <s v="Delivered"/>
    <x v="2"/>
    <x v="4"/>
    <s v="Aiden Davis"/>
    <n v="84"/>
    <n v="24.5"/>
    <n v="59.5"/>
  </r>
  <r>
    <s v="OR0456"/>
    <d v="2024-06-03T00:00:00"/>
    <s v="Jun"/>
    <s v="2024"/>
    <x v="3"/>
    <s v="Kitchenware"/>
    <n v="6"/>
    <n v="15"/>
    <n v="5.4"/>
    <s v="C0032"/>
    <s v="olIVER JONes"/>
    <s v="Delivered"/>
    <x v="0"/>
    <x v="3"/>
    <s v="Oliver Jones"/>
    <n v="90"/>
    <n v="32.400000000000006"/>
    <n v="57.599999999999994"/>
  </r>
  <r>
    <s v="OR0457"/>
    <d v="2024-06-04T00:00:00"/>
    <s v="Jun"/>
    <s v="2024"/>
    <x v="1"/>
    <s v="Bags"/>
    <n v="6"/>
    <n v="25"/>
    <n v="6.04"/>
    <s v="C0110"/>
    <s v="olIVIa garCIa"/>
    <s v="Delivered"/>
    <x v="8"/>
    <x v="1"/>
    <s v="Olivia Garcia"/>
    <n v="150"/>
    <n v="36.24"/>
    <n v="113.75999999999999"/>
  </r>
  <r>
    <s v="OR0458"/>
    <d v="2024-06-04T00:00:00"/>
    <s v="Jun"/>
    <s v="2024"/>
    <x v="0"/>
    <s v="Cleaning"/>
    <n v="10"/>
    <n v="10"/>
    <n v="3.34"/>
    <s v="C0105"/>
    <s v="elIjah DavIS"/>
    <s v="Pending"/>
    <x v="2"/>
    <x v="0"/>
    <s v="Elijah Davis"/>
    <n v="100"/>
    <n v="33.4"/>
    <n v="66.599999999999994"/>
  </r>
  <r>
    <s v="OR0459"/>
    <d v="2024-06-04T00:00:00"/>
    <s v="Jun"/>
    <s v="2024"/>
    <x v="4"/>
    <s v="Gardening"/>
    <n v="3"/>
    <n v="12"/>
    <n v="3.94"/>
    <s v="C0051"/>
    <s v="EvELyn MarTinez"/>
    <s v="Returned"/>
    <x v="7"/>
    <x v="4"/>
    <s v="Evelyn Martinez"/>
    <n v="36"/>
    <n v="11.82"/>
    <n v="24.18"/>
  </r>
  <r>
    <s v="OR0460"/>
    <d v="2024-06-05T00:00:00"/>
    <s v="Jun"/>
    <s v="2024"/>
    <x v="0"/>
    <s v="Cleaning"/>
    <n v="3"/>
    <n v="10"/>
    <n v="3.12"/>
    <s v="C0036"/>
    <s v="iSaBElLA MILLER"/>
    <s v="Shipped"/>
    <x v="9"/>
    <x v="0"/>
    <s v="Isabella Miller"/>
    <n v="30"/>
    <n v="9.36"/>
    <n v="20.64"/>
  </r>
  <r>
    <s v="OR0461"/>
    <d v="2024-06-07T00:00:00"/>
    <s v="Jun"/>
    <s v="2024"/>
    <x v="4"/>
    <s v="Gardening"/>
    <n v="7"/>
    <n v="12"/>
    <n v="4.5599999999999996"/>
    <s v="C0188"/>
    <s v="LUCAS wiLlIaMS"/>
    <s v="Delivered"/>
    <x v="4"/>
    <x v="4"/>
    <s v="Lucas Williams"/>
    <n v="84"/>
    <n v="31.919999999999998"/>
    <n v="52.08"/>
  </r>
  <r>
    <s v="OR0462"/>
    <d v="2024-06-07T00:00:00"/>
    <s v="Jun"/>
    <s v="2024"/>
    <x v="1"/>
    <s v="Bags"/>
    <n v="3"/>
    <n v="25"/>
    <n v="6.29"/>
    <s v="C0049"/>
    <s v="AmElIA jOHNSon"/>
    <s v="Delivered"/>
    <x v="3"/>
    <x v="1"/>
    <s v="Amelia Johnson"/>
    <n v="75"/>
    <n v="18.87"/>
    <n v="56.129999999999995"/>
  </r>
  <r>
    <s v="OR0463"/>
    <d v="2024-06-07T00:00:00"/>
    <s v="Jun"/>
    <s v="2024"/>
    <x v="2"/>
    <s v="Lighting"/>
    <n v="2"/>
    <n v="40"/>
    <n v="8.93"/>
    <s v="C0087"/>
    <s v="emmA DaviS"/>
    <s v="Pending"/>
    <x v="3"/>
    <x v="2"/>
    <s v="Emma Davis"/>
    <n v="80"/>
    <n v="17.86"/>
    <n v="62.14"/>
  </r>
  <r>
    <s v="OR0464"/>
    <d v="2024-06-08T00:00:00"/>
    <s v="Jun"/>
    <s v="2024"/>
    <x v="1"/>
    <s v="Bags"/>
    <n v="3"/>
    <n v="25"/>
    <n v="9.02"/>
    <s v="C0147"/>
    <s v="LuCaS williAmS"/>
    <s v="Shipped"/>
    <x v="2"/>
    <x v="1"/>
    <s v="Lucas Williams"/>
    <n v="75"/>
    <n v="27.06"/>
    <n v="47.94"/>
  </r>
  <r>
    <s v="OR0465"/>
    <d v="2024-06-08T00:00:00"/>
    <s v="Jun"/>
    <s v="2024"/>
    <x v="4"/>
    <s v="Gardening"/>
    <n v="2"/>
    <n v="12"/>
    <n v="4.6100000000000003"/>
    <s v="C0120"/>
    <s v="HARper SmiTh"/>
    <s v="Shipped"/>
    <x v="6"/>
    <x v="4"/>
    <s v="Harper Smith"/>
    <n v="24"/>
    <n v="9.2200000000000006"/>
    <n v="14.78"/>
  </r>
  <r>
    <s v="OR0466"/>
    <d v="2024-06-08T00:00:00"/>
    <s v="Jun"/>
    <s v="2024"/>
    <x v="0"/>
    <s v="Cleaning"/>
    <n v="6"/>
    <n v="10"/>
    <n v="3.13"/>
    <s v="C0180"/>
    <s v="lUCAS BROwN"/>
    <s v="Delivered"/>
    <x v="4"/>
    <x v="0"/>
    <s v="Lucas Brown"/>
    <n v="60"/>
    <n v="18.78"/>
    <n v="41.22"/>
  </r>
  <r>
    <s v="OR0467"/>
    <d v="2024-06-08T00:00:00"/>
    <s v="Jun"/>
    <s v="2024"/>
    <x v="2"/>
    <s v="Lighting"/>
    <n v="4"/>
    <n v="40"/>
    <n v="10.47"/>
    <s v="C0039"/>
    <s v="mAsoN joHnSon"/>
    <s v="Shipped"/>
    <x v="7"/>
    <x v="2"/>
    <s v="Mason Johnson"/>
    <n v="160"/>
    <n v="41.88"/>
    <n v="118.12"/>
  </r>
  <r>
    <s v="OR0468"/>
    <d v="2024-06-09T00:00:00"/>
    <s v="Jun"/>
    <s v="2024"/>
    <x v="3"/>
    <s v="Kitchenware"/>
    <n v="9"/>
    <n v="15"/>
    <n v="4.75"/>
    <s v="C0082"/>
    <s v="avA joNEs"/>
    <s v="Returned"/>
    <x v="4"/>
    <x v="3"/>
    <s v="Ava Jones"/>
    <n v="135"/>
    <n v="42.75"/>
    <n v="92.25"/>
  </r>
  <r>
    <s v="OR0469"/>
    <d v="2024-06-10T00:00:00"/>
    <s v="Jun"/>
    <s v="2024"/>
    <x v="3"/>
    <s v="Kitchenware"/>
    <n v="5"/>
    <n v="15"/>
    <n v="4.28"/>
    <s v="C0132"/>
    <s v="amEliA JonEs"/>
    <s v="Delivered"/>
    <x v="5"/>
    <x v="3"/>
    <s v="Amelia Jones"/>
    <n v="75"/>
    <n v="21.400000000000002"/>
    <n v="53.599999999999994"/>
  </r>
  <r>
    <s v="OR0470"/>
    <d v="2024-06-12T00:00:00"/>
    <s v="Jun"/>
    <s v="2024"/>
    <x v="4"/>
    <s v="Gardening"/>
    <n v="1"/>
    <n v="12"/>
    <n v="3.81"/>
    <s v="C0077"/>
    <s v="MaSon WillIAMs"/>
    <s v="Delivered"/>
    <x v="2"/>
    <x v="4"/>
    <s v="Mason Williams"/>
    <n v="12"/>
    <n v="3.81"/>
    <n v="8.19"/>
  </r>
  <r>
    <s v="OR0471"/>
    <d v="2024-06-12T00:00:00"/>
    <s v="Jun"/>
    <s v="2024"/>
    <x v="4"/>
    <s v="Gardening"/>
    <n v="3"/>
    <n v="12"/>
    <n v="4.78"/>
    <s v="C0057"/>
    <s v="EvElyn MiLLeR"/>
    <s v="Delivered"/>
    <x v="7"/>
    <x v="4"/>
    <s v="Evelyn Miller"/>
    <n v="36"/>
    <n v="14.34"/>
    <n v="21.66"/>
  </r>
  <r>
    <s v="OR0472"/>
    <d v="2024-06-13T00:00:00"/>
    <s v="Jun"/>
    <s v="2024"/>
    <x v="1"/>
    <s v="Bags"/>
    <n v="5"/>
    <n v="25"/>
    <n v="6.67"/>
    <s v="C0083"/>
    <s v="jAmEs bRown"/>
    <s v="Shipped"/>
    <x v="5"/>
    <x v="1"/>
    <s v="James Brown"/>
    <n v="125"/>
    <n v="33.35"/>
    <n v="91.65"/>
  </r>
  <r>
    <s v="OR0473"/>
    <d v="2024-06-14T00:00:00"/>
    <s v="Jun"/>
    <s v="2024"/>
    <x v="4"/>
    <s v="Gardening"/>
    <n v="2"/>
    <n v="12"/>
    <n v="3.25"/>
    <s v="C0036"/>
    <s v="iSaBElLA MILLER"/>
    <s v="Shipped"/>
    <x v="1"/>
    <x v="4"/>
    <s v="Isabella Miller"/>
    <n v="24"/>
    <n v="6.5"/>
    <n v="17.5"/>
  </r>
  <r>
    <s v="OR0474"/>
    <d v="2024-06-14T00:00:00"/>
    <s v="Jun"/>
    <s v="2024"/>
    <x v="3"/>
    <s v="Kitchenware"/>
    <n v="6"/>
    <n v="15"/>
    <n v="5.6"/>
    <s v="C0120"/>
    <s v="HARper SmiTh"/>
    <s v="Delivered"/>
    <x v="7"/>
    <x v="3"/>
    <s v="Harper Smith"/>
    <n v="90"/>
    <n v="33.599999999999994"/>
    <n v="56.400000000000006"/>
  </r>
  <r>
    <s v="OR0475"/>
    <d v="2024-06-14T00:00:00"/>
    <s v="Jun"/>
    <s v="2024"/>
    <x v="0"/>
    <s v="Cleaning"/>
    <n v="8"/>
    <n v="10"/>
    <n v="2.0699999999999998"/>
    <s v="C0166"/>
    <s v="NOAh wIlLIamS"/>
    <s v="Shipped"/>
    <x v="8"/>
    <x v="0"/>
    <s v="Noah Williams"/>
    <n v="80"/>
    <n v="16.559999999999999"/>
    <n v="63.44"/>
  </r>
  <r>
    <s v="OR0476"/>
    <d v="2024-06-15T00:00:00"/>
    <s v="Jun"/>
    <s v="2024"/>
    <x v="3"/>
    <s v="Kitchenware"/>
    <n v="6"/>
    <n v="15"/>
    <n v="4.13"/>
    <s v="C0164"/>
    <s v="ChArLotTE daviS"/>
    <s v="Pending"/>
    <x v="1"/>
    <x v="3"/>
    <s v="Charlotte Davis"/>
    <n v="90"/>
    <n v="24.78"/>
    <n v="65.22"/>
  </r>
  <r>
    <s v="OR0477"/>
    <d v="2024-06-16T00:00:00"/>
    <s v="Jun"/>
    <s v="2024"/>
    <x v="3"/>
    <s v="Kitchenware"/>
    <n v="4"/>
    <n v="15"/>
    <n v="4.33"/>
    <s v="C0107"/>
    <s v="MAson DAVIs"/>
    <s v="Delivered"/>
    <x v="6"/>
    <x v="3"/>
    <s v="Mason Davis"/>
    <n v="60"/>
    <n v="17.32"/>
    <n v="42.68"/>
  </r>
  <r>
    <s v="OR0478"/>
    <d v="2024-06-16T00:00:00"/>
    <s v="Jun"/>
    <s v="2024"/>
    <x v="1"/>
    <s v="Bags"/>
    <n v="5"/>
    <n v="25"/>
    <n v="9.07"/>
    <s v="C0035"/>
    <s v="EVeLyN marTinez"/>
    <s v="Delivered"/>
    <x v="1"/>
    <x v="1"/>
    <s v="Evelyn Martinez"/>
    <n v="125"/>
    <n v="45.35"/>
    <n v="79.650000000000006"/>
  </r>
  <r>
    <s v="OR0479"/>
    <d v="2024-06-17T00:00:00"/>
    <s v="Jun"/>
    <s v="2024"/>
    <x v="3"/>
    <s v="Kitchenware"/>
    <n v="9"/>
    <n v="15"/>
    <n v="5.65"/>
    <s v="C0104"/>
    <s v="mAsOn roDRiguez"/>
    <s v="Delivered"/>
    <x v="5"/>
    <x v="3"/>
    <s v="Mason Rodriguez"/>
    <n v="135"/>
    <n v="50.85"/>
    <n v="84.15"/>
  </r>
  <r>
    <s v="OR0480"/>
    <d v="2024-06-17T00:00:00"/>
    <s v="Jun"/>
    <s v="2024"/>
    <x v="4"/>
    <s v="Gardening"/>
    <n v="2"/>
    <n v="12"/>
    <n v="3.36"/>
    <s v="C0186"/>
    <s v="ISabellA bRoWN"/>
    <s v="Delivered"/>
    <x v="4"/>
    <x v="4"/>
    <s v="Isabella Brown"/>
    <n v="24"/>
    <n v="6.72"/>
    <n v="17.28"/>
  </r>
  <r>
    <s v="OR0481"/>
    <d v="2024-06-17T00:00:00"/>
    <s v="Jun"/>
    <s v="2024"/>
    <x v="0"/>
    <s v="Cleaning"/>
    <n v="10"/>
    <n v="10"/>
    <n v="2.37"/>
    <s v="C0143"/>
    <s v="jAmEs mIllER"/>
    <s v="Delivered"/>
    <x v="2"/>
    <x v="0"/>
    <s v="James Miller"/>
    <n v="100"/>
    <n v="23.700000000000003"/>
    <n v="76.3"/>
  </r>
  <r>
    <s v="OR0482"/>
    <d v="2024-06-18T00:00:00"/>
    <s v="Jun"/>
    <s v="2024"/>
    <x v="3"/>
    <s v="Kitchenware"/>
    <n v="9"/>
    <n v="15"/>
    <n v="3.76"/>
    <s v="C0164"/>
    <s v="ChArLotTE daviS"/>
    <s v="Shipped"/>
    <x v="7"/>
    <x v="3"/>
    <s v="Charlotte Davis"/>
    <n v="135"/>
    <n v="33.839999999999996"/>
    <n v="101.16"/>
  </r>
  <r>
    <s v="OR0483"/>
    <d v="2024-06-18T00:00:00"/>
    <s v="Jun"/>
    <s v="2024"/>
    <x v="2"/>
    <s v="Lighting"/>
    <n v="3"/>
    <n v="40"/>
    <n v="11.38"/>
    <s v="C0115"/>
    <s v="AvA GarCIA"/>
    <s v="Pending"/>
    <x v="8"/>
    <x v="2"/>
    <s v="Ava Garcia"/>
    <n v="120"/>
    <n v="34.14"/>
    <n v="85.86"/>
  </r>
  <r>
    <s v="OR0484"/>
    <d v="2024-06-18T00:00:00"/>
    <s v="Jun"/>
    <s v="2024"/>
    <x v="0"/>
    <s v="Cleaning"/>
    <n v="8"/>
    <n v="10"/>
    <n v="3.88"/>
    <s v="C0107"/>
    <s v="MAson DAVIs"/>
    <s v="Delivered"/>
    <x v="0"/>
    <x v="0"/>
    <s v="Mason Davis"/>
    <n v="80"/>
    <n v="31.04"/>
    <n v="48.96"/>
  </r>
  <r>
    <s v="OR0485"/>
    <d v="2024-06-18T00:00:00"/>
    <s v="Jun"/>
    <s v="2024"/>
    <x v="2"/>
    <s v="Lighting"/>
    <n v="10"/>
    <n v="40"/>
    <n v="13.77"/>
    <s v="C0078"/>
    <s v="olIvEr jOHnson"/>
    <s v="Pending"/>
    <x v="2"/>
    <x v="2"/>
    <s v="Oliver Johnson"/>
    <n v="400"/>
    <n v="137.69999999999999"/>
    <n v="262.3"/>
  </r>
  <r>
    <s v="OR0486"/>
    <d v="2024-06-19T00:00:00"/>
    <s v="Jun"/>
    <s v="2024"/>
    <x v="2"/>
    <s v="Lighting"/>
    <n v="6"/>
    <n v="40"/>
    <n v="8.89"/>
    <s v="C0064"/>
    <s v="sOPHia mARtinEZ"/>
    <s v="Delivered"/>
    <x v="5"/>
    <x v="2"/>
    <s v="Sophia Martinez"/>
    <n v="240"/>
    <n v="53.34"/>
    <n v="186.66"/>
  </r>
  <r>
    <s v="OR0487"/>
    <d v="2024-06-19T00:00:00"/>
    <s v="Jun"/>
    <s v="2024"/>
    <x v="2"/>
    <s v="Lighting"/>
    <n v="3"/>
    <n v="40"/>
    <n v="11.64"/>
    <s v="C0200"/>
    <s v="mASON JOhNSoN"/>
    <s v="Delivered"/>
    <x v="7"/>
    <x v="2"/>
    <s v="Mason Johnson"/>
    <n v="120"/>
    <n v="34.92"/>
    <n v="85.08"/>
  </r>
  <r>
    <s v="OR0488"/>
    <d v="2024-06-19T00:00:00"/>
    <s v="Jun"/>
    <s v="2024"/>
    <x v="3"/>
    <s v="Kitchenware"/>
    <n v="6"/>
    <n v="15"/>
    <n v="4.5599999999999996"/>
    <s v="C0081"/>
    <s v="MasoN mILLeR"/>
    <s v="Returned"/>
    <x v="2"/>
    <x v="3"/>
    <s v="Mason Miller"/>
    <n v="90"/>
    <n v="27.36"/>
    <n v="62.64"/>
  </r>
  <r>
    <s v="OR0489"/>
    <d v="2024-06-19T00:00:00"/>
    <s v="Jun"/>
    <s v="2024"/>
    <x v="4"/>
    <s v="Gardening"/>
    <n v="5"/>
    <n v="12"/>
    <n v="4.3499999999999996"/>
    <s v="C0064"/>
    <s v="sOPHia mARtinEZ"/>
    <s v="Delivered"/>
    <x v="8"/>
    <x v="4"/>
    <s v="Sophia Martinez"/>
    <n v="60"/>
    <n v="21.75"/>
    <n v="38.25"/>
  </r>
  <r>
    <s v="OR0490"/>
    <d v="2024-06-20T00:00:00"/>
    <s v="Jun"/>
    <s v="2024"/>
    <x v="1"/>
    <s v="Bags"/>
    <n v="10"/>
    <n v="25"/>
    <n v="6.8"/>
    <s v="C0014"/>
    <s v="CHARlOtTe GArCIA"/>
    <s v="Delivered"/>
    <x v="3"/>
    <x v="1"/>
    <s v="Charlotte Garcia"/>
    <n v="250"/>
    <n v="68"/>
    <n v="182"/>
  </r>
  <r>
    <s v="OR0491"/>
    <d v="2024-06-21T00:00:00"/>
    <s v="Jun"/>
    <s v="2024"/>
    <x v="4"/>
    <s v="Gardening"/>
    <n v="4"/>
    <n v="12"/>
    <n v="3.38"/>
    <s v="C0137"/>
    <s v="loGAn smitH"/>
    <s v="Returned"/>
    <x v="9"/>
    <x v="4"/>
    <s v="Logan Smith"/>
    <n v="48"/>
    <n v="13.52"/>
    <n v="34.480000000000004"/>
  </r>
  <r>
    <s v="OR0492"/>
    <d v="2024-06-21T00:00:00"/>
    <s v="Jun"/>
    <s v="2024"/>
    <x v="0"/>
    <s v="Cleaning"/>
    <n v="4"/>
    <n v="10"/>
    <n v="3.23"/>
    <s v="C0159"/>
    <s v="LoGAn martineZ"/>
    <s v="Returned"/>
    <x v="9"/>
    <x v="0"/>
    <s v="Logan Martinez"/>
    <n v="40"/>
    <n v="12.92"/>
    <n v="27.08"/>
  </r>
  <r>
    <s v="OR0493"/>
    <d v="2024-06-22T00:00:00"/>
    <s v="Jun"/>
    <s v="2024"/>
    <x v="4"/>
    <s v="Gardening"/>
    <n v="8"/>
    <n v="12"/>
    <n v="4.22"/>
    <s v="C0045"/>
    <s v="lIaM smith"/>
    <s v="Returned"/>
    <x v="4"/>
    <x v="4"/>
    <s v="Liam Smith"/>
    <n v="96"/>
    <n v="33.76"/>
    <n v="62.24"/>
  </r>
  <r>
    <s v="OR0494"/>
    <d v="2024-06-22T00:00:00"/>
    <s v="Jun"/>
    <s v="2024"/>
    <x v="4"/>
    <s v="Gardening"/>
    <n v="9"/>
    <n v="12"/>
    <n v="4.3"/>
    <s v="C0176"/>
    <s v="oLiver Miller"/>
    <s v="Shipped"/>
    <x v="1"/>
    <x v="4"/>
    <s v="Oliver Miller"/>
    <n v="108"/>
    <n v="38.699999999999996"/>
    <n v="69.300000000000011"/>
  </r>
  <r>
    <s v="OR0495"/>
    <d v="2024-06-22T00:00:00"/>
    <s v="Jun"/>
    <s v="2024"/>
    <x v="4"/>
    <s v="Gardening"/>
    <n v="7"/>
    <n v="12"/>
    <n v="2.96"/>
    <s v="C0095"/>
    <s v="hARPeR rODrIGueZ"/>
    <s v="Delivered"/>
    <x v="9"/>
    <x v="4"/>
    <s v="Harper Rodriguez"/>
    <n v="84"/>
    <n v="20.72"/>
    <n v="63.28"/>
  </r>
  <r>
    <s v="OR0496"/>
    <d v="2024-06-23T00:00:00"/>
    <s v="Jun"/>
    <s v="2024"/>
    <x v="0"/>
    <s v="Cleaning"/>
    <n v="9"/>
    <n v="10"/>
    <n v="2.59"/>
    <s v="C0087"/>
    <s v="emmA DaviS"/>
    <s v="Delivered"/>
    <x v="7"/>
    <x v="0"/>
    <s v="Emma Davis"/>
    <n v="90"/>
    <n v="23.31"/>
    <n v="66.69"/>
  </r>
  <r>
    <s v="OR0497"/>
    <d v="2024-06-23T00:00:00"/>
    <s v="Jun"/>
    <s v="2024"/>
    <x v="4"/>
    <s v="Gardening"/>
    <n v="10"/>
    <n v="12"/>
    <n v="4.32"/>
    <s v="C0045"/>
    <s v="lIaM smith"/>
    <s v="Delivered"/>
    <x v="6"/>
    <x v="4"/>
    <s v="Liam Smith"/>
    <n v="120"/>
    <n v="43.2"/>
    <n v="76.8"/>
  </r>
  <r>
    <s v="OR0498"/>
    <d v="2024-06-23T00:00:00"/>
    <s v="Jun"/>
    <s v="2024"/>
    <x v="2"/>
    <s v="Lighting"/>
    <n v="1"/>
    <n v="40"/>
    <n v="10.67"/>
    <s v="C0034"/>
    <s v="EtHan RodrIgUEz"/>
    <s v="Delivered"/>
    <x v="9"/>
    <x v="2"/>
    <s v="Ethan Rodriguez"/>
    <n v="40"/>
    <n v="10.67"/>
    <n v="29.33"/>
  </r>
  <r>
    <s v="OR0499"/>
    <d v="2024-06-23T00:00:00"/>
    <s v="Jun"/>
    <s v="2024"/>
    <x v="2"/>
    <s v="Lighting"/>
    <n v="3"/>
    <n v="40"/>
    <n v="9.52"/>
    <s v="C0195"/>
    <s v="MASoN dAVis"/>
    <s v="Delivered"/>
    <x v="6"/>
    <x v="2"/>
    <s v="Mason Davis"/>
    <n v="120"/>
    <n v="28.56"/>
    <n v="91.44"/>
  </r>
  <r>
    <s v="OR0500"/>
    <d v="2024-06-23T00:00:00"/>
    <s v="Jun"/>
    <s v="2024"/>
    <x v="2"/>
    <s v="Lighting"/>
    <n v="8"/>
    <n v="40"/>
    <n v="13.53"/>
    <s v="C0013"/>
    <s v="eVelYN martiNEZ"/>
    <s v="Delivered"/>
    <x v="5"/>
    <x v="2"/>
    <s v="Evelyn Martinez"/>
    <n v="320"/>
    <n v="108.24"/>
    <n v="211.76"/>
  </r>
  <r>
    <s v="OR0501"/>
    <d v="2024-06-24T00:00:00"/>
    <s v="Jun"/>
    <s v="2024"/>
    <x v="2"/>
    <s v="Lighting"/>
    <n v="2"/>
    <n v="40"/>
    <n v="11.47"/>
    <s v="C0110"/>
    <s v="olIVIa garCIa"/>
    <s v="Delivered"/>
    <x v="8"/>
    <x v="2"/>
    <s v="Olivia Garcia"/>
    <n v="80"/>
    <n v="22.94"/>
    <n v="57.06"/>
  </r>
  <r>
    <s v="OR0502"/>
    <d v="2024-06-24T00:00:00"/>
    <s v="Jun"/>
    <s v="2024"/>
    <x v="1"/>
    <s v="Bags"/>
    <n v="4"/>
    <n v="25"/>
    <n v="6.06"/>
    <s v="C0169"/>
    <s v="MaSOn DaVIs"/>
    <s v="Shipped"/>
    <x v="7"/>
    <x v="1"/>
    <s v="Mason Davis"/>
    <n v="100"/>
    <n v="24.24"/>
    <n v="75.760000000000005"/>
  </r>
  <r>
    <s v="OR0503"/>
    <d v="2024-06-25T00:00:00"/>
    <s v="Jun"/>
    <s v="2024"/>
    <x v="3"/>
    <s v="Kitchenware"/>
    <n v="5"/>
    <n v="15"/>
    <n v="3.29"/>
    <s v="C0168"/>
    <s v="mIa broWn"/>
    <s v="Delivered"/>
    <x v="8"/>
    <x v="3"/>
    <s v="Mia Brown"/>
    <n v="75"/>
    <n v="16.45"/>
    <n v="58.55"/>
  </r>
  <r>
    <s v="OR0504"/>
    <d v="2024-06-25T00:00:00"/>
    <s v="Jun"/>
    <s v="2024"/>
    <x v="4"/>
    <s v="Gardening"/>
    <n v="9"/>
    <n v="12"/>
    <n v="4.29"/>
    <s v="C0096"/>
    <s v="EthAn joHnSoN"/>
    <s v="Delivered"/>
    <x v="1"/>
    <x v="4"/>
    <s v="Ethan Johnson"/>
    <n v="108"/>
    <n v="38.61"/>
    <n v="69.39"/>
  </r>
  <r>
    <s v="OR0505"/>
    <d v="2024-06-25T00:00:00"/>
    <s v="Jun"/>
    <s v="2024"/>
    <x v="4"/>
    <s v="Gardening"/>
    <n v="4"/>
    <n v="12"/>
    <n v="3.42"/>
    <s v="C0091"/>
    <s v="aIDen WIlliAMs"/>
    <s v="Delivered"/>
    <x v="8"/>
    <x v="4"/>
    <s v="Aiden Williams"/>
    <n v="48"/>
    <n v="13.68"/>
    <n v="34.32"/>
  </r>
  <r>
    <s v="OR0506"/>
    <d v="2024-06-26T00:00:00"/>
    <s v="Jun"/>
    <s v="2024"/>
    <x v="3"/>
    <s v="Kitchenware"/>
    <n v="6"/>
    <n v="15"/>
    <n v="5.73"/>
    <s v="C0163"/>
    <s v="aidEN sMIth"/>
    <s v="Shipped"/>
    <x v="4"/>
    <x v="3"/>
    <s v="Aiden Smith"/>
    <n v="90"/>
    <n v="34.380000000000003"/>
    <n v="55.62"/>
  </r>
  <r>
    <s v="OR0507"/>
    <d v="2024-06-27T00:00:00"/>
    <s v="Jun"/>
    <s v="2024"/>
    <x v="4"/>
    <s v="Gardening"/>
    <n v="7"/>
    <n v="12"/>
    <n v="4.74"/>
    <s v="C0021"/>
    <s v="isABelLA RoDriGUEZ"/>
    <s v="Delivered"/>
    <x v="3"/>
    <x v="4"/>
    <s v="Isabella Rodriguez"/>
    <n v="84"/>
    <n v="33.18"/>
    <n v="50.82"/>
  </r>
  <r>
    <s v="OR0508"/>
    <d v="2024-06-27T00:00:00"/>
    <s v="Jun"/>
    <s v="2024"/>
    <x v="4"/>
    <s v="Gardening"/>
    <n v="3"/>
    <n v="12"/>
    <n v="2.81"/>
    <s v="C0160"/>
    <s v="LucAs gaRcia"/>
    <s v="Delivered"/>
    <x v="5"/>
    <x v="4"/>
    <s v="Lucas Garcia"/>
    <n v="36"/>
    <n v="8.43"/>
    <n v="27.57"/>
  </r>
  <r>
    <s v="OR0509"/>
    <d v="2024-06-27T00:00:00"/>
    <s v="Jun"/>
    <s v="2024"/>
    <x v="2"/>
    <s v="Lighting"/>
    <n v="6"/>
    <n v="40"/>
    <n v="12.24"/>
    <s v="C0073"/>
    <s v="HarPEr bRowN"/>
    <s v="Delivered"/>
    <x v="6"/>
    <x v="2"/>
    <s v="Harper Brown"/>
    <n v="240"/>
    <n v="73.44"/>
    <n v="166.56"/>
  </r>
  <r>
    <s v="OR0510"/>
    <d v="2024-06-29T00:00:00"/>
    <s v="Jun"/>
    <s v="2024"/>
    <x v="4"/>
    <s v="Gardening"/>
    <n v="10"/>
    <n v="12"/>
    <n v="4.72"/>
    <s v="C0171"/>
    <s v="MiA DAvis"/>
    <s v="Delivered"/>
    <x v="5"/>
    <x v="4"/>
    <s v="Mia Davis"/>
    <n v="120"/>
    <n v="47.199999999999996"/>
    <n v="72.800000000000011"/>
  </r>
  <r>
    <s v="OR0511"/>
    <d v="2024-06-30T00:00:00"/>
    <s v="Jun"/>
    <s v="2024"/>
    <x v="4"/>
    <s v="Gardening"/>
    <n v="4"/>
    <n v="12"/>
    <n v="2.85"/>
    <s v="C0179"/>
    <s v="OLiViA mIlLEr"/>
    <s v="Delivered"/>
    <x v="5"/>
    <x v="4"/>
    <s v="Olivia Miller"/>
    <n v="48"/>
    <n v="11.4"/>
    <n v="36.6"/>
  </r>
  <r>
    <s v="OR0512"/>
    <d v="2024-06-30T00:00:00"/>
    <s v="Jun"/>
    <s v="2024"/>
    <x v="3"/>
    <s v="Kitchenware"/>
    <n v="4"/>
    <n v="15"/>
    <n v="5.4"/>
    <s v="C0093"/>
    <s v="NoAh RODrIguEz"/>
    <s v="Delivered"/>
    <x v="0"/>
    <x v="3"/>
    <s v="Noah Rodriguez"/>
    <n v="60"/>
    <n v="21.6"/>
    <n v="38.4"/>
  </r>
  <r>
    <s v="OR0513"/>
    <d v="2024-06-30T00:00:00"/>
    <s v="Jun"/>
    <s v="2024"/>
    <x v="0"/>
    <s v="Cleaning"/>
    <n v="6"/>
    <n v="10"/>
    <n v="3.63"/>
    <s v="C0183"/>
    <s v="AIDEN davIS"/>
    <s v="Shipped"/>
    <x v="3"/>
    <x v="0"/>
    <s v="Aiden Davis"/>
    <n v="60"/>
    <n v="21.78"/>
    <n v="38.22"/>
  </r>
  <r>
    <s v="OR0514"/>
    <d v="2024-06-30T00:00:00"/>
    <s v="Jun"/>
    <s v="2024"/>
    <x v="2"/>
    <s v="Lighting"/>
    <n v="9"/>
    <n v="40"/>
    <n v="10.5"/>
    <s v="C0168"/>
    <s v="mIa broWn"/>
    <s v="Shipped"/>
    <x v="9"/>
    <x v="2"/>
    <s v="Mia Brown"/>
    <n v="360"/>
    <n v="94.5"/>
    <n v="265.5"/>
  </r>
  <r>
    <s v="OR0515"/>
    <d v="2024-06-30T00:00:00"/>
    <s v="Jun"/>
    <s v="2024"/>
    <x v="1"/>
    <s v="Bags"/>
    <n v="10"/>
    <n v="25"/>
    <n v="9.86"/>
    <s v="C0089"/>
    <s v="LiAM DavIs"/>
    <s v="Delivered"/>
    <x v="9"/>
    <x v="1"/>
    <s v="Liam Davis"/>
    <n v="250"/>
    <n v="98.6"/>
    <n v="151.4"/>
  </r>
  <r>
    <s v="OR0516"/>
    <d v="2024-07-01T00:00:00"/>
    <s v="Jul"/>
    <s v="2024"/>
    <x v="1"/>
    <s v="Bags"/>
    <n v="6"/>
    <n v="25"/>
    <n v="9.43"/>
    <s v="C0023"/>
    <s v="nOAH gARciA"/>
    <s v="Delivered"/>
    <x v="7"/>
    <x v="1"/>
    <s v="Noah Garcia"/>
    <n v="150"/>
    <n v="56.58"/>
    <n v="93.42"/>
  </r>
  <r>
    <s v="OR0517"/>
    <d v="2024-07-01T00:00:00"/>
    <s v="Jul"/>
    <s v="2024"/>
    <x v="1"/>
    <s v="Bags"/>
    <n v="10"/>
    <n v="25"/>
    <n v="6.74"/>
    <s v="C0188"/>
    <s v="LUCAS wiLlIaMS"/>
    <s v="Delivered"/>
    <x v="1"/>
    <x v="1"/>
    <s v="Lucas Williams"/>
    <n v="250"/>
    <n v="67.400000000000006"/>
    <n v="182.6"/>
  </r>
  <r>
    <s v="OR0518"/>
    <d v="2024-07-01T00:00:00"/>
    <s v="Jul"/>
    <s v="2024"/>
    <x v="0"/>
    <s v="Cleaning"/>
    <n v="3"/>
    <n v="10"/>
    <n v="2.65"/>
    <s v="C0194"/>
    <s v="NoaH bROWn"/>
    <s v="Delivered"/>
    <x v="4"/>
    <x v="0"/>
    <s v="Noah Brown"/>
    <n v="30"/>
    <n v="7.9499999999999993"/>
    <n v="22.05"/>
  </r>
  <r>
    <s v="OR0519"/>
    <d v="2024-07-01T00:00:00"/>
    <s v="Jul"/>
    <s v="2024"/>
    <x v="1"/>
    <s v="Bags"/>
    <n v="4"/>
    <n v="25"/>
    <n v="6.09"/>
    <s v="C0022"/>
    <s v="jAmES sMiTH"/>
    <s v="Delivered"/>
    <x v="2"/>
    <x v="1"/>
    <s v="James Smith"/>
    <n v="100"/>
    <n v="24.36"/>
    <n v="75.64"/>
  </r>
  <r>
    <s v="OR0520"/>
    <d v="2024-07-02T00:00:00"/>
    <s v="Jul"/>
    <s v="2024"/>
    <x v="0"/>
    <s v="Cleaning"/>
    <n v="4"/>
    <n v="10"/>
    <n v="3.41"/>
    <s v="C0090"/>
    <s v="masOn jOnes"/>
    <s v="Delivered"/>
    <x v="8"/>
    <x v="0"/>
    <s v="Mason Jones"/>
    <n v="40"/>
    <n v="13.64"/>
    <n v="26.36"/>
  </r>
  <r>
    <s v="OR0521"/>
    <d v="2024-07-02T00:00:00"/>
    <s v="Jul"/>
    <s v="2024"/>
    <x v="2"/>
    <s v="Lighting"/>
    <n v="10"/>
    <n v="40"/>
    <n v="14.88"/>
    <s v="C0053"/>
    <s v="mIa JOhnsON"/>
    <s v="Pending"/>
    <x v="4"/>
    <x v="2"/>
    <s v="Mia Johnson"/>
    <n v="400"/>
    <n v="148.80000000000001"/>
    <n v="251.2"/>
  </r>
  <r>
    <s v="OR0522"/>
    <d v="2024-07-03T00:00:00"/>
    <s v="Jul"/>
    <s v="2024"/>
    <x v="2"/>
    <s v="Lighting"/>
    <n v="8"/>
    <n v="40"/>
    <n v="13.65"/>
    <s v="C0112"/>
    <s v="eLijAh wIlLIAMs"/>
    <s v="Shipped"/>
    <x v="8"/>
    <x v="2"/>
    <s v="Elijah Williams"/>
    <n v="320"/>
    <n v="109.2"/>
    <n v="210.8"/>
  </r>
  <r>
    <s v="OR0523"/>
    <d v="2024-07-03T00:00:00"/>
    <s v="Jul"/>
    <s v="2024"/>
    <x v="1"/>
    <s v="Bags"/>
    <n v="6"/>
    <n v="25"/>
    <n v="5.28"/>
    <s v="C0125"/>
    <s v="lucas BrowN"/>
    <s v="Pending"/>
    <x v="9"/>
    <x v="1"/>
    <s v="Lucas Brown"/>
    <n v="150"/>
    <n v="31.68"/>
    <n v="118.32"/>
  </r>
  <r>
    <s v="OR0524"/>
    <d v="2024-07-03T00:00:00"/>
    <s v="Jul"/>
    <s v="2024"/>
    <x v="1"/>
    <s v="Bags"/>
    <n v="2"/>
    <n v="25"/>
    <n v="8.89"/>
    <s v="C0168"/>
    <s v="mIa broWn"/>
    <s v="Delivered"/>
    <x v="5"/>
    <x v="1"/>
    <s v="Mia Brown"/>
    <n v="50"/>
    <n v="17.78"/>
    <n v="32.22"/>
  </r>
  <r>
    <s v="OR0525"/>
    <d v="2024-07-03T00:00:00"/>
    <s v="Jul"/>
    <s v="2024"/>
    <x v="4"/>
    <s v="Gardening"/>
    <n v="6"/>
    <n v="12"/>
    <n v="4.28"/>
    <s v="C0182"/>
    <s v="AVA MilLEr"/>
    <s v="Returned"/>
    <x v="1"/>
    <x v="4"/>
    <s v="Ava Miller"/>
    <n v="72"/>
    <n v="25.68"/>
    <n v="46.32"/>
  </r>
  <r>
    <s v="OR0526"/>
    <d v="2024-07-04T00:00:00"/>
    <s v="Jul"/>
    <s v="2024"/>
    <x v="0"/>
    <s v="Cleaning"/>
    <n v="8"/>
    <n v="10"/>
    <n v="3.74"/>
    <s v="C0124"/>
    <s v="hArper MIllEr"/>
    <s v="Shipped"/>
    <x v="4"/>
    <x v="0"/>
    <s v="Harper Miller"/>
    <n v="80"/>
    <n v="29.92"/>
    <n v="50.08"/>
  </r>
  <r>
    <s v="OR0527"/>
    <d v="2024-07-04T00:00:00"/>
    <s v="Jul"/>
    <s v="2024"/>
    <x v="1"/>
    <s v="Bags"/>
    <n v="3"/>
    <n v="25"/>
    <n v="5.52"/>
    <s v="C0189"/>
    <s v="mIa milLeR"/>
    <s v="Delivered"/>
    <x v="6"/>
    <x v="1"/>
    <s v="Mia Miller"/>
    <n v="75"/>
    <n v="16.559999999999999"/>
    <n v="58.44"/>
  </r>
  <r>
    <s v="OR0528"/>
    <d v="2024-07-04T00:00:00"/>
    <s v="Jul"/>
    <s v="2024"/>
    <x v="2"/>
    <s v="Lighting"/>
    <n v="6"/>
    <n v="40"/>
    <n v="11.74"/>
    <s v="C0069"/>
    <s v="LiaM GarCia"/>
    <s v="Delivered"/>
    <x v="0"/>
    <x v="2"/>
    <s v="Liam Garcia"/>
    <n v="240"/>
    <n v="70.44"/>
    <n v="169.56"/>
  </r>
  <r>
    <s v="OR0529"/>
    <d v="2024-07-05T00:00:00"/>
    <s v="Jul"/>
    <s v="2024"/>
    <x v="3"/>
    <s v="Kitchenware"/>
    <n v="2"/>
    <n v="15"/>
    <n v="4.2699999999999996"/>
    <s v="C0175"/>
    <s v="Aiden RoDrIGUEz"/>
    <s v="Shipped"/>
    <x v="6"/>
    <x v="3"/>
    <s v="Aiden Rodriguez"/>
    <n v="30"/>
    <n v="8.5399999999999991"/>
    <n v="21.46"/>
  </r>
  <r>
    <s v="OR0530"/>
    <d v="2024-07-05T00:00:00"/>
    <s v="Jul"/>
    <s v="2024"/>
    <x v="1"/>
    <s v="Bags"/>
    <n v="10"/>
    <n v="25"/>
    <n v="9.14"/>
    <s v="C0127"/>
    <s v="NOAH MArtiNEZ"/>
    <s v="Shipped"/>
    <x v="4"/>
    <x v="1"/>
    <s v="Noah Martinez"/>
    <n v="250"/>
    <n v="91.4"/>
    <n v="158.6"/>
  </r>
  <r>
    <s v="OR0531"/>
    <d v="2024-07-05T00:00:00"/>
    <s v="Jul"/>
    <s v="2024"/>
    <x v="2"/>
    <s v="Lighting"/>
    <n v="9"/>
    <n v="40"/>
    <n v="15.55"/>
    <s v="C0007"/>
    <s v="ava BRoWN"/>
    <s v="Delivered"/>
    <x v="4"/>
    <x v="2"/>
    <s v="Ava Brown"/>
    <n v="360"/>
    <n v="139.95000000000002"/>
    <n v="220.04999999999998"/>
  </r>
  <r>
    <s v="OR0532"/>
    <d v="2024-07-05T00:00:00"/>
    <s v="Jul"/>
    <s v="2024"/>
    <x v="2"/>
    <s v="Lighting"/>
    <n v="7"/>
    <n v="40"/>
    <n v="11.99"/>
    <s v="C0197"/>
    <s v="noah wIlliaMS"/>
    <s v="Delivered"/>
    <x v="6"/>
    <x v="2"/>
    <s v="Noah Williams"/>
    <n v="280"/>
    <n v="83.93"/>
    <n v="196.07"/>
  </r>
  <r>
    <s v="OR0533"/>
    <d v="2024-07-06T00:00:00"/>
    <s v="Jul"/>
    <s v="2024"/>
    <x v="3"/>
    <s v="Kitchenware"/>
    <n v="4"/>
    <n v="15"/>
    <n v="4.22"/>
    <s v="C0113"/>
    <s v="EVElYn smitH"/>
    <s v="Pending"/>
    <x v="2"/>
    <x v="3"/>
    <s v="Evelyn Smith"/>
    <n v="60"/>
    <n v="16.88"/>
    <n v="43.120000000000005"/>
  </r>
  <r>
    <s v="OR0534"/>
    <d v="2024-07-07T00:00:00"/>
    <s v="Jul"/>
    <s v="2024"/>
    <x v="4"/>
    <s v="Gardening"/>
    <n v="5"/>
    <n v="12"/>
    <n v="4.4800000000000004"/>
    <s v="C0187"/>
    <s v="avA rODRIgUeZ"/>
    <s v="Pending"/>
    <x v="2"/>
    <x v="4"/>
    <s v="Ava Rodriguez"/>
    <n v="60"/>
    <n v="22.400000000000002"/>
    <n v="37.599999999999994"/>
  </r>
  <r>
    <s v="OR0535"/>
    <d v="2024-07-07T00:00:00"/>
    <s v="Jul"/>
    <s v="2024"/>
    <x v="3"/>
    <s v="Kitchenware"/>
    <n v="2"/>
    <n v="15"/>
    <n v="4.96"/>
    <s v="C0025"/>
    <s v="isABeLlA garcIa"/>
    <s v="Shipped"/>
    <x v="2"/>
    <x v="3"/>
    <s v="Isabella Garcia"/>
    <n v="30"/>
    <n v="9.92"/>
    <n v="20.079999999999998"/>
  </r>
  <r>
    <s v="OR0536"/>
    <d v="2024-07-09T00:00:00"/>
    <s v="Jul"/>
    <s v="2024"/>
    <x v="1"/>
    <s v="Bags"/>
    <n v="5"/>
    <n v="25"/>
    <n v="7.6"/>
    <s v="C0158"/>
    <s v="isABElla jOneS"/>
    <s v="Delivered"/>
    <x v="1"/>
    <x v="1"/>
    <s v="Isabella Jones"/>
    <n v="125"/>
    <n v="38"/>
    <n v="87"/>
  </r>
  <r>
    <s v="OR0537"/>
    <d v="2024-07-10T00:00:00"/>
    <s v="Jul"/>
    <s v="2024"/>
    <x v="4"/>
    <s v="Gardening"/>
    <n v="5"/>
    <n v="12"/>
    <n v="3.87"/>
    <s v="C0098"/>
    <s v="IsAbElLA brOWn"/>
    <s v="Shipped"/>
    <x v="5"/>
    <x v="4"/>
    <s v="Isabella Brown"/>
    <n v="60"/>
    <n v="19.350000000000001"/>
    <n v="40.65"/>
  </r>
  <r>
    <s v="OR0538"/>
    <d v="2024-07-10T00:00:00"/>
    <s v="Jul"/>
    <s v="2024"/>
    <x v="3"/>
    <s v="Kitchenware"/>
    <n v="6"/>
    <n v="15"/>
    <n v="3.58"/>
    <s v="C0051"/>
    <s v="EvELyn MarTinez"/>
    <s v="Delivered"/>
    <x v="8"/>
    <x v="3"/>
    <s v="Evelyn Martinez"/>
    <n v="90"/>
    <n v="21.48"/>
    <n v="68.52"/>
  </r>
  <r>
    <s v="OR0539"/>
    <d v="2024-07-11T00:00:00"/>
    <s v="Jul"/>
    <s v="2024"/>
    <x v="3"/>
    <s v="Kitchenware"/>
    <n v="10"/>
    <n v="15"/>
    <n v="5.77"/>
    <s v="C0044"/>
    <s v="soPHiA DaVIs"/>
    <s v="Delivered"/>
    <x v="8"/>
    <x v="3"/>
    <s v="Sophia Davis"/>
    <n v="150"/>
    <n v="57.699999999999996"/>
    <n v="92.300000000000011"/>
  </r>
  <r>
    <s v="OR0540"/>
    <d v="2024-07-12T00:00:00"/>
    <s v="Jul"/>
    <s v="2024"/>
    <x v="2"/>
    <s v="Lighting"/>
    <n v="3"/>
    <n v="40"/>
    <n v="12.58"/>
    <s v="C0198"/>
    <s v="ELiJAH jOneS"/>
    <s v="Delivered"/>
    <x v="0"/>
    <x v="2"/>
    <s v="Elijah Jones"/>
    <n v="120"/>
    <n v="37.74"/>
    <n v="82.259999999999991"/>
  </r>
  <r>
    <s v="OR0541"/>
    <d v="2024-07-12T00:00:00"/>
    <s v="Jul"/>
    <s v="2024"/>
    <x v="3"/>
    <s v="Kitchenware"/>
    <n v="9"/>
    <n v="15"/>
    <n v="5.0599999999999996"/>
    <s v="C0037"/>
    <s v="AVa dAVIs"/>
    <s v="Pending"/>
    <x v="0"/>
    <x v="3"/>
    <s v="Ava Davis"/>
    <n v="135"/>
    <n v="45.54"/>
    <n v="89.460000000000008"/>
  </r>
  <r>
    <s v="OR0542"/>
    <d v="2024-07-12T00:00:00"/>
    <s v="Jul"/>
    <s v="2024"/>
    <x v="3"/>
    <s v="Kitchenware"/>
    <n v="9"/>
    <n v="15"/>
    <n v="4.67"/>
    <s v="C0125"/>
    <s v="lucas BrowN"/>
    <s v="Delivered"/>
    <x v="9"/>
    <x v="3"/>
    <s v="Lucas Brown"/>
    <n v="135"/>
    <n v="42.03"/>
    <n v="92.97"/>
  </r>
  <r>
    <s v="OR0543"/>
    <d v="2024-07-13T00:00:00"/>
    <s v="Jul"/>
    <s v="2024"/>
    <x v="0"/>
    <s v="Cleaning"/>
    <n v="10"/>
    <n v="10"/>
    <n v="2.2200000000000002"/>
    <s v="C0040"/>
    <s v="amELia milLer"/>
    <s v="Returned"/>
    <x v="2"/>
    <x v="0"/>
    <s v="Amelia Miller"/>
    <n v="100"/>
    <n v="22.200000000000003"/>
    <n v="77.8"/>
  </r>
  <r>
    <s v="OR0544"/>
    <d v="2024-07-14T00:00:00"/>
    <s v="Jul"/>
    <s v="2024"/>
    <x v="0"/>
    <s v="Cleaning"/>
    <n v="2"/>
    <n v="10"/>
    <n v="2.02"/>
    <s v="C0070"/>
    <s v="sOPHIa JOHNSOn"/>
    <s v="Shipped"/>
    <x v="7"/>
    <x v="0"/>
    <s v="Sophia Johnson"/>
    <n v="20"/>
    <n v="4.04"/>
    <n v="15.96"/>
  </r>
  <r>
    <s v="OR0545"/>
    <d v="2024-07-14T00:00:00"/>
    <s v="Jul"/>
    <s v="2024"/>
    <x v="4"/>
    <s v="Gardening"/>
    <n v="5"/>
    <n v="12"/>
    <n v="2.5099999999999998"/>
    <s v="C0103"/>
    <s v="lIam garCia"/>
    <s v="Delivered"/>
    <x v="6"/>
    <x v="4"/>
    <s v="Liam Garcia"/>
    <n v="60"/>
    <n v="12.549999999999999"/>
    <n v="47.45"/>
  </r>
  <r>
    <s v="OR0546"/>
    <d v="2024-07-14T00:00:00"/>
    <s v="Jul"/>
    <s v="2024"/>
    <x v="0"/>
    <s v="Cleaning"/>
    <n v="4"/>
    <n v="10"/>
    <n v="3.9"/>
    <s v="C0146"/>
    <s v="isAbeLla GARCia"/>
    <s v="Shipped"/>
    <x v="2"/>
    <x v="0"/>
    <s v="Isabella Garcia"/>
    <n v="40"/>
    <n v="15.6"/>
    <n v="24.4"/>
  </r>
  <r>
    <s v="OR0547"/>
    <d v="2024-07-14T00:00:00"/>
    <s v="Jul"/>
    <s v="2024"/>
    <x v="2"/>
    <s v="Lighting"/>
    <n v="10"/>
    <n v="40"/>
    <n v="14.94"/>
    <s v="C0118"/>
    <s v="loGAn martInEZ"/>
    <s v="Shipped"/>
    <x v="5"/>
    <x v="2"/>
    <s v="Logan Martinez"/>
    <n v="400"/>
    <n v="149.4"/>
    <n v="250.6"/>
  </r>
  <r>
    <s v="OR0548"/>
    <d v="2024-07-15T00:00:00"/>
    <s v="Jul"/>
    <s v="2024"/>
    <x v="3"/>
    <s v="Kitchenware"/>
    <n v="6"/>
    <n v="15"/>
    <n v="3.49"/>
    <s v="C0104"/>
    <s v="mAsOn roDRiguez"/>
    <s v="Pending"/>
    <x v="3"/>
    <x v="3"/>
    <s v="Mason Rodriguez"/>
    <n v="90"/>
    <n v="20.94"/>
    <n v="69.06"/>
  </r>
  <r>
    <s v="OR0549"/>
    <d v="2024-07-15T00:00:00"/>
    <s v="Jul"/>
    <s v="2024"/>
    <x v="2"/>
    <s v="Lighting"/>
    <n v="1"/>
    <n v="40"/>
    <n v="10.89"/>
    <s v="C0200"/>
    <s v="mASON JOhNSoN"/>
    <s v="Delivered"/>
    <x v="6"/>
    <x v="2"/>
    <s v="Mason Johnson"/>
    <n v="40"/>
    <n v="10.89"/>
    <n v="29.11"/>
  </r>
  <r>
    <s v="OR0550"/>
    <d v="2024-07-15T00:00:00"/>
    <s v="Jul"/>
    <s v="2024"/>
    <x v="1"/>
    <s v="Bags"/>
    <n v="3"/>
    <n v="25"/>
    <n v="6.64"/>
    <s v="C0177"/>
    <s v="MIa MaRtInez"/>
    <s v="Delivered"/>
    <x v="4"/>
    <x v="1"/>
    <s v="Mia Martinez"/>
    <n v="75"/>
    <n v="19.919999999999998"/>
    <n v="55.08"/>
  </r>
  <r>
    <s v="OR0551"/>
    <d v="2024-07-15T00:00:00"/>
    <s v="Jul"/>
    <s v="2024"/>
    <x v="1"/>
    <s v="Bags"/>
    <n v="5"/>
    <n v="25"/>
    <n v="5.76"/>
    <s v="C0131"/>
    <s v="eliJaH MarTIneZ"/>
    <s v="Delivered"/>
    <x v="4"/>
    <x v="1"/>
    <s v="Elijah Martinez"/>
    <n v="125"/>
    <n v="28.799999999999997"/>
    <n v="96.2"/>
  </r>
  <r>
    <s v="OR0552"/>
    <d v="2024-07-15T00:00:00"/>
    <s v="Jul"/>
    <s v="2024"/>
    <x v="3"/>
    <s v="Kitchenware"/>
    <n v="2"/>
    <n v="15"/>
    <n v="5.21"/>
    <s v="C0098"/>
    <s v="IsAbElLA brOWn"/>
    <s v="Delivered"/>
    <x v="1"/>
    <x v="3"/>
    <s v="Isabella Brown"/>
    <n v="30"/>
    <n v="10.42"/>
    <n v="19.579999999999998"/>
  </r>
  <r>
    <s v="OR0553"/>
    <d v="2024-07-16T00:00:00"/>
    <s v="Jul"/>
    <s v="2024"/>
    <x v="0"/>
    <s v="Cleaning"/>
    <n v="3"/>
    <n v="10"/>
    <n v="3.27"/>
    <s v="C0126"/>
    <s v="lUcas SMitH"/>
    <s v="Shipped"/>
    <x v="7"/>
    <x v="0"/>
    <s v="Lucas Smith"/>
    <n v="30"/>
    <n v="9.81"/>
    <n v="20.189999999999998"/>
  </r>
  <r>
    <s v="OR0554"/>
    <d v="2024-07-16T00:00:00"/>
    <s v="Jul"/>
    <s v="2024"/>
    <x v="3"/>
    <s v="Kitchenware"/>
    <n v="4"/>
    <n v="15"/>
    <n v="5.98"/>
    <s v="C0118"/>
    <s v="loGAn martInEZ"/>
    <s v="Delivered"/>
    <x v="4"/>
    <x v="3"/>
    <s v="Logan Martinez"/>
    <n v="60"/>
    <n v="23.92"/>
    <n v="36.08"/>
  </r>
  <r>
    <s v="OR0555"/>
    <d v="2024-07-17T00:00:00"/>
    <s v="Jul"/>
    <s v="2024"/>
    <x v="0"/>
    <s v="Cleaning"/>
    <n v="4"/>
    <n v="10"/>
    <n v="2.38"/>
    <s v="C0050"/>
    <s v="amelia JohnSON"/>
    <s v="Returned"/>
    <x v="1"/>
    <x v="0"/>
    <s v="Amelia Johnson"/>
    <n v="40"/>
    <n v="9.52"/>
    <n v="30.48"/>
  </r>
  <r>
    <s v="OR0556"/>
    <d v="2024-07-17T00:00:00"/>
    <s v="Jul"/>
    <s v="2024"/>
    <x v="3"/>
    <s v="Kitchenware"/>
    <n v="7"/>
    <n v="15"/>
    <n v="4.13"/>
    <s v="C0041"/>
    <s v="Elijah DAVis"/>
    <s v="Delivered"/>
    <x v="9"/>
    <x v="3"/>
    <s v="Elijah Davis"/>
    <n v="105"/>
    <n v="28.91"/>
    <n v="76.09"/>
  </r>
  <r>
    <s v="OR0557"/>
    <d v="2024-07-17T00:00:00"/>
    <s v="Jul"/>
    <s v="2024"/>
    <x v="1"/>
    <s v="Bags"/>
    <n v="5"/>
    <n v="25"/>
    <n v="9.35"/>
    <s v="C0193"/>
    <s v="aVA SmIth"/>
    <s v="Delivered"/>
    <x v="8"/>
    <x v="1"/>
    <s v="Ava Smith"/>
    <n v="125"/>
    <n v="46.75"/>
    <n v="78.25"/>
  </r>
  <r>
    <s v="OR0558"/>
    <d v="2024-07-17T00:00:00"/>
    <s v="Jul"/>
    <s v="2024"/>
    <x v="3"/>
    <s v="Kitchenware"/>
    <n v="8"/>
    <n v="15"/>
    <n v="3.62"/>
    <s v="C0184"/>
    <s v="IsAbELla JohNSoN"/>
    <s v="Returned"/>
    <x v="7"/>
    <x v="3"/>
    <s v="Isabella Johnson"/>
    <n v="120"/>
    <n v="28.96"/>
    <n v="91.039999999999992"/>
  </r>
  <r>
    <s v="OR0559"/>
    <d v="2024-07-18T00:00:00"/>
    <s v="Jul"/>
    <s v="2024"/>
    <x v="1"/>
    <s v="Bags"/>
    <n v="5"/>
    <n v="25"/>
    <n v="8.68"/>
    <s v="C0050"/>
    <s v="amelia JohnSON"/>
    <s v="Delivered"/>
    <x v="0"/>
    <x v="1"/>
    <s v="Amelia Johnson"/>
    <n v="125"/>
    <n v="43.4"/>
    <n v="81.599999999999994"/>
  </r>
  <r>
    <s v="OR0560"/>
    <d v="2024-07-18T00:00:00"/>
    <s v="Jul"/>
    <s v="2024"/>
    <x v="3"/>
    <s v="Kitchenware"/>
    <n v="10"/>
    <n v="15"/>
    <n v="3.4"/>
    <s v="C0015"/>
    <s v="Emma bROwN"/>
    <s v="Pending"/>
    <x v="1"/>
    <x v="3"/>
    <s v="Emma Brown"/>
    <n v="150"/>
    <n v="34"/>
    <n v="116"/>
  </r>
  <r>
    <s v="OR0561"/>
    <d v="2024-07-18T00:00:00"/>
    <s v="Jul"/>
    <s v="2024"/>
    <x v="2"/>
    <s v="Lighting"/>
    <n v="2"/>
    <n v="40"/>
    <n v="9.3000000000000007"/>
    <s v="C0165"/>
    <s v="haRper dAVIs"/>
    <s v="Delivered"/>
    <x v="9"/>
    <x v="2"/>
    <s v="Harper Davis"/>
    <n v="80"/>
    <n v="18.600000000000001"/>
    <n v="61.4"/>
  </r>
  <r>
    <s v="OR0562"/>
    <d v="2024-07-18T00:00:00"/>
    <s v="Jul"/>
    <s v="2024"/>
    <x v="3"/>
    <s v="Kitchenware"/>
    <n v="7"/>
    <n v="15"/>
    <n v="3.65"/>
    <s v="C0019"/>
    <s v="AIDeN MArtIneZ"/>
    <s v="Returned"/>
    <x v="0"/>
    <x v="3"/>
    <s v="Aiden Martinez"/>
    <n v="105"/>
    <n v="25.55"/>
    <n v="79.45"/>
  </r>
  <r>
    <s v="OR0563"/>
    <d v="2024-07-18T00:00:00"/>
    <s v="Jul"/>
    <s v="2024"/>
    <x v="2"/>
    <s v="Lighting"/>
    <n v="2"/>
    <n v="40"/>
    <n v="14.04"/>
    <s v="C0197"/>
    <s v="noah wIlliaMS"/>
    <s v="Shipped"/>
    <x v="3"/>
    <x v="2"/>
    <s v="Noah Williams"/>
    <n v="80"/>
    <n v="28.08"/>
    <n v="51.92"/>
  </r>
  <r>
    <s v="OR0564"/>
    <d v="2024-07-19T00:00:00"/>
    <s v="Jul"/>
    <s v="2024"/>
    <x v="1"/>
    <s v="Bags"/>
    <n v="2"/>
    <n v="25"/>
    <n v="9.57"/>
    <s v="C0002"/>
    <s v="SOpHia BrowN"/>
    <s v="Delivered"/>
    <x v="6"/>
    <x v="1"/>
    <s v="Sophia Brown"/>
    <n v="50"/>
    <n v="19.14"/>
    <n v="30.86"/>
  </r>
  <r>
    <s v="OR0565"/>
    <d v="2024-07-20T00:00:00"/>
    <s v="Jul"/>
    <s v="2024"/>
    <x v="2"/>
    <s v="Lighting"/>
    <n v="3"/>
    <n v="40"/>
    <n v="12.77"/>
    <s v="C0083"/>
    <s v="jAmEs bRown"/>
    <s v="Delivered"/>
    <x v="7"/>
    <x v="2"/>
    <s v="James Brown"/>
    <n v="120"/>
    <n v="38.31"/>
    <n v="81.69"/>
  </r>
  <r>
    <s v="OR0566"/>
    <d v="2024-07-21T00:00:00"/>
    <s v="Jul"/>
    <s v="2024"/>
    <x v="3"/>
    <s v="Kitchenware"/>
    <n v="8"/>
    <n v="15"/>
    <n v="4.2699999999999996"/>
    <s v="C0030"/>
    <s v="cHARLoTTe DAvIs"/>
    <s v="Shipped"/>
    <x v="5"/>
    <x v="3"/>
    <s v="Charlotte Davis"/>
    <n v="120"/>
    <n v="34.159999999999997"/>
    <n v="85.84"/>
  </r>
  <r>
    <s v="OR0567"/>
    <d v="2024-07-21T00:00:00"/>
    <s v="Jul"/>
    <s v="2024"/>
    <x v="1"/>
    <s v="Bags"/>
    <n v="4"/>
    <n v="25"/>
    <n v="8.75"/>
    <s v="C0097"/>
    <s v="OlIVIa GarCIA"/>
    <s v="Delivered"/>
    <x v="5"/>
    <x v="1"/>
    <s v="Olivia Garcia"/>
    <n v="100"/>
    <n v="35"/>
    <n v="65"/>
  </r>
  <r>
    <s v="OR0568"/>
    <d v="2024-07-21T00:00:00"/>
    <s v="Jul"/>
    <s v="2024"/>
    <x v="2"/>
    <s v="Lighting"/>
    <n v="3"/>
    <n v="40"/>
    <n v="9.3699999999999992"/>
    <s v="C0170"/>
    <s v="avA rOdRIguEZ"/>
    <s v="Delivered"/>
    <x v="0"/>
    <x v="2"/>
    <s v="Ava Rodriguez"/>
    <n v="120"/>
    <n v="28.11"/>
    <n v="91.89"/>
  </r>
  <r>
    <s v="OR0569"/>
    <d v="2024-07-22T00:00:00"/>
    <s v="Jul"/>
    <s v="2024"/>
    <x v="2"/>
    <s v="Lighting"/>
    <n v="5"/>
    <n v="40"/>
    <n v="11"/>
    <s v="C0156"/>
    <s v="cHARlottE GArciA"/>
    <s v="Delivered"/>
    <x v="7"/>
    <x v="2"/>
    <s v="Charlotte Garcia"/>
    <n v="200"/>
    <n v="55"/>
    <n v="145"/>
  </r>
  <r>
    <s v="OR0570"/>
    <d v="2024-07-22T00:00:00"/>
    <s v="Jul"/>
    <s v="2024"/>
    <x v="1"/>
    <s v="Bags"/>
    <n v="10"/>
    <n v="25"/>
    <n v="5.0999999999999996"/>
    <s v="C0085"/>
    <s v="eThan mARTIneZ"/>
    <s v="Delivered"/>
    <x v="8"/>
    <x v="1"/>
    <s v="Ethan Martinez"/>
    <n v="250"/>
    <n v="51"/>
    <n v="199"/>
  </r>
  <r>
    <s v="OR0571"/>
    <d v="2024-07-22T00:00:00"/>
    <s v="Jul"/>
    <s v="2024"/>
    <x v="2"/>
    <s v="Lighting"/>
    <n v="8"/>
    <n v="40"/>
    <n v="10.119999999999999"/>
    <s v="C0054"/>
    <s v="IsabELLA RoDRIgUEz"/>
    <s v="Delivered"/>
    <x v="9"/>
    <x v="2"/>
    <s v="Isabella Rodriguez"/>
    <n v="320"/>
    <n v="80.959999999999994"/>
    <n v="239.04000000000002"/>
  </r>
  <r>
    <s v="OR0572"/>
    <d v="2024-07-23T00:00:00"/>
    <s v="Jul"/>
    <s v="2024"/>
    <x v="3"/>
    <s v="Kitchenware"/>
    <n v="7"/>
    <n v="15"/>
    <n v="5.88"/>
    <s v="C0119"/>
    <s v="mAson ROdrigUEz"/>
    <s v="Pending"/>
    <x v="0"/>
    <x v="3"/>
    <s v="Mason Rodriguez"/>
    <n v="105"/>
    <n v="41.16"/>
    <n v="63.84"/>
  </r>
  <r>
    <s v="OR0573"/>
    <d v="2024-07-23T00:00:00"/>
    <s v="Jul"/>
    <s v="2024"/>
    <x v="0"/>
    <s v="Cleaning"/>
    <n v="1"/>
    <n v="10"/>
    <n v="2.21"/>
    <s v="C0083"/>
    <s v="jAmEs bRown"/>
    <s v="Delivered"/>
    <x v="1"/>
    <x v="0"/>
    <s v="James Brown"/>
    <n v="10"/>
    <n v="2.21"/>
    <n v="7.79"/>
  </r>
  <r>
    <s v="OR0574"/>
    <d v="2024-07-23T00:00:00"/>
    <s v="Jul"/>
    <s v="2024"/>
    <x v="2"/>
    <s v="Lighting"/>
    <n v="3"/>
    <n v="40"/>
    <n v="8.3800000000000008"/>
    <s v="C0086"/>
    <s v="OlIVER johnsOn"/>
    <s v="Delivered"/>
    <x v="4"/>
    <x v="2"/>
    <s v="Oliver Johnson"/>
    <n v="120"/>
    <n v="25.14"/>
    <n v="94.86"/>
  </r>
  <r>
    <s v="OR0575"/>
    <d v="2024-07-23T00:00:00"/>
    <s v="Jul"/>
    <s v="2024"/>
    <x v="4"/>
    <s v="Gardening"/>
    <n v="6"/>
    <n v="12"/>
    <n v="2.68"/>
    <s v="C0149"/>
    <s v="soPhiA rODriGuEZ"/>
    <s v="Delivered"/>
    <x v="0"/>
    <x v="4"/>
    <s v="Sophia Rodriguez"/>
    <n v="72"/>
    <n v="16.080000000000002"/>
    <n v="55.92"/>
  </r>
  <r>
    <s v="OR0576"/>
    <d v="2024-07-25T00:00:00"/>
    <s v="Jul"/>
    <s v="2024"/>
    <x v="1"/>
    <s v="Bags"/>
    <n v="8"/>
    <n v="25"/>
    <n v="6.6"/>
    <s v="C0187"/>
    <s v="avA rODRIgUeZ"/>
    <s v="Delivered"/>
    <x v="2"/>
    <x v="1"/>
    <s v="Ava Rodriguez"/>
    <n v="200"/>
    <n v="52.8"/>
    <n v="147.19999999999999"/>
  </r>
  <r>
    <s v="OR0577"/>
    <d v="2024-07-25T00:00:00"/>
    <s v="Jul"/>
    <s v="2024"/>
    <x v="2"/>
    <s v="Lighting"/>
    <n v="4"/>
    <n v="40"/>
    <n v="14.82"/>
    <s v="C0008"/>
    <s v="NoAh wiLLiaMs"/>
    <s v="Delivered"/>
    <x v="1"/>
    <x v="2"/>
    <s v="Noah Williams"/>
    <n v="160"/>
    <n v="59.28"/>
    <n v="100.72"/>
  </r>
  <r>
    <s v="OR0578"/>
    <d v="2024-07-25T00:00:00"/>
    <s v="Jul"/>
    <s v="2024"/>
    <x v="1"/>
    <s v="Bags"/>
    <n v="7"/>
    <n v="25"/>
    <n v="8.67"/>
    <s v="C0178"/>
    <s v="LucAS gARCia"/>
    <s v="Shipped"/>
    <x v="3"/>
    <x v="1"/>
    <s v="Lucas Garcia"/>
    <n v="175"/>
    <n v="60.69"/>
    <n v="114.31"/>
  </r>
  <r>
    <s v="OR0579"/>
    <d v="2024-07-25T00:00:00"/>
    <s v="Jul"/>
    <s v="2024"/>
    <x v="3"/>
    <s v="Kitchenware"/>
    <n v="8"/>
    <n v="15"/>
    <n v="5.97"/>
    <s v="C0147"/>
    <s v="LuCaS williAmS"/>
    <s v="Delivered"/>
    <x v="3"/>
    <x v="3"/>
    <s v="Lucas Williams"/>
    <n v="120"/>
    <n v="47.76"/>
    <n v="72.240000000000009"/>
  </r>
  <r>
    <s v="OR0580"/>
    <d v="2024-07-25T00:00:00"/>
    <s v="Jul"/>
    <s v="2024"/>
    <x v="4"/>
    <s v="Gardening"/>
    <n v="4"/>
    <n v="12"/>
    <n v="3.9"/>
    <s v="C0173"/>
    <s v="aMEliA MaRTiNez"/>
    <s v="Delivered"/>
    <x v="1"/>
    <x v="4"/>
    <s v="Amelia Martinez"/>
    <n v="48"/>
    <n v="15.6"/>
    <n v="32.4"/>
  </r>
  <r>
    <s v="OR0581"/>
    <d v="2024-07-25T00:00:00"/>
    <s v="Jul"/>
    <s v="2024"/>
    <x v="0"/>
    <s v="Cleaning"/>
    <n v="6"/>
    <n v="10"/>
    <n v="3.16"/>
    <s v="C0177"/>
    <s v="MIa MaRtInez"/>
    <s v="Delivered"/>
    <x v="4"/>
    <x v="0"/>
    <s v="Mia Martinez"/>
    <n v="60"/>
    <n v="18.96"/>
    <n v="41.04"/>
  </r>
  <r>
    <s v="OR0582"/>
    <d v="2024-07-25T00:00:00"/>
    <s v="Jul"/>
    <s v="2024"/>
    <x v="2"/>
    <s v="Lighting"/>
    <n v="3"/>
    <n v="40"/>
    <n v="11.05"/>
    <s v="C0040"/>
    <s v="amELia milLer"/>
    <s v="Shipped"/>
    <x v="7"/>
    <x v="2"/>
    <s v="Amelia Miller"/>
    <n v="120"/>
    <n v="33.150000000000006"/>
    <n v="86.85"/>
  </r>
  <r>
    <s v="OR0583"/>
    <d v="2024-07-26T00:00:00"/>
    <s v="Jul"/>
    <s v="2024"/>
    <x v="2"/>
    <s v="Lighting"/>
    <n v="5"/>
    <n v="40"/>
    <n v="12.94"/>
    <s v="C0057"/>
    <s v="EvElyn MiLLeR"/>
    <s v="Delivered"/>
    <x v="2"/>
    <x v="2"/>
    <s v="Evelyn Miller"/>
    <n v="200"/>
    <n v="64.7"/>
    <n v="135.30000000000001"/>
  </r>
  <r>
    <s v="OR0584"/>
    <d v="2024-07-26T00:00:00"/>
    <s v="Jul"/>
    <s v="2024"/>
    <x v="0"/>
    <s v="Cleaning"/>
    <n v="3"/>
    <n v="10"/>
    <n v="2.02"/>
    <s v="C0105"/>
    <s v="elIjah DavIS"/>
    <s v="Shipped"/>
    <x v="0"/>
    <x v="0"/>
    <s v="Elijah Davis"/>
    <n v="30"/>
    <n v="6.0600000000000005"/>
    <n v="23.939999999999998"/>
  </r>
  <r>
    <s v="OR0585"/>
    <d v="2024-07-27T00:00:00"/>
    <s v="Jul"/>
    <s v="2024"/>
    <x v="2"/>
    <s v="Lighting"/>
    <n v="6"/>
    <n v="40"/>
    <n v="13.06"/>
    <s v="C0087"/>
    <s v="emmA DaviS"/>
    <s v="Delivered"/>
    <x v="2"/>
    <x v="2"/>
    <s v="Emma Davis"/>
    <n v="240"/>
    <n v="78.36"/>
    <n v="161.63999999999999"/>
  </r>
  <r>
    <s v="OR0586"/>
    <d v="2024-07-27T00:00:00"/>
    <s v="Jul"/>
    <s v="2024"/>
    <x v="1"/>
    <s v="Bags"/>
    <n v="3"/>
    <n v="25"/>
    <n v="5.33"/>
    <s v="C0048"/>
    <s v="ELIJah bROwn"/>
    <s v="Delivered"/>
    <x v="3"/>
    <x v="1"/>
    <s v="Elijah Brown"/>
    <n v="75"/>
    <n v="15.99"/>
    <n v="59.01"/>
  </r>
  <r>
    <s v="OR0587"/>
    <d v="2024-07-27T00:00:00"/>
    <s v="Jul"/>
    <s v="2024"/>
    <x v="3"/>
    <s v="Kitchenware"/>
    <n v="6"/>
    <n v="15"/>
    <n v="5.32"/>
    <s v="C0146"/>
    <s v="isAbeLla GARCia"/>
    <s v="Delivered"/>
    <x v="2"/>
    <x v="3"/>
    <s v="Isabella Garcia"/>
    <n v="90"/>
    <n v="31.92"/>
    <n v="58.08"/>
  </r>
  <r>
    <s v="OR0588"/>
    <d v="2024-07-28T00:00:00"/>
    <s v="Jul"/>
    <s v="2024"/>
    <x v="1"/>
    <s v="Bags"/>
    <n v="8"/>
    <n v="25"/>
    <n v="7.98"/>
    <s v="C0150"/>
    <s v="NOAh roDrigUEz"/>
    <s v="Delivered"/>
    <x v="0"/>
    <x v="1"/>
    <s v="Noah Rodriguez"/>
    <n v="200"/>
    <n v="63.84"/>
    <n v="136.16"/>
  </r>
  <r>
    <s v="OR0589"/>
    <d v="2024-07-30T00:00:00"/>
    <s v="Jul"/>
    <s v="2024"/>
    <x v="3"/>
    <s v="Kitchenware"/>
    <n v="9"/>
    <n v="15"/>
    <n v="5.59"/>
    <s v="C0140"/>
    <s v="AIdeN SMiTh"/>
    <s v="Delivered"/>
    <x v="4"/>
    <x v="3"/>
    <s v="Aiden Smith"/>
    <n v="135"/>
    <n v="50.31"/>
    <n v="84.69"/>
  </r>
  <r>
    <s v="OR0590"/>
    <d v="2024-07-30T00:00:00"/>
    <s v="Jul"/>
    <s v="2024"/>
    <x v="2"/>
    <s v="Lighting"/>
    <n v="10"/>
    <n v="40"/>
    <n v="15.91"/>
    <s v="C0128"/>
    <s v="jamEs wILLIAmS"/>
    <s v="Delivered"/>
    <x v="6"/>
    <x v="2"/>
    <s v="James Williams"/>
    <n v="400"/>
    <n v="159.1"/>
    <n v="240.9"/>
  </r>
  <r>
    <s v="OR0591"/>
    <d v="2024-07-31T00:00:00"/>
    <s v="Jul"/>
    <s v="2024"/>
    <x v="3"/>
    <s v="Kitchenware"/>
    <n v="9"/>
    <n v="15"/>
    <n v="5.14"/>
    <s v="C0142"/>
    <s v="haRpeR GArCiA"/>
    <s v="Delivered"/>
    <x v="3"/>
    <x v="3"/>
    <s v="Harper Garcia"/>
    <n v="135"/>
    <n v="46.26"/>
    <n v="88.740000000000009"/>
  </r>
  <r>
    <s v="OR0592"/>
    <d v="2024-08-01T00:00:00"/>
    <s v="Aug"/>
    <s v="2024"/>
    <x v="1"/>
    <s v="Bags"/>
    <n v="2"/>
    <n v="25"/>
    <n v="8.4"/>
    <s v="C0038"/>
    <s v="Noah MARtINez"/>
    <s v="Delivered"/>
    <x v="4"/>
    <x v="1"/>
    <s v="Noah Martinez"/>
    <n v="50"/>
    <n v="16.8"/>
    <n v="33.200000000000003"/>
  </r>
  <r>
    <s v="OR0593"/>
    <d v="2024-08-01T00:00:00"/>
    <s v="Aug"/>
    <s v="2024"/>
    <x v="3"/>
    <s v="Kitchenware"/>
    <n v="2"/>
    <n v="15"/>
    <n v="4.3099999999999996"/>
    <s v="C0062"/>
    <s v="emma dAviS"/>
    <s v="Returned"/>
    <x v="2"/>
    <x v="3"/>
    <s v="Emma Davis"/>
    <n v="30"/>
    <n v="8.6199999999999992"/>
    <n v="21.380000000000003"/>
  </r>
  <r>
    <s v="OR0594"/>
    <d v="2024-08-01T00:00:00"/>
    <s v="Aug"/>
    <s v="2024"/>
    <x v="2"/>
    <s v="Lighting"/>
    <n v="9"/>
    <n v="40"/>
    <n v="11.09"/>
    <s v="C0149"/>
    <s v="soPhiA rODriGuEZ"/>
    <s v="Delivered"/>
    <x v="2"/>
    <x v="2"/>
    <s v="Sophia Rodriguez"/>
    <n v="360"/>
    <n v="99.81"/>
    <n v="260.19"/>
  </r>
  <r>
    <s v="OR0595"/>
    <d v="2024-08-03T00:00:00"/>
    <s v="Aug"/>
    <s v="2024"/>
    <x v="4"/>
    <s v="Gardening"/>
    <n v="2"/>
    <n v="12"/>
    <n v="3.35"/>
    <s v="C0025"/>
    <s v="isABeLlA garcIa"/>
    <s v="Pending"/>
    <x v="8"/>
    <x v="4"/>
    <s v="Isabella Garcia"/>
    <n v="24"/>
    <n v="6.7"/>
    <n v="17.3"/>
  </r>
  <r>
    <s v="OR0596"/>
    <d v="2024-08-04T00:00:00"/>
    <s v="Aug"/>
    <s v="2024"/>
    <x v="4"/>
    <s v="Gardening"/>
    <n v="9"/>
    <n v="12"/>
    <n v="4.04"/>
    <s v="C0014"/>
    <s v="CHARlOtTe GArCIA"/>
    <s v="Shipped"/>
    <x v="9"/>
    <x v="4"/>
    <s v="Charlotte Garcia"/>
    <n v="108"/>
    <n v="36.36"/>
    <n v="71.64"/>
  </r>
  <r>
    <s v="OR0597"/>
    <d v="2024-08-04T00:00:00"/>
    <s v="Aug"/>
    <s v="2024"/>
    <x v="1"/>
    <s v="Bags"/>
    <n v="2"/>
    <n v="25"/>
    <n v="7.09"/>
    <s v="C0107"/>
    <s v="MAson DAVIs"/>
    <s v="Delivered"/>
    <x v="4"/>
    <x v="1"/>
    <s v="Mason Davis"/>
    <n v="50"/>
    <n v="14.18"/>
    <n v="35.82"/>
  </r>
  <r>
    <s v="OR0598"/>
    <d v="2024-08-04T00:00:00"/>
    <s v="Aug"/>
    <s v="2024"/>
    <x v="1"/>
    <s v="Bags"/>
    <n v="7"/>
    <n v="25"/>
    <n v="5.54"/>
    <s v="C0020"/>
    <s v="JAmES joNeS"/>
    <s v="Delivered"/>
    <x v="7"/>
    <x v="1"/>
    <s v="James Jones"/>
    <n v="175"/>
    <n v="38.78"/>
    <n v="136.22"/>
  </r>
  <r>
    <s v="OR0599"/>
    <d v="2024-08-04T00:00:00"/>
    <s v="Aug"/>
    <s v="2024"/>
    <x v="2"/>
    <s v="Lighting"/>
    <n v="5"/>
    <n v="40"/>
    <n v="8.2799999999999994"/>
    <s v="C0015"/>
    <s v="Emma bROwN"/>
    <s v="Shipped"/>
    <x v="7"/>
    <x v="2"/>
    <s v="Emma Brown"/>
    <n v="200"/>
    <n v="41.4"/>
    <n v="158.6"/>
  </r>
  <r>
    <s v="OR0600"/>
    <d v="2024-08-05T00:00:00"/>
    <s v="Aug"/>
    <s v="2024"/>
    <x v="1"/>
    <s v="Bags"/>
    <n v="8"/>
    <n v="25"/>
    <n v="9.98"/>
    <s v="C0181"/>
    <s v="OlIvIA GARcia"/>
    <s v="Shipped"/>
    <x v="9"/>
    <x v="1"/>
    <s v="Olivia Garcia"/>
    <n v="200"/>
    <n v="79.84"/>
    <n v="120.16"/>
  </r>
  <r>
    <s v="OR0601"/>
    <d v="2024-08-05T00:00:00"/>
    <s v="Aug"/>
    <s v="2024"/>
    <x v="3"/>
    <s v="Kitchenware"/>
    <n v="3"/>
    <n v="15"/>
    <n v="3.84"/>
    <s v="C0048"/>
    <s v="ELIJah bROwn"/>
    <s v="Shipped"/>
    <x v="6"/>
    <x v="3"/>
    <s v="Elijah Brown"/>
    <n v="45"/>
    <n v="11.52"/>
    <n v="33.480000000000004"/>
  </r>
  <r>
    <s v="OR0602"/>
    <d v="2024-08-05T00:00:00"/>
    <s v="Aug"/>
    <s v="2024"/>
    <x v="3"/>
    <s v="Kitchenware"/>
    <n v="1"/>
    <n v="15"/>
    <n v="4.22"/>
    <s v="C0135"/>
    <s v="HArPeR DavIs"/>
    <s v="Delivered"/>
    <x v="6"/>
    <x v="3"/>
    <s v="Harper Davis"/>
    <n v="15"/>
    <n v="4.22"/>
    <n v="10.780000000000001"/>
  </r>
  <r>
    <s v="OR0603"/>
    <d v="2024-08-05T00:00:00"/>
    <s v="Aug"/>
    <s v="2024"/>
    <x v="4"/>
    <s v="Gardening"/>
    <n v="6"/>
    <n v="12"/>
    <n v="3.28"/>
    <s v="C0111"/>
    <s v="emMA dAVIs"/>
    <s v="Delivered"/>
    <x v="7"/>
    <x v="4"/>
    <s v="Emma Davis"/>
    <n v="72"/>
    <n v="19.68"/>
    <n v="52.32"/>
  </r>
  <r>
    <s v="OR0604"/>
    <d v="2024-08-06T00:00:00"/>
    <s v="Aug"/>
    <s v="2024"/>
    <x v="3"/>
    <s v="Kitchenware"/>
    <n v="1"/>
    <n v="15"/>
    <n v="3.96"/>
    <s v="C0074"/>
    <s v="EMMa garcIA"/>
    <s v="Delivered"/>
    <x v="1"/>
    <x v="3"/>
    <s v="Emma Garcia"/>
    <n v="15"/>
    <n v="3.96"/>
    <n v="11.04"/>
  </r>
  <r>
    <s v="OR0605"/>
    <d v="2024-08-06T00:00:00"/>
    <s v="Aug"/>
    <s v="2024"/>
    <x v="2"/>
    <s v="Lighting"/>
    <n v="10"/>
    <n v="40"/>
    <n v="12.88"/>
    <s v="C0049"/>
    <s v="AmElIA jOHNSon"/>
    <s v="Delivered"/>
    <x v="4"/>
    <x v="2"/>
    <s v="Amelia Johnson"/>
    <n v="400"/>
    <n v="128.80000000000001"/>
    <n v="271.2"/>
  </r>
  <r>
    <s v="OR0606"/>
    <d v="2024-08-06T00:00:00"/>
    <s v="Aug"/>
    <s v="2024"/>
    <x v="4"/>
    <s v="Gardening"/>
    <n v="9"/>
    <n v="12"/>
    <n v="4.04"/>
    <s v="C0184"/>
    <s v="IsAbELla JohNSoN"/>
    <s v="Delivered"/>
    <x v="6"/>
    <x v="4"/>
    <s v="Isabella Johnson"/>
    <n v="108"/>
    <n v="36.36"/>
    <n v="71.64"/>
  </r>
  <r>
    <s v="OR0607"/>
    <d v="2024-08-06T00:00:00"/>
    <s v="Aug"/>
    <s v="2024"/>
    <x v="4"/>
    <s v="Gardening"/>
    <n v="3"/>
    <n v="12"/>
    <n v="2.83"/>
    <s v="C0106"/>
    <s v="aVA MartINez"/>
    <s v="Returned"/>
    <x v="1"/>
    <x v="4"/>
    <s v="Ava Martinez"/>
    <n v="36"/>
    <n v="8.49"/>
    <n v="27.509999999999998"/>
  </r>
  <r>
    <s v="OR0608"/>
    <d v="2024-08-06T00:00:00"/>
    <s v="Aug"/>
    <s v="2024"/>
    <x v="1"/>
    <s v="Bags"/>
    <n v="9"/>
    <n v="25"/>
    <n v="9.89"/>
    <s v="C0139"/>
    <s v="AmELIa GARCIa"/>
    <s v="Delivered"/>
    <x v="8"/>
    <x v="1"/>
    <s v="Amelia Garcia"/>
    <n v="225"/>
    <n v="89.01"/>
    <n v="135.99"/>
  </r>
  <r>
    <s v="OR0609"/>
    <d v="2024-08-06T00:00:00"/>
    <s v="Aug"/>
    <s v="2024"/>
    <x v="0"/>
    <s v="Cleaning"/>
    <n v="6"/>
    <n v="10"/>
    <n v="3.93"/>
    <s v="C0047"/>
    <s v="oLiver jOHNSoN"/>
    <s v="Shipped"/>
    <x v="4"/>
    <x v="0"/>
    <s v="Oliver Johnson"/>
    <n v="60"/>
    <n v="23.580000000000002"/>
    <n v="36.42"/>
  </r>
  <r>
    <s v="OR0610"/>
    <d v="2024-08-07T00:00:00"/>
    <s v="Aug"/>
    <s v="2024"/>
    <x v="0"/>
    <s v="Cleaning"/>
    <n v="5"/>
    <n v="10"/>
    <n v="3.41"/>
    <s v="C0047"/>
    <s v="oLiver jOHNSoN"/>
    <s v="Shipped"/>
    <x v="5"/>
    <x v="0"/>
    <s v="Oliver Johnson"/>
    <n v="50"/>
    <n v="17.05"/>
    <n v="32.950000000000003"/>
  </r>
  <r>
    <s v="OR0611"/>
    <d v="2024-08-08T00:00:00"/>
    <s v="Aug"/>
    <s v="2024"/>
    <x v="3"/>
    <s v="Kitchenware"/>
    <n v="10"/>
    <n v="15"/>
    <n v="5.3"/>
    <s v="C0073"/>
    <s v="HarPEr bRowN"/>
    <s v="Delivered"/>
    <x v="9"/>
    <x v="3"/>
    <s v="Harper Brown"/>
    <n v="150"/>
    <n v="53"/>
    <n v="97"/>
  </r>
  <r>
    <s v="OR0612"/>
    <d v="2024-08-08T00:00:00"/>
    <s v="Aug"/>
    <s v="2024"/>
    <x v="4"/>
    <s v="Gardening"/>
    <n v="10"/>
    <n v="12"/>
    <n v="3.43"/>
    <s v="C0066"/>
    <s v="JaMeS garcIA"/>
    <s v="Delivered"/>
    <x v="7"/>
    <x v="4"/>
    <s v="James Garcia"/>
    <n v="120"/>
    <n v="34.300000000000004"/>
    <n v="85.699999999999989"/>
  </r>
  <r>
    <s v="OR0613"/>
    <d v="2024-08-08T00:00:00"/>
    <s v="Aug"/>
    <s v="2024"/>
    <x v="4"/>
    <s v="Gardening"/>
    <n v="4"/>
    <n v="12"/>
    <n v="4.12"/>
    <s v="C0043"/>
    <s v="logan roDRIgUEZ"/>
    <s v="Returned"/>
    <x v="8"/>
    <x v="4"/>
    <s v="Logan Rodriguez"/>
    <n v="48"/>
    <n v="16.48"/>
    <n v="31.52"/>
  </r>
  <r>
    <s v="OR0614"/>
    <d v="2024-08-08T00:00:00"/>
    <s v="Aug"/>
    <s v="2024"/>
    <x v="3"/>
    <s v="Kitchenware"/>
    <n v="8"/>
    <n v="15"/>
    <n v="4.28"/>
    <s v="C0091"/>
    <s v="aIDen WIlliAMs"/>
    <s v="Delivered"/>
    <x v="6"/>
    <x v="3"/>
    <s v="Aiden Williams"/>
    <n v="120"/>
    <n v="34.24"/>
    <n v="85.759999999999991"/>
  </r>
  <r>
    <s v="OR0615"/>
    <d v="2024-08-09T00:00:00"/>
    <s v="Aug"/>
    <s v="2024"/>
    <x v="2"/>
    <s v="Lighting"/>
    <n v="1"/>
    <n v="40"/>
    <n v="14.6"/>
    <s v="C0032"/>
    <s v="olIVER JONes"/>
    <s v="Pending"/>
    <x v="6"/>
    <x v="2"/>
    <s v="Oliver Jones"/>
    <n v="40"/>
    <n v="14.6"/>
    <n v="25.4"/>
  </r>
  <r>
    <s v="OR0616"/>
    <d v="2024-08-09T00:00:00"/>
    <s v="Aug"/>
    <s v="2024"/>
    <x v="4"/>
    <s v="Gardening"/>
    <n v="1"/>
    <n v="12"/>
    <n v="3.32"/>
    <s v="C0170"/>
    <s v="avA rOdRIguEZ"/>
    <s v="Shipped"/>
    <x v="1"/>
    <x v="4"/>
    <s v="Ava Rodriguez"/>
    <n v="12"/>
    <n v="3.32"/>
    <n v="8.68"/>
  </r>
  <r>
    <s v="OR0617"/>
    <d v="2024-08-09T00:00:00"/>
    <s v="Aug"/>
    <s v="2024"/>
    <x v="4"/>
    <s v="Gardening"/>
    <n v="8"/>
    <n v="12"/>
    <n v="2.92"/>
    <s v="C0067"/>
    <s v="lOGan SMITh"/>
    <s v="Shipped"/>
    <x v="0"/>
    <x v="4"/>
    <s v="Logan Smith"/>
    <n v="96"/>
    <n v="23.36"/>
    <n v="72.64"/>
  </r>
  <r>
    <s v="OR0618"/>
    <d v="2024-08-10T00:00:00"/>
    <s v="Aug"/>
    <s v="2024"/>
    <x v="0"/>
    <s v="Cleaning"/>
    <n v="6"/>
    <n v="10"/>
    <n v="2.2000000000000002"/>
    <s v="C0141"/>
    <s v="eVeLYn mARtiNez"/>
    <s v="Delivered"/>
    <x v="2"/>
    <x v="0"/>
    <s v="Evelyn Martinez"/>
    <n v="60"/>
    <n v="13.200000000000001"/>
    <n v="46.8"/>
  </r>
  <r>
    <s v="OR0619"/>
    <d v="2024-08-11T00:00:00"/>
    <s v="Aug"/>
    <s v="2024"/>
    <x v="2"/>
    <s v="Lighting"/>
    <n v="5"/>
    <n v="40"/>
    <n v="11.64"/>
    <s v="C0116"/>
    <s v="liAM jONes"/>
    <s v="Shipped"/>
    <x v="1"/>
    <x v="2"/>
    <s v="Liam Jones"/>
    <n v="200"/>
    <n v="58.2"/>
    <n v="141.80000000000001"/>
  </r>
  <r>
    <s v="OR0620"/>
    <d v="2024-08-11T00:00:00"/>
    <s v="Aug"/>
    <s v="2024"/>
    <x v="0"/>
    <s v="Cleaning"/>
    <n v="3"/>
    <n v="10"/>
    <n v="2.54"/>
    <s v="C0165"/>
    <s v="haRper dAVIs"/>
    <s v="Delivered"/>
    <x v="3"/>
    <x v="0"/>
    <s v="Harper Davis"/>
    <n v="30"/>
    <n v="7.62"/>
    <n v="22.38"/>
  </r>
  <r>
    <s v="OR0621"/>
    <d v="2024-08-12T00:00:00"/>
    <s v="Aug"/>
    <s v="2024"/>
    <x v="1"/>
    <s v="Bags"/>
    <n v="5"/>
    <n v="25"/>
    <n v="9.66"/>
    <s v="C0036"/>
    <s v="iSaBElLA MILLER"/>
    <s v="Shipped"/>
    <x v="4"/>
    <x v="1"/>
    <s v="Isabella Miller"/>
    <n v="125"/>
    <n v="48.3"/>
    <n v="76.7"/>
  </r>
  <r>
    <s v="OR0622"/>
    <d v="2024-08-12T00:00:00"/>
    <s v="Aug"/>
    <s v="2024"/>
    <x v="3"/>
    <s v="Kitchenware"/>
    <n v="1"/>
    <n v="15"/>
    <n v="4.66"/>
    <s v="C0156"/>
    <s v="cHARlottE GArciA"/>
    <s v="Delivered"/>
    <x v="8"/>
    <x v="3"/>
    <s v="Charlotte Garcia"/>
    <n v="15"/>
    <n v="4.66"/>
    <n v="10.34"/>
  </r>
  <r>
    <s v="OR0623"/>
    <d v="2024-08-13T00:00:00"/>
    <s v="Aug"/>
    <s v="2024"/>
    <x v="4"/>
    <s v="Gardening"/>
    <n v="10"/>
    <n v="12"/>
    <n v="3.4"/>
    <s v="C0044"/>
    <s v="soPHiA DaVIs"/>
    <s v="Delivered"/>
    <x v="6"/>
    <x v="4"/>
    <s v="Sophia Davis"/>
    <n v="120"/>
    <n v="34"/>
    <n v="86"/>
  </r>
  <r>
    <s v="OR0624"/>
    <d v="2024-08-13T00:00:00"/>
    <s v="Aug"/>
    <s v="2024"/>
    <x v="2"/>
    <s v="Lighting"/>
    <n v="9"/>
    <n v="40"/>
    <n v="10.210000000000001"/>
    <s v="C0147"/>
    <s v="LuCaS williAmS"/>
    <s v="Delivered"/>
    <x v="3"/>
    <x v="2"/>
    <s v="Lucas Williams"/>
    <n v="360"/>
    <n v="91.890000000000015"/>
    <n v="268.11"/>
  </r>
  <r>
    <s v="OR0625"/>
    <d v="2024-08-13T00:00:00"/>
    <s v="Aug"/>
    <s v="2024"/>
    <x v="1"/>
    <s v="Bags"/>
    <n v="3"/>
    <n v="25"/>
    <n v="8.93"/>
    <s v="C0061"/>
    <s v="AiDEn miLleR"/>
    <s v="Shipped"/>
    <x v="6"/>
    <x v="1"/>
    <s v="Aiden Miller"/>
    <n v="75"/>
    <n v="26.79"/>
    <n v="48.21"/>
  </r>
  <r>
    <s v="OR0626"/>
    <d v="2024-08-13T00:00:00"/>
    <s v="Aug"/>
    <s v="2024"/>
    <x v="4"/>
    <s v="Gardening"/>
    <n v="3"/>
    <n v="12"/>
    <n v="2.89"/>
    <s v="C0056"/>
    <s v="olIvia jonES"/>
    <s v="Pending"/>
    <x v="2"/>
    <x v="4"/>
    <s v="Olivia Jones"/>
    <n v="36"/>
    <n v="8.67"/>
    <n v="27.33"/>
  </r>
  <r>
    <s v="OR0627"/>
    <d v="2024-08-13T00:00:00"/>
    <s v="Aug"/>
    <s v="2024"/>
    <x v="4"/>
    <s v="Gardening"/>
    <n v="9"/>
    <n v="12"/>
    <n v="3.61"/>
    <s v="C0170"/>
    <s v="avA rOdRIguEZ"/>
    <s v="Delivered"/>
    <x v="6"/>
    <x v="4"/>
    <s v="Ava Rodriguez"/>
    <n v="108"/>
    <n v="32.49"/>
    <n v="75.509999999999991"/>
  </r>
  <r>
    <s v="OR0628"/>
    <d v="2024-08-14T00:00:00"/>
    <s v="Aug"/>
    <s v="2024"/>
    <x v="2"/>
    <s v="Lighting"/>
    <n v="3"/>
    <n v="40"/>
    <n v="10.51"/>
    <s v="C0070"/>
    <s v="sOPHIa JOHNSOn"/>
    <s v="Delivered"/>
    <x v="6"/>
    <x v="2"/>
    <s v="Sophia Johnson"/>
    <n v="120"/>
    <n v="31.53"/>
    <n v="88.47"/>
  </r>
  <r>
    <s v="OR0629"/>
    <d v="2024-08-14T00:00:00"/>
    <s v="Aug"/>
    <s v="2024"/>
    <x v="0"/>
    <s v="Cleaning"/>
    <n v="4"/>
    <n v="10"/>
    <n v="3.97"/>
    <s v="C0109"/>
    <s v="amEliA jOHNSOn"/>
    <s v="Delivered"/>
    <x v="5"/>
    <x v="0"/>
    <s v="Amelia Johnson"/>
    <n v="40"/>
    <n v="15.88"/>
    <n v="24.119999999999997"/>
  </r>
  <r>
    <s v="OR0630"/>
    <d v="2024-08-15T00:00:00"/>
    <s v="Aug"/>
    <s v="2024"/>
    <x v="3"/>
    <s v="Kitchenware"/>
    <n v="3"/>
    <n v="15"/>
    <n v="4.7699999999999996"/>
    <s v="C0149"/>
    <s v="soPhiA rODriGuEZ"/>
    <s v="Delivered"/>
    <x v="1"/>
    <x v="3"/>
    <s v="Sophia Rodriguez"/>
    <n v="45"/>
    <n v="14.309999999999999"/>
    <n v="30.69"/>
  </r>
  <r>
    <s v="OR0631"/>
    <d v="2024-08-15T00:00:00"/>
    <s v="Aug"/>
    <s v="2024"/>
    <x v="3"/>
    <s v="Kitchenware"/>
    <n v="4"/>
    <n v="15"/>
    <n v="4.16"/>
    <s v="C0005"/>
    <s v="eLiJAH garCiA"/>
    <s v="Shipped"/>
    <x v="7"/>
    <x v="3"/>
    <s v="Elijah Garcia"/>
    <n v="60"/>
    <n v="16.64"/>
    <n v="43.36"/>
  </r>
  <r>
    <s v="OR0632"/>
    <d v="2024-08-16T00:00:00"/>
    <s v="Aug"/>
    <s v="2024"/>
    <x v="3"/>
    <s v="Kitchenware"/>
    <n v="6"/>
    <n v="15"/>
    <n v="3.31"/>
    <s v="C0088"/>
    <s v="lIAm GaRciA"/>
    <s v="Shipped"/>
    <x v="4"/>
    <x v="3"/>
    <s v="Liam Garcia"/>
    <n v="90"/>
    <n v="19.86"/>
    <n v="70.14"/>
  </r>
  <r>
    <s v="OR0633"/>
    <d v="2024-08-17T00:00:00"/>
    <s v="Aug"/>
    <s v="2024"/>
    <x v="3"/>
    <s v="Kitchenware"/>
    <n v="9"/>
    <n v="15"/>
    <n v="3.56"/>
    <s v="C0004"/>
    <s v="AIDEn GArcia"/>
    <s v="Delivered"/>
    <x v="2"/>
    <x v="3"/>
    <s v="Aiden Garcia"/>
    <n v="135"/>
    <n v="32.04"/>
    <n v="102.96000000000001"/>
  </r>
  <r>
    <s v="OR0634"/>
    <d v="2024-08-17T00:00:00"/>
    <s v="Aug"/>
    <s v="2024"/>
    <x v="0"/>
    <s v="Cleaning"/>
    <n v="7"/>
    <n v="10"/>
    <n v="2.65"/>
    <s v="C0198"/>
    <s v="ELiJAH jOneS"/>
    <s v="Delivered"/>
    <x v="4"/>
    <x v="0"/>
    <s v="Elijah Jones"/>
    <n v="70"/>
    <n v="18.55"/>
    <n v="51.45"/>
  </r>
  <r>
    <s v="OR0635"/>
    <d v="2024-08-17T00:00:00"/>
    <s v="Aug"/>
    <s v="2024"/>
    <x v="1"/>
    <s v="Bags"/>
    <n v="1"/>
    <n v="25"/>
    <n v="7.24"/>
    <s v="C0086"/>
    <s v="OlIVER johnsOn"/>
    <s v="Delivered"/>
    <x v="7"/>
    <x v="1"/>
    <s v="Oliver Johnson"/>
    <n v="25"/>
    <n v="7.24"/>
    <n v="17.759999999999998"/>
  </r>
  <r>
    <s v="OR0636"/>
    <d v="2024-08-17T00:00:00"/>
    <s v="Aug"/>
    <s v="2024"/>
    <x v="1"/>
    <s v="Bags"/>
    <n v="10"/>
    <n v="25"/>
    <n v="7.06"/>
    <s v="C0021"/>
    <s v="isABelLA RoDriGUEZ"/>
    <s v="Shipped"/>
    <x v="8"/>
    <x v="1"/>
    <s v="Isabella Rodriguez"/>
    <n v="250"/>
    <n v="70.599999999999994"/>
    <n v="179.4"/>
  </r>
  <r>
    <s v="OR0637"/>
    <d v="2024-08-18T00:00:00"/>
    <s v="Aug"/>
    <s v="2024"/>
    <x v="1"/>
    <s v="Bags"/>
    <n v="8"/>
    <n v="25"/>
    <n v="7.93"/>
    <s v="C0096"/>
    <s v="EthAn joHnSoN"/>
    <s v="Delivered"/>
    <x v="1"/>
    <x v="1"/>
    <s v="Ethan Johnson"/>
    <n v="200"/>
    <n v="63.44"/>
    <n v="136.56"/>
  </r>
  <r>
    <s v="OR0638"/>
    <d v="2024-08-18T00:00:00"/>
    <s v="Aug"/>
    <s v="2024"/>
    <x v="4"/>
    <s v="Gardening"/>
    <n v="5"/>
    <n v="12"/>
    <n v="3.24"/>
    <s v="C0099"/>
    <s v="AIDen rOdRIgUEz"/>
    <s v="Delivered"/>
    <x v="4"/>
    <x v="4"/>
    <s v="Aiden Rodriguez"/>
    <n v="60"/>
    <n v="16.200000000000003"/>
    <n v="43.8"/>
  </r>
  <r>
    <s v="OR0639"/>
    <d v="2024-08-18T00:00:00"/>
    <s v="Aug"/>
    <s v="2024"/>
    <x v="4"/>
    <s v="Gardening"/>
    <n v="3"/>
    <n v="12"/>
    <n v="2.42"/>
    <s v="C0011"/>
    <s v="jaMEs wilLIAMs"/>
    <s v="Pending"/>
    <x v="6"/>
    <x v="4"/>
    <s v="James Williams"/>
    <n v="36"/>
    <n v="7.26"/>
    <n v="28.740000000000002"/>
  </r>
  <r>
    <s v="OR0640"/>
    <d v="2024-08-18T00:00:00"/>
    <s v="Aug"/>
    <s v="2024"/>
    <x v="2"/>
    <s v="Lighting"/>
    <n v="4"/>
    <n v="40"/>
    <n v="11.94"/>
    <s v="C0131"/>
    <s v="eliJaH MarTIneZ"/>
    <s v="Returned"/>
    <x v="8"/>
    <x v="2"/>
    <s v="Elijah Martinez"/>
    <n v="160"/>
    <n v="47.76"/>
    <n v="112.24000000000001"/>
  </r>
  <r>
    <s v="OR0641"/>
    <d v="2024-08-18T00:00:00"/>
    <s v="Aug"/>
    <s v="2024"/>
    <x v="2"/>
    <s v="Lighting"/>
    <n v="5"/>
    <n v="40"/>
    <n v="10.23"/>
    <s v="C0172"/>
    <s v="loGAN mIlLeR"/>
    <s v="Returned"/>
    <x v="6"/>
    <x v="2"/>
    <s v="Logan Miller"/>
    <n v="200"/>
    <n v="51.150000000000006"/>
    <n v="148.85"/>
  </r>
  <r>
    <s v="OR0642"/>
    <d v="2024-08-19T00:00:00"/>
    <s v="Aug"/>
    <s v="2024"/>
    <x v="4"/>
    <s v="Gardening"/>
    <n v="7"/>
    <n v="12"/>
    <n v="4.46"/>
    <s v="C0148"/>
    <s v="aVA RODrIGUEZ"/>
    <s v="Delivered"/>
    <x v="0"/>
    <x v="4"/>
    <s v="Ava Rodriguez"/>
    <n v="84"/>
    <n v="31.22"/>
    <n v="52.78"/>
  </r>
  <r>
    <s v="OR0643"/>
    <d v="2024-08-19T00:00:00"/>
    <s v="Aug"/>
    <s v="2024"/>
    <x v="4"/>
    <s v="Gardening"/>
    <n v="6"/>
    <n v="12"/>
    <n v="4.7300000000000004"/>
    <s v="C0159"/>
    <s v="LoGAn martineZ"/>
    <s v="Shipped"/>
    <x v="7"/>
    <x v="4"/>
    <s v="Logan Martinez"/>
    <n v="72"/>
    <n v="28.380000000000003"/>
    <n v="43.62"/>
  </r>
  <r>
    <s v="OR0644"/>
    <d v="2024-08-19T00:00:00"/>
    <s v="Aug"/>
    <s v="2024"/>
    <x v="3"/>
    <s v="Kitchenware"/>
    <n v="6"/>
    <n v="15"/>
    <n v="3.74"/>
    <s v="C0045"/>
    <s v="lIaM smith"/>
    <s v="Pending"/>
    <x v="5"/>
    <x v="3"/>
    <s v="Liam Smith"/>
    <n v="90"/>
    <n v="22.44"/>
    <n v="67.56"/>
  </r>
  <r>
    <s v="OR0645"/>
    <d v="2024-08-19T00:00:00"/>
    <s v="Aug"/>
    <s v="2024"/>
    <x v="1"/>
    <s v="Bags"/>
    <n v="10"/>
    <n v="25"/>
    <n v="6.58"/>
    <s v="C0035"/>
    <s v="EVeLyN marTinez"/>
    <s v="Shipped"/>
    <x v="2"/>
    <x v="1"/>
    <s v="Evelyn Martinez"/>
    <n v="250"/>
    <n v="65.8"/>
    <n v="184.2"/>
  </r>
  <r>
    <s v="OR0646"/>
    <d v="2024-08-20T00:00:00"/>
    <s v="Aug"/>
    <s v="2024"/>
    <x v="3"/>
    <s v="Kitchenware"/>
    <n v="2"/>
    <n v="15"/>
    <n v="5.88"/>
    <s v="C0001"/>
    <s v="nOAH SmITH"/>
    <s v="Delivered"/>
    <x v="6"/>
    <x v="3"/>
    <s v="Noah Smith"/>
    <n v="30"/>
    <n v="11.76"/>
    <n v="18.240000000000002"/>
  </r>
  <r>
    <s v="OR0647"/>
    <d v="2024-08-20T00:00:00"/>
    <s v="Aug"/>
    <s v="2024"/>
    <x v="2"/>
    <s v="Lighting"/>
    <n v="2"/>
    <n v="40"/>
    <n v="14.55"/>
    <s v="C0182"/>
    <s v="AVA MilLEr"/>
    <s v="Shipped"/>
    <x v="5"/>
    <x v="2"/>
    <s v="Ava Miller"/>
    <n v="80"/>
    <n v="29.1"/>
    <n v="50.9"/>
  </r>
  <r>
    <s v="OR0648"/>
    <d v="2024-08-20T00:00:00"/>
    <s v="Aug"/>
    <s v="2024"/>
    <x v="0"/>
    <s v="Cleaning"/>
    <n v="3"/>
    <n v="10"/>
    <n v="2.33"/>
    <s v="C0183"/>
    <s v="AIDEN davIS"/>
    <s v="Shipped"/>
    <x v="7"/>
    <x v="0"/>
    <s v="Aiden Davis"/>
    <n v="30"/>
    <n v="6.99"/>
    <n v="23.009999999999998"/>
  </r>
  <r>
    <s v="OR0649"/>
    <d v="2024-08-20T00:00:00"/>
    <s v="Aug"/>
    <s v="2024"/>
    <x v="3"/>
    <s v="Kitchenware"/>
    <n v="1"/>
    <n v="15"/>
    <n v="4.93"/>
    <s v="C0135"/>
    <s v="HArPeR DavIs"/>
    <s v="Delivered"/>
    <x v="1"/>
    <x v="3"/>
    <s v="Harper Davis"/>
    <n v="15"/>
    <n v="4.93"/>
    <n v="10.07"/>
  </r>
  <r>
    <s v="OR0650"/>
    <d v="2024-08-20T00:00:00"/>
    <s v="Aug"/>
    <s v="2024"/>
    <x v="0"/>
    <s v="Cleaning"/>
    <n v="2"/>
    <n v="10"/>
    <n v="3.11"/>
    <s v="C0090"/>
    <s v="masOn jOnes"/>
    <s v="Delivered"/>
    <x v="4"/>
    <x v="0"/>
    <s v="Mason Jones"/>
    <n v="20"/>
    <n v="6.22"/>
    <n v="13.780000000000001"/>
  </r>
  <r>
    <s v="OR0651"/>
    <d v="2024-08-20T00:00:00"/>
    <s v="Aug"/>
    <s v="2024"/>
    <x v="3"/>
    <s v="Kitchenware"/>
    <n v="1"/>
    <n v="15"/>
    <n v="4.5599999999999996"/>
    <s v="C0083"/>
    <s v="jAmEs bRown"/>
    <s v="Delivered"/>
    <x v="8"/>
    <x v="3"/>
    <s v="James Brown"/>
    <n v="15"/>
    <n v="4.5599999999999996"/>
    <n v="10.440000000000001"/>
  </r>
  <r>
    <s v="OR0652"/>
    <d v="2024-08-20T00:00:00"/>
    <s v="Aug"/>
    <s v="2024"/>
    <x v="3"/>
    <s v="Kitchenware"/>
    <n v="1"/>
    <n v="15"/>
    <n v="4.25"/>
    <s v="C0178"/>
    <s v="LucAS gARCia"/>
    <s v="Delivered"/>
    <x v="4"/>
    <x v="3"/>
    <s v="Lucas Garcia"/>
    <n v="15"/>
    <n v="4.25"/>
    <n v="10.75"/>
  </r>
  <r>
    <s v="OR0653"/>
    <d v="2024-08-20T00:00:00"/>
    <s v="Aug"/>
    <s v="2024"/>
    <x v="2"/>
    <s v="Lighting"/>
    <n v="3"/>
    <n v="40"/>
    <n v="15.7"/>
    <s v="C0100"/>
    <s v="logAn sMItH"/>
    <s v="Shipped"/>
    <x v="8"/>
    <x v="2"/>
    <s v="Logan Smith"/>
    <n v="120"/>
    <n v="47.099999999999994"/>
    <n v="72.900000000000006"/>
  </r>
  <r>
    <s v="OR0654"/>
    <d v="2024-08-21T00:00:00"/>
    <s v="Aug"/>
    <s v="2024"/>
    <x v="4"/>
    <s v="Gardening"/>
    <n v="1"/>
    <n v="12"/>
    <n v="3.08"/>
    <s v="C0009"/>
    <s v="eThAN WIlLIamS"/>
    <s v="Delivered"/>
    <x v="3"/>
    <x v="4"/>
    <s v="Ethan Williams"/>
    <n v="12"/>
    <n v="3.08"/>
    <n v="8.92"/>
  </r>
  <r>
    <s v="OR0655"/>
    <d v="2024-08-22T00:00:00"/>
    <s v="Aug"/>
    <s v="2024"/>
    <x v="2"/>
    <s v="Lighting"/>
    <n v="8"/>
    <n v="40"/>
    <n v="14.45"/>
    <s v="C0171"/>
    <s v="MiA DAvis"/>
    <s v="Shipped"/>
    <x v="4"/>
    <x v="2"/>
    <s v="Mia Davis"/>
    <n v="320"/>
    <n v="115.6"/>
    <n v="204.4"/>
  </r>
  <r>
    <s v="OR0656"/>
    <d v="2024-08-22T00:00:00"/>
    <s v="Aug"/>
    <s v="2024"/>
    <x v="3"/>
    <s v="Kitchenware"/>
    <n v="6"/>
    <n v="15"/>
    <n v="3.14"/>
    <s v="C0055"/>
    <s v="lucaS RoDRIguez"/>
    <s v="Pending"/>
    <x v="7"/>
    <x v="3"/>
    <s v="Lucas Rodriguez"/>
    <n v="90"/>
    <n v="18.84"/>
    <n v="71.16"/>
  </r>
  <r>
    <s v="OR0657"/>
    <d v="2024-08-22T00:00:00"/>
    <s v="Aug"/>
    <s v="2024"/>
    <x v="0"/>
    <s v="Cleaning"/>
    <n v="2"/>
    <n v="10"/>
    <n v="3.83"/>
    <s v="C0051"/>
    <s v="EvELyn MarTinez"/>
    <s v="Delivered"/>
    <x v="2"/>
    <x v="0"/>
    <s v="Evelyn Martinez"/>
    <n v="20"/>
    <n v="7.66"/>
    <n v="12.34"/>
  </r>
  <r>
    <s v="OR0658"/>
    <d v="2024-08-23T00:00:00"/>
    <s v="Aug"/>
    <s v="2024"/>
    <x v="2"/>
    <s v="Lighting"/>
    <n v="6"/>
    <n v="40"/>
    <n v="8.43"/>
    <s v="C0058"/>
    <s v="aMElIA johNson"/>
    <s v="Delivered"/>
    <x v="7"/>
    <x v="2"/>
    <s v="Amelia Johnson"/>
    <n v="240"/>
    <n v="50.58"/>
    <n v="189.42000000000002"/>
  </r>
  <r>
    <s v="OR0659"/>
    <d v="2024-08-23T00:00:00"/>
    <s v="Aug"/>
    <s v="2024"/>
    <x v="1"/>
    <s v="Bags"/>
    <n v="6"/>
    <n v="25"/>
    <n v="6.23"/>
    <s v="C0004"/>
    <s v="AIDEn GArcia"/>
    <s v="Delivered"/>
    <x v="4"/>
    <x v="1"/>
    <s v="Aiden Garcia"/>
    <n v="150"/>
    <n v="37.380000000000003"/>
    <n v="112.62"/>
  </r>
  <r>
    <s v="OR0660"/>
    <d v="2024-08-23T00:00:00"/>
    <s v="Aug"/>
    <s v="2024"/>
    <x v="4"/>
    <s v="Gardening"/>
    <n v="8"/>
    <n v="12"/>
    <n v="4.07"/>
    <s v="C0078"/>
    <s v="olIvEr jOHnson"/>
    <s v="Delivered"/>
    <x v="1"/>
    <x v="4"/>
    <s v="Oliver Johnson"/>
    <n v="96"/>
    <n v="32.56"/>
    <n v="63.44"/>
  </r>
  <r>
    <s v="OR0661"/>
    <d v="2024-08-23T00:00:00"/>
    <s v="Aug"/>
    <s v="2024"/>
    <x v="0"/>
    <s v="Cleaning"/>
    <n v="6"/>
    <n v="10"/>
    <n v="2.44"/>
    <s v="C0117"/>
    <s v="lOGan JoNEs"/>
    <s v="Delivered"/>
    <x v="4"/>
    <x v="0"/>
    <s v="Logan Jones"/>
    <n v="60"/>
    <n v="14.64"/>
    <n v="45.36"/>
  </r>
  <r>
    <s v="OR0662"/>
    <d v="2024-08-23T00:00:00"/>
    <s v="Aug"/>
    <s v="2024"/>
    <x v="1"/>
    <s v="Bags"/>
    <n v="1"/>
    <n v="25"/>
    <n v="6.31"/>
    <s v="C0032"/>
    <s v="olIVER JONes"/>
    <s v="Delivered"/>
    <x v="8"/>
    <x v="1"/>
    <s v="Oliver Jones"/>
    <n v="25"/>
    <n v="6.31"/>
    <n v="18.690000000000001"/>
  </r>
  <r>
    <s v="OR0663"/>
    <d v="2024-08-24T00:00:00"/>
    <s v="Aug"/>
    <s v="2024"/>
    <x v="1"/>
    <s v="Bags"/>
    <n v="5"/>
    <n v="25"/>
    <n v="7.47"/>
    <s v="C0034"/>
    <s v="EtHan RodrIgUEz"/>
    <s v="Delivered"/>
    <x v="3"/>
    <x v="1"/>
    <s v="Ethan Rodriguez"/>
    <n v="125"/>
    <n v="37.35"/>
    <n v="87.65"/>
  </r>
  <r>
    <s v="OR0664"/>
    <d v="2024-08-24T00:00:00"/>
    <s v="Aug"/>
    <s v="2024"/>
    <x v="3"/>
    <s v="Kitchenware"/>
    <n v="3"/>
    <n v="15"/>
    <n v="5.58"/>
    <s v="C0149"/>
    <s v="soPhiA rODriGuEZ"/>
    <s v="Delivered"/>
    <x v="0"/>
    <x v="3"/>
    <s v="Sophia Rodriguez"/>
    <n v="45"/>
    <n v="16.740000000000002"/>
    <n v="28.259999999999998"/>
  </r>
  <r>
    <s v="OR0665"/>
    <d v="2024-08-24T00:00:00"/>
    <s v="Aug"/>
    <s v="2024"/>
    <x v="3"/>
    <s v="Kitchenware"/>
    <n v="9"/>
    <n v="15"/>
    <n v="3.44"/>
    <s v="C0064"/>
    <s v="sOPHia mARtinEZ"/>
    <s v="Delivered"/>
    <x v="3"/>
    <x v="3"/>
    <s v="Sophia Martinez"/>
    <n v="135"/>
    <n v="30.96"/>
    <n v="104.03999999999999"/>
  </r>
  <r>
    <s v="OR0666"/>
    <d v="2024-08-24T00:00:00"/>
    <s v="Aug"/>
    <s v="2024"/>
    <x v="1"/>
    <s v="Bags"/>
    <n v="8"/>
    <n v="25"/>
    <n v="9.1300000000000008"/>
    <s v="C0119"/>
    <s v="mAson ROdrigUEz"/>
    <s v="Shipped"/>
    <x v="4"/>
    <x v="1"/>
    <s v="Mason Rodriguez"/>
    <n v="200"/>
    <n v="73.040000000000006"/>
    <n v="126.96"/>
  </r>
  <r>
    <s v="OR0667"/>
    <d v="2024-08-24T00:00:00"/>
    <s v="Aug"/>
    <s v="2024"/>
    <x v="4"/>
    <s v="Gardening"/>
    <n v="3"/>
    <n v="12"/>
    <n v="2.71"/>
    <s v="C0170"/>
    <s v="avA rOdRIguEZ"/>
    <s v="Delivered"/>
    <x v="5"/>
    <x v="4"/>
    <s v="Ava Rodriguez"/>
    <n v="36"/>
    <n v="8.129999999999999"/>
    <n v="27.87"/>
  </r>
  <r>
    <s v="OR0668"/>
    <d v="2024-08-24T00:00:00"/>
    <s v="Aug"/>
    <s v="2024"/>
    <x v="3"/>
    <s v="Kitchenware"/>
    <n v="5"/>
    <n v="15"/>
    <n v="3.09"/>
    <s v="C0193"/>
    <s v="aVA SmIth"/>
    <s v="Delivered"/>
    <x v="0"/>
    <x v="3"/>
    <s v="Ava Smith"/>
    <n v="75"/>
    <n v="15.45"/>
    <n v="59.55"/>
  </r>
  <r>
    <s v="OR0669"/>
    <d v="2024-08-25T00:00:00"/>
    <s v="Aug"/>
    <s v="2024"/>
    <x v="0"/>
    <s v="Cleaning"/>
    <n v="2"/>
    <n v="10"/>
    <n v="3.22"/>
    <s v="C0131"/>
    <s v="eliJaH MarTIneZ"/>
    <s v="Delivered"/>
    <x v="5"/>
    <x v="0"/>
    <s v="Elijah Martinez"/>
    <n v="20"/>
    <n v="6.44"/>
    <n v="13.559999999999999"/>
  </r>
  <r>
    <s v="OR0670"/>
    <d v="2024-08-25T00:00:00"/>
    <s v="Aug"/>
    <s v="2024"/>
    <x v="4"/>
    <s v="Gardening"/>
    <n v="1"/>
    <n v="12"/>
    <n v="2.5099999999999998"/>
    <s v="C0025"/>
    <s v="isABeLlA garcIa"/>
    <s v="Delivered"/>
    <x v="9"/>
    <x v="4"/>
    <s v="Isabella Garcia"/>
    <n v="12"/>
    <n v="2.5099999999999998"/>
    <n v="9.49"/>
  </r>
  <r>
    <s v="OR0671"/>
    <d v="2024-08-25T00:00:00"/>
    <s v="Aug"/>
    <s v="2024"/>
    <x v="3"/>
    <s v="Kitchenware"/>
    <n v="2"/>
    <n v="15"/>
    <n v="3.49"/>
    <s v="C0085"/>
    <s v="eThan mARTIneZ"/>
    <s v="Delivered"/>
    <x v="3"/>
    <x v="3"/>
    <s v="Ethan Martinez"/>
    <n v="30"/>
    <n v="6.98"/>
    <n v="23.02"/>
  </r>
  <r>
    <s v="OR0672"/>
    <d v="2024-08-25T00:00:00"/>
    <s v="Aug"/>
    <s v="2024"/>
    <x v="3"/>
    <s v="Kitchenware"/>
    <n v="8"/>
    <n v="15"/>
    <n v="5.72"/>
    <s v="C0085"/>
    <s v="eThan mARTIneZ"/>
    <s v="Delivered"/>
    <x v="9"/>
    <x v="3"/>
    <s v="Ethan Martinez"/>
    <n v="120"/>
    <n v="45.76"/>
    <n v="74.240000000000009"/>
  </r>
  <r>
    <s v="OR0673"/>
    <d v="2024-08-26T00:00:00"/>
    <s v="Aug"/>
    <s v="2024"/>
    <x v="2"/>
    <s v="Lighting"/>
    <n v="4"/>
    <n v="40"/>
    <n v="15.33"/>
    <s v="C0106"/>
    <s v="aVA MartINez"/>
    <s v="Shipped"/>
    <x v="8"/>
    <x v="2"/>
    <s v="Ava Martinez"/>
    <n v="160"/>
    <n v="61.32"/>
    <n v="98.68"/>
  </r>
  <r>
    <s v="OR0674"/>
    <d v="2024-08-27T00:00:00"/>
    <s v="Aug"/>
    <s v="2024"/>
    <x v="2"/>
    <s v="Lighting"/>
    <n v="4"/>
    <n v="40"/>
    <n v="11.38"/>
    <s v="C0176"/>
    <s v="oLiver Miller"/>
    <s v="Shipped"/>
    <x v="1"/>
    <x v="2"/>
    <s v="Oliver Miller"/>
    <n v="160"/>
    <n v="45.52"/>
    <n v="114.47999999999999"/>
  </r>
  <r>
    <s v="OR0675"/>
    <d v="2024-08-28T00:00:00"/>
    <s v="Aug"/>
    <s v="2024"/>
    <x v="1"/>
    <s v="Bags"/>
    <n v="10"/>
    <n v="25"/>
    <n v="6.25"/>
    <s v="C0032"/>
    <s v="olIVER JONes"/>
    <s v="Delivered"/>
    <x v="6"/>
    <x v="1"/>
    <s v="Oliver Jones"/>
    <n v="250"/>
    <n v="62.5"/>
    <n v="187.5"/>
  </r>
  <r>
    <s v="OR0676"/>
    <d v="2024-08-28T00:00:00"/>
    <s v="Aug"/>
    <s v="2024"/>
    <x v="2"/>
    <s v="Lighting"/>
    <n v="5"/>
    <n v="40"/>
    <n v="8.4600000000000009"/>
    <s v="C0075"/>
    <s v="jaMes brOwn"/>
    <s v="Shipped"/>
    <x v="3"/>
    <x v="2"/>
    <s v="James Brown"/>
    <n v="200"/>
    <n v="42.300000000000004"/>
    <n v="157.69999999999999"/>
  </r>
  <r>
    <s v="OR0677"/>
    <d v="2024-08-28T00:00:00"/>
    <s v="Aug"/>
    <s v="2024"/>
    <x v="3"/>
    <s v="Kitchenware"/>
    <n v="2"/>
    <n v="15"/>
    <n v="5.69"/>
    <s v="C0006"/>
    <s v="oliVEr smiTh"/>
    <s v="Delivered"/>
    <x v="3"/>
    <x v="3"/>
    <s v="Oliver Smith"/>
    <n v="30"/>
    <n v="11.38"/>
    <n v="18.619999999999997"/>
  </r>
  <r>
    <s v="OR0678"/>
    <d v="2024-08-28T00:00:00"/>
    <s v="Aug"/>
    <s v="2024"/>
    <x v="1"/>
    <s v="Bags"/>
    <n v="7"/>
    <n v="25"/>
    <n v="9"/>
    <s v="C0160"/>
    <s v="LucAs gaRcia"/>
    <s v="Returned"/>
    <x v="0"/>
    <x v="1"/>
    <s v="Lucas Garcia"/>
    <n v="175"/>
    <n v="63"/>
    <n v="112"/>
  </r>
  <r>
    <s v="OR0679"/>
    <d v="2024-08-28T00:00:00"/>
    <s v="Aug"/>
    <s v="2024"/>
    <x v="2"/>
    <s v="Lighting"/>
    <n v="3"/>
    <n v="40"/>
    <n v="10.23"/>
    <s v="C0050"/>
    <s v="amelia JohnSON"/>
    <s v="Shipped"/>
    <x v="6"/>
    <x v="2"/>
    <s v="Amelia Johnson"/>
    <n v="120"/>
    <n v="30.69"/>
    <n v="89.31"/>
  </r>
  <r>
    <s v="OR0680"/>
    <d v="2024-08-29T00:00:00"/>
    <s v="Aug"/>
    <s v="2024"/>
    <x v="3"/>
    <s v="Kitchenware"/>
    <n v="9"/>
    <n v="15"/>
    <n v="4.82"/>
    <s v="C0112"/>
    <s v="eLijAh wIlLIAMs"/>
    <s v="Shipped"/>
    <x v="2"/>
    <x v="3"/>
    <s v="Elijah Williams"/>
    <n v="135"/>
    <n v="43.38"/>
    <n v="91.62"/>
  </r>
  <r>
    <s v="OR0681"/>
    <d v="2024-08-30T00:00:00"/>
    <s v="Aug"/>
    <s v="2024"/>
    <x v="0"/>
    <s v="Cleaning"/>
    <n v="2"/>
    <n v="10"/>
    <n v="2.09"/>
    <s v="C0142"/>
    <s v="haRpeR GArCiA"/>
    <s v="Delivered"/>
    <x v="5"/>
    <x v="0"/>
    <s v="Harper Garcia"/>
    <n v="20"/>
    <n v="4.18"/>
    <n v="15.82"/>
  </r>
  <r>
    <s v="OR0682"/>
    <d v="2024-08-30T00:00:00"/>
    <s v="Aug"/>
    <s v="2024"/>
    <x v="0"/>
    <s v="Cleaning"/>
    <n v="4"/>
    <n v="10"/>
    <n v="3.56"/>
    <s v="C0157"/>
    <s v="oLivIa jOHNsON"/>
    <s v="Delivered"/>
    <x v="8"/>
    <x v="0"/>
    <s v="Olivia Johnson"/>
    <n v="40"/>
    <n v="14.24"/>
    <n v="25.759999999999998"/>
  </r>
  <r>
    <s v="OR0683"/>
    <d v="2024-08-31T00:00:00"/>
    <s v="Aug"/>
    <s v="2024"/>
    <x v="0"/>
    <s v="Cleaning"/>
    <n v="3"/>
    <n v="10"/>
    <n v="3.83"/>
    <s v="C0072"/>
    <s v="EVeLYn GarcIa"/>
    <s v="Delivered"/>
    <x v="1"/>
    <x v="0"/>
    <s v="Evelyn Garcia"/>
    <n v="30"/>
    <n v="11.49"/>
    <n v="18.509999999999998"/>
  </r>
  <r>
    <s v="OR0684"/>
    <d v="2024-08-31T00:00:00"/>
    <s v="Aug"/>
    <s v="2024"/>
    <x v="1"/>
    <s v="Bags"/>
    <n v="5"/>
    <n v="25"/>
    <n v="7.66"/>
    <s v="C0088"/>
    <s v="lIAm GaRciA"/>
    <s v="Shipped"/>
    <x v="0"/>
    <x v="1"/>
    <s v="Liam Garcia"/>
    <n v="125"/>
    <n v="38.299999999999997"/>
    <n v="86.7"/>
  </r>
  <r>
    <s v="OR0685"/>
    <d v="2024-09-01T00:00:00"/>
    <s v="Sep"/>
    <s v="2024"/>
    <x v="2"/>
    <s v="Lighting"/>
    <n v="8"/>
    <n v="40"/>
    <n v="12.16"/>
    <s v="C0148"/>
    <s v="aVA RODrIGUEZ"/>
    <s v="Returned"/>
    <x v="6"/>
    <x v="2"/>
    <s v="Ava Rodriguez"/>
    <n v="320"/>
    <n v="97.28"/>
    <n v="222.72"/>
  </r>
  <r>
    <s v="OR0686"/>
    <d v="2024-09-02T00:00:00"/>
    <s v="Sep"/>
    <s v="2024"/>
    <x v="4"/>
    <s v="Gardening"/>
    <n v="7"/>
    <n v="12"/>
    <n v="3.97"/>
    <s v="C0058"/>
    <s v="aMElIA johNson"/>
    <s v="Delivered"/>
    <x v="4"/>
    <x v="4"/>
    <s v="Amelia Johnson"/>
    <n v="84"/>
    <n v="27.790000000000003"/>
    <n v="56.209999999999994"/>
  </r>
  <r>
    <s v="OR0687"/>
    <d v="2024-09-02T00:00:00"/>
    <s v="Sep"/>
    <s v="2024"/>
    <x v="1"/>
    <s v="Bags"/>
    <n v="4"/>
    <n v="25"/>
    <n v="6.53"/>
    <s v="C0017"/>
    <s v="LIAM rODRIgueZ"/>
    <s v="Pending"/>
    <x v="5"/>
    <x v="1"/>
    <s v="Liam Rodriguez"/>
    <n v="100"/>
    <n v="26.12"/>
    <n v="73.88"/>
  </r>
  <r>
    <s v="OR0688"/>
    <d v="2024-09-02T00:00:00"/>
    <s v="Sep"/>
    <s v="2024"/>
    <x v="3"/>
    <s v="Kitchenware"/>
    <n v="3"/>
    <n v="15"/>
    <n v="3.29"/>
    <s v="C0170"/>
    <s v="avA rOdRIguEZ"/>
    <s v="Delivered"/>
    <x v="9"/>
    <x v="3"/>
    <s v="Ava Rodriguez"/>
    <n v="45"/>
    <n v="9.870000000000001"/>
    <n v="35.129999999999995"/>
  </r>
  <r>
    <s v="OR0689"/>
    <d v="2024-09-03T00:00:00"/>
    <s v="Sep"/>
    <s v="2024"/>
    <x v="4"/>
    <s v="Gardening"/>
    <n v="10"/>
    <n v="12"/>
    <n v="2.42"/>
    <s v="C0096"/>
    <s v="EthAn joHnSoN"/>
    <s v="Shipped"/>
    <x v="0"/>
    <x v="4"/>
    <s v="Ethan Johnson"/>
    <n v="120"/>
    <n v="24.2"/>
    <n v="95.8"/>
  </r>
  <r>
    <s v="OR0690"/>
    <d v="2024-09-03T00:00:00"/>
    <s v="Sep"/>
    <s v="2024"/>
    <x v="1"/>
    <s v="Bags"/>
    <n v="5"/>
    <n v="25"/>
    <n v="7.76"/>
    <s v="C0049"/>
    <s v="AmElIA jOHNSon"/>
    <s v="Delivered"/>
    <x v="6"/>
    <x v="1"/>
    <s v="Amelia Johnson"/>
    <n v="125"/>
    <n v="38.799999999999997"/>
    <n v="86.2"/>
  </r>
  <r>
    <s v="OR0691"/>
    <d v="2024-09-04T00:00:00"/>
    <s v="Sep"/>
    <s v="2024"/>
    <x v="0"/>
    <s v="Cleaning"/>
    <n v="9"/>
    <n v="10"/>
    <n v="3.63"/>
    <s v="C0089"/>
    <s v="LiAM DavIs"/>
    <s v="Delivered"/>
    <x v="8"/>
    <x v="0"/>
    <s v="Liam Davis"/>
    <n v="90"/>
    <n v="32.67"/>
    <n v="57.33"/>
  </r>
  <r>
    <s v="OR0692"/>
    <d v="2024-09-04T00:00:00"/>
    <s v="Sep"/>
    <s v="2024"/>
    <x v="0"/>
    <s v="Cleaning"/>
    <n v="8"/>
    <n v="10"/>
    <n v="2.33"/>
    <s v="C0078"/>
    <s v="olIvEr jOHnson"/>
    <s v="Shipped"/>
    <x v="9"/>
    <x v="0"/>
    <s v="Oliver Johnson"/>
    <n v="80"/>
    <n v="18.64"/>
    <n v="61.36"/>
  </r>
  <r>
    <s v="OR0693"/>
    <d v="2024-09-04T00:00:00"/>
    <s v="Sep"/>
    <s v="2024"/>
    <x v="3"/>
    <s v="Kitchenware"/>
    <n v="4"/>
    <n v="15"/>
    <n v="4.5599999999999996"/>
    <s v="C0088"/>
    <s v="lIAm GaRciA"/>
    <s v="Delivered"/>
    <x v="2"/>
    <x v="3"/>
    <s v="Liam Garcia"/>
    <n v="60"/>
    <n v="18.239999999999998"/>
    <n v="41.760000000000005"/>
  </r>
  <r>
    <s v="OR0694"/>
    <d v="2024-09-04T00:00:00"/>
    <s v="Sep"/>
    <s v="2024"/>
    <x v="3"/>
    <s v="Kitchenware"/>
    <n v="7"/>
    <n v="15"/>
    <n v="5.0599999999999996"/>
    <s v="C0149"/>
    <s v="soPhiA rODriGuEZ"/>
    <s v="Shipped"/>
    <x v="0"/>
    <x v="3"/>
    <s v="Sophia Rodriguez"/>
    <n v="105"/>
    <n v="35.419999999999995"/>
    <n v="69.580000000000013"/>
  </r>
  <r>
    <s v="OR0695"/>
    <d v="2024-09-05T00:00:00"/>
    <s v="Sep"/>
    <s v="2024"/>
    <x v="1"/>
    <s v="Bags"/>
    <n v="1"/>
    <n v="25"/>
    <n v="8.42"/>
    <s v="C0070"/>
    <s v="sOPHIa JOHNSOn"/>
    <s v="Shipped"/>
    <x v="5"/>
    <x v="1"/>
    <s v="Sophia Johnson"/>
    <n v="25"/>
    <n v="8.42"/>
    <n v="16.579999999999998"/>
  </r>
  <r>
    <s v="OR0696"/>
    <d v="2024-09-06T00:00:00"/>
    <s v="Sep"/>
    <s v="2024"/>
    <x v="0"/>
    <s v="Cleaning"/>
    <n v="7"/>
    <n v="10"/>
    <n v="3.96"/>
    <s v="C0092"/>
    <s v="HarPEr GARCIa"/>
    <s v="Delivered"/>
    <x v="3"/>
    <x v="0"/>
    <s v="Harper Garcia"/>
    <n v="70"/>
    <n v="27.72"/>
    <n v="42.28"/>
  </r>
  <r>
    <s v="OR0697"/>
    <d v="2024-09-07T00:00:00"/>
    <s v="Sep"/>
    <s v="2024"/>
    <x v="3"/>
    <s v="Kitchenware"/>
    <n v="5"/>
    <n v="15"/>
    <n v="5.13"/>
    <s v="C0122"/>
    <s v="aIDeN DAVIS"/>
    <s v="Shipped"/>
    <x v="1"/>
    <x v="3"/>
    <s v="Aiden Davis"/>
    <n v="75"/>
    <n v="25.65"/>
    <n v="49.35"/>
  </r>
  <r>
    <s v="OR0698"/>
    <d v="2024-09-07T00:00:00"/>
    <s v="Sep"/>
    <s v="2024"/>
    <x v="1"/>
    <s v="Bags"/>
    <n v="1"/>
    <n v="25"/>
    <n v="8.6199999999999992"/>
    <s v="C0097"/>
    <s v="OlIVIa GarCIA"/>
    <s v="Delivered"/>
    <x v="3"/>
    <x v="1"/>
    <s v="Olivia Garcia"/>
    <n v="25"/>
    <n v="8.6199999999999992"/>
    <n v="16.380000000000003"/>
  </r>
  <r>
    <s v="OR0699"/>
    <d v="2024-09-07T00:00:00"/>
    <s v="Sep"/>
    <s v="2024"/>
    <x v="1"/>
    <s v="Bags"/>
    <n v="2"/>
    <n v="25"/>
    <n v="8.64"/>
    <s v="C0143"/>
    <s v="jAmEs mIllER"/>
    <s v="Delivered"/>
    <x v="0"/>
    <x v="1"/>
    <s v="James Miller"/>
    <n v="50"/>
    <n v="17.28"/>
    <n v="32.72"/>
  </r>
  <r>
    <s v="OR0700"/>
    <d v="2024-09-08T00:00:00"/>
    <s v="Sep"/>
    <s v="2024"/>
    <x v="1"/>
    <s v="Bags"/>
    <n v="7"/>
    <n v="25"/>
    <n v="9"/>
    <s v="C0096"/>
    <s v="EthAn joHnSoN"/>
    <s v="Delivered"/>
    <x v="9"/>
    <x v="1"/>
    <s v="Ethan Johnson"/>
    <n v="175"/>
    <n v="63"/>
    <n v="112"/>
  </r>
  <r>
    <s v="OR0701"/>
    <d v="2024-09-08T00:00:00"/>
    <s v="Sep"/>
    <s v="2024"/>
    <x v="4"/>
    <s v="Gardening"/>
    <n v="8"/>
    <n v="12"/>
    <n v="3.81"/>
    <s v="C0185"/>
    <s v="haRper sMITH"/>
    <s v="Delivered"/>
    <x v="4"/>
    <x v="4"/>
    <s v="Harper Smith"/>
    <n v="96"/>
    <n v="30.48"/>
    <n v="65.52"/>
  </r>
  <r>
    <s v="OR0702"/>
    <d v="2024-09-08T00:00:00"/>
    <s v="Sep"/>
    <s v="2024"/>
    <x v="0"/>
    <s v="Cleaning"/>
    <n v="5"/>
    <n v="10"/>
    <n v="2.76"/>
    <s v="C0120"/>
    <s v="HARper SmiTh"/>
    <s v="Delivered"/>
    <x v="2"/>
    <x v="0"/>
    <s v="Harper Smith"/>
    <n v="50"/>
    <n v="13.799999999999999"/>
    <n v="36.200000000000003"/>
  </r>
  <r>
    <s v="OR0703"/>
    <d v="2024-09-08T00:00:00"/>
    <s v="Sep"/>
    <s v="2024"/>
    <x v="0"/>
    <s v="Cleaning"/>
    <n v="9"/>
    <n v="10"/>
    <n v="2.41"/>
    <s v="C0182"/>
    <s v="AVA MilLEr"/>
    <s v="Delivered"/>
    <x v="4"/>
    <x v="0"/>
    <s v="Ava Miller"/>
    <n v="90"/>
    <n v="21.69"/>
    <n v="68.31"/>
  </r>
  <r>
    <s v="OR0704"/>
    <d v="2024-09-10T00:00:00"/>
    <s v="Sep"/>
    <s v="2024"/>
    <x v="4"/>
    <s v="Gardening"/>
    <n v="1"/>
    <n v="12"/>
    <n v="3.1"/>
    <s v="C0164"/>
    <s v="ChArLotTE daviS"/>
    <s v="Shipped"/>
    <x v="6"/>
    <x v="4"/>
    <s v="Charlotte Davis"/>
    <n v="12"/>
    <n v="3.1"/>
    <n v="8.9"/>
  </r>
  <r>
    <s v="OR0705"/>
    <d v="2024-09-10T00:00:00"/>
    <s v="Sep"/>
    <s v="2024"/>
    <x v="4"/>
    <s v="Gardening"/>
    <n v="10"/>
    <n v="12"/>
    <n v="3.77"/>
    <s v="C0003"/>
    <s v="SOpHia GaRcIa"/>
    <s v="Shipped"/>
    <x v="6"/>
    <x v="4"/>
    <s v="Sophia Garcia"/>
    <n v="120"/>
    <n v="37.700000000000003"/>
    <n v="82.3"/>
  </r>
  <r>
    <s v="OR0706"/>
    <d v="2024-09-11T00:00:00"/>
    <s v="Sep"/>
    <s v="2024"/>
    <x v="0"/>
    <s v="Cleaning"/>
    <n v="9"/>
    <n v="10"/>
    <n v="2.02"/>
    <s v="C0077"/>
    <s v="MaSon WillIAMs"/>
    <s v="Shipped"/>
    <x v="7"/>
    <x v="0"/>
    <s v="Mason Williams"/>
    <n v="90"/>
    <n v="18.18"/>
    <n v="71.819999999999993"/>
  </r>
  <r>
    <s v="OR0707"/>
    <d v="2024-09-11T00:00:00"/>
    <s v="Sep"/>
    <s v="2024"/>
    <x v="2"/>
    <s v="Lighting"/>
    <n v="4"/>
    <n v="40"/>
    <n v="11.92"/>
    <s v="C0064"/>
    <s v="sOPHia mARtinEZ"/>
    <s v="Shipped"/>
    <x v="4"/>
    <x v="2"/>
    <s v="Sophia Martinez"/>
    <n v="160"/>
    <n v="47.68"/>
    <n v="112.32"/>
  </r>
  <r>
    <s v="OR0708"/>
    <d v="2024-09-11T00:00:00"/>
    <s v="Sep"/>
    <s v="2024"/>
    <x v="0"/>
    <s v="Cleaning"/>
    <n v="8"/>
    <n v="10"/>
    <n v="3.58"/>
    <s v="C0048"/>
    <s v="ELIJah bROwn"/>
    <s v="Delivered"/>
    <x v="2"/>
    <x v="0"/>
    <s v="Elijah Brown"/>
    <n v="80"/>
    <n v="28.64"/>
    <n v="51.36"/>
  </r>
  <r>
    <s v="OR0709"/>
    <d v="2024-09-11T00:00:00"/>
    <s v="Sep"/>
    <s v="2024"/>
    <x v="1"/>
    <s v="Bags"/>
    <n v="10"/>
    <n v="25"/>
    <n v="8.3699999999999992"/>
    <s v="C0043"/>
    <s v="logan roDRIgUEZ"/>
    <s v="Shipped"/>
    <x v="0"/>
    <x v="1"/>
    <s v="Logan Rodriguez"/>
    <n v="250"/>
    <n v="83.699999999999989"/>
    <n v="166.3"/>
  </r>
  <r>
    <s v="OR0710"/>
    <d v="2024-09-11T00:00:00"/>
    <s v="Sep"/>
    <s v="2024"/>
    <x v="4"/>
    <s v="Gardening"/>
    <n v="1"/>
    <n v="12"/>
    <n v="4.25"/>
    <s v="C0132"/>
    <s v="amEliA JonEs"/>
    <s v="Shipped"/>
    <x v="3"/>
    <x v="4"/>
    <s v="Amelia Jones"/>
    <n v="12"/>
    <n v="4.25"/>
    <n v="7.75"/>
  </r>
  <r>
    <s v="OR0711"/>
    <d v="2024-09-13T00:00:00"/>
    <s v="Sep"/>
    <s v="2024"/>
    <x v="3"/>
    <s v="Kitchenware"/>
    <n v="4"/>
    <n v="15"/>
    <n v="4.2"/>
    <s v="C0071"/>
    <s v="AvA mARTINeZ"/>
    <s v="Returned"/>
    <x v="5"/>
    <x v="3"/>
    <s v="Ava Martinez"/>
    <n v="60"/>
    <n v="16.8"/>
    <n v="43.2"/>
  </r>
  <r>
    <s v="OR0712"/>
    <d v="2024-09-13T00:00:00"/>
    <s v="Sep"/>
    <s v="2024"/>
    <x v="3"/>
    <s v="Kitchenware"/>
    <n v="4"/>
    <n v="15"/>
    <n v="4.03"/>
    <s v="C0078"/>
    <s v="olIvEr jOHnson"/>
    <s v="Delivered"/>
    <x v="4"/>
    <x v="3"/>
    <s v="Oliver Johnson"/>
    <n v="60"/>
    <n v="16.12"/>
    <n v="43.879999999999995"/>
  </r>
  <r>
    <s v="OR0713"/>
    <d v="2024-09-13T00:00:00"/>
    <s v="Sep"/>
    <s v="2024"/>
    <x v="4"/>
    <s v="Gardening"/>
    <n v="4"/>
    <n v="12"/>
    <n v="2.68"/>
    <s v="C0103"/>
    <s v="lIam garCia"/>
    <s v="Pending"/>
    <x v="1"/>
    <x v="4"/>
    <s v="Liam Garcia"/>
    <n v="48"/>
    <n v="10.72"/>
    <n v="37.28"/>
  </r>
  <r>
    <s v="OR0714"/>
    <d v="2024-09-14T00:00:00"/>
    <s v="Sep"/>
    <s v="2024"/>
    <x v="0"/>
    <s v="Cleaning"/>
    <n v="10"/>
    <n v="10"/>
    <n v="2.65"/>
    <s v="C0050"/>
    <s v="amelia JohnSON"/>
    <s v="Delivered"/>
    <x v="5"/>
    <x v="0"/>
    <s v="Amelia Johnson"/>
    <n v="100"/>
    <n v="26.5"/>
    <n v="73.5"/>
  </r>
  <r>
    <s v="OR0715"/>
    <d v="2024-09-14T00:00:00"/>
    <s v="Sep"/>
    <s v="2024"/>
    <x v="2"/>
    <s v="Lighting"/>
    <n v="8"/>
    <n v="40"/>
    <n v="8.8699999999999992"/>
    <s v="C0030"/>
    <s v="cHARLoTTe DAvIs"/>
    <s v="Shipped"/>
    <x v="9"/>
    <x v="2"/>
    <s v="Charlotte Davis"/>
    <n v="320"/>
    <n v="70.959999999999994"/>
    <n v="249.04000000000002"/>
  </r>
  <r>
    <s v="OR0716"/>
    <d v="2024-09-15T00:00:00"/>
    <s v="Sep"/>
    <s v="2024"/>
    <x v="2"/>
    <s v="Lighting"/>
    <n v="3"/>
    <n v="40"/>
    <n v="14.24"/>
    <s v="C0055"/>
    <s v="lucaS RoDRIguez"/>
    <s v="Delivered"/>
    <x v="3"/>
    <x v="2"/>
    <s v="Lucas Rodriguez"/>
    <n v="120"/>
    <n v="42.72"/>
    <n v="77.28"/>
  </r>
  <r>
    <s v="OR0717"/>
    <d v="2024-09-15T00:00:00"/>
    <s v="Sep"/>
    <s v="2024"/>
    <x v="0"/>
    <s v="Cleaning"/>
    <n v="2"/>
    <n v="10"/>
    <n v="3.03"/>
    <s v="C0136"/>
    <s v="luCAS smITH"/>
    <s v="Shipped"/>
    <x v="4"/>
    <x v="0"/>
    <s v="Lucas Smith"/>
    <n v="20"/>
    <n v="6.06"/>
    <n v="13.940000000000001"/>
  </r>
  <r>
    <s v="OR0718"/>
    <d v="2024-09-16T00:00:00"/>
    <s v="Sep"/>
    <s v="2024"/>
    <x v="0"/>
    <s v="Cleaning"/>
    <n v="9"/>
    <n v="10"/>
    <n v="2.11"/>
    <s v="C0039"/>
    <s v="mAsoN joHnSon"/>
    <s v="Shipped"/>
    <x v="3"/>
    <x v="0"/>
    <s v="Mason Johnson"/>
    <n v="90"/>
    <n v="18.989999999999998"/>
    <n v="71.010000000000005"/>
  </r>
  <r>
    <s v="OR0719"/>
    <d v="2024-09-16T00:00:00"/>
    <s v="Sep"/>
    <s v="2024"/>
    <x v="1"/>
    <s v="Bags"/>
    <n v="10"/>
    <n v="25"/>
    <n v="6.58"/>
    <s v="C0125"/>
    <s v="lucas BrowN"/>
    <s v="Delivered"/>
    <x v="3"/>
    <x v="1"/>
    <s v="Lucas Brown"/>
    <n v="250"/>
    <n v="65.8"/>
    <n v="184.2"/>
  </r>
  <r>
    <s v="OR0720"/>
    <d v="2024-09-17T00:00:00"/>
    <s v="Sep"/>
    <s v="2024"/>
    <x v="2"/>
    <s v="Lighting"/>
    <n v="6"/>
    <n v="40"/>
    <n v="15.57"/>
    <s v="C0147"/>
    <s v="LuCaS williAmS"/>
    <s v="Delivered"/>
    <x v="4"/>
    <x v="2"/>
    <s v="Lucas Williams"/>
    <n v="240"/>
    <n v="93.42"/>
    <n v="146.57999999999998"/>
  </r>
  <r>
    <s v="OR0721"/>
    <d v="2024-09-17T00:00:00"/>
    <s v="Sep"/>
    <s v="2024"/>
    <x v="1"/>
    <s v="Bags"/>
    <n v="9"/>
    <n v="25"/>
    <n v="8.24"/>
    <s v="C0111"/>
    <s v="emMA dAVIs"/>
    <s v="Delivered"/>
    <x v="0"/>
    <x v="1"/>
    <s v="Emma Davis"/>
    <n v="225"/>
    <n v="74.16"/>
    <n v="150.84"/>
  </r>
  <r>
    <s v="OR0722"/>
    <d v="2024-09-17T00:00:00"/>
    <s v="Sep"/>
    <s v="2024"/>
    <x v="1"/>
    <s v="Bags"/>
    <n v="10"/>
    <n v="25"/>
    <n v="5.84"/>
    <s v="C0089"/>
    <s v="LiAM DavIs"/>
    <s v="Shipped"/>
    <x v="0"/>
    <x v="1"/>
    <s v="Liam Davis"/>
    <n v="250"/>
    <n v="58.4"/>
    <n v="191.6"/>
  </r>
  <r>
    <s v="OR0723"/>
    <d v="2024-09-18T00:00:00"/>
    <s v="Sep"/>
    <s v="2024"/>
    <x v="0"/>
    <s v="Cleaning"/>
    <n v="4"/>
    <n v="10"/>
    <n v="3.28"/>
    <s v="C0122"/>
    <s v="aIDeN DAVIS"/>
    <s v="Delivered"/>
    <x v="7"/>
    <x v="0"/>
    <s v="Aiden Davis"/>
    <n v="40"/>
    <n v="13.12"/>
    <n v="26.880000000000003"/>
  </r>
  <r>
    <s v="OR0724"/>
    <d v="2024-09-18T00:00:00"/>
    <s v="Sep"/>
    <s v="2024"/>
    <x v="1"/>
    <s v="Bags"/>
    <n v="8"/>
    <n v="25"/>
    <n v="9.33"/>
    <s v="C0192"/>
    <s v="charLoTtE jOhnsON"/>
    <s v="Delivered"/>
    <x v="8"/>
    <x v="1"/>
    <s v="Charlotte Johnson"/>
    <n v="200"/>
    <n v="74.64"/>
    <n v="125.36"/>
  </r>
  <r>
    <s v="OR0725"/>
    <d v="2024-09-19T00:00:00"/>
    <s v="Sep"/>
    <s v="2024"/>
    <x v="3"/>
    <s v="Kitchenware"/>
    <n v="10"/>
    <n v="15"/>
    <n v="5.0199999999999996"/>
    <s v="C0112"/>
    <s v="eLijAh wIlLIAMs"/>
    <s v="Delivered"/>
    <x v="9"/>
    <x v="3"/>
    <s v="Elijah Williams"/>
    <n v="150"/>
    <n v="50.199999999999996"/>
    <n v="99.800000000000011"/>
  </r>
  <r>
    <s v="OR0726"/>
    <d v="2024-09-19T00:00:00"/>
    <s v="Sep"/>
    <s v="2024"/>
    <x v="1"/>
    <s v="Bags"/>
    <n v="1"/>
    <n v="25"/>
    <n v="8.68"/>
    <s v="C0058"/>
    <s v="aMElIA johNson"/>
    <s v="Pending"/>
    <x v="1"/>
    <x v="1"/>
    <s v="Amelia Johnson"/>
    <n v="25"/>
    <n v="8.68"/>
    <n v="16.32"/>
  </r>
  <r>
    <s v="OR0727"/>
    <d v="2024-09-19T00:00:00"/>
    <s v="Sep"/>
    <s v="2024"/>
    <x v="2"/>
    <s v="Lighting"/>
    <n v="7"/>
    <n v="40"/>
    <n v="8.74"/>
    <s v="C0177"/>
    <s v="MIa MaRtInez"/>
    <s v="Shipped"/>
    <x v="4"/>
    <x v="2"/>
    <s v="Mia Martinez"/>
    <n v="280"/>
    <n v="61.18"/>
    <n v="218.82"/>
  </r>
  <r>
    <s v="OR0728"/>
    <d v="2024-09-20T00:00:00"/>
    <s v="Sep"/>
    <s v="2024"/>
    <x v="1"/>
    <s v="Bags"/>
    <n v="3"/>
    <n v="25"/>
    <n v="7.17"/>
    <s v="C0092"/>
    <s v="HarPEr GARCIa"/>
    <s v="Delivered"/>
    <x v="3"/>
    <x v="1"/>
    <s v="Harper Garcia"/>
    <n v="75"/>
    <n v="21.509999999999998"/>
    <n v="53.49"/>
  </r>
  <r>
    <s v="OR0729"/>
    <d v="2024-09-21T00:00:00"/>
    <s v="Sep"/>
    <s v="2024"/>
    <x v="0"/>
    <s v="Cleaning"/>
    <n v="8"/>
    <n v="10"/>
    <n v="3.47"/>
    <s v="C0134"/>
    <s v="JAmeS BROWn"/>
    <s v="Shipped"/>
    <x v="3"/>
    <x v="0"/>
    <s v="James Brown"/>
    <n v="80"/>
    <n v="27.76"/>
    <n v="52.239999999999995"/>
  </r>
  <r>
    <s v="OR0730"/>
    <d v="2024-09-22T00:00:00"/>
    <s v="Sep"/>
    <s v="2024"/>
    <x v="4"/>
    <s v="Gardening"/>
    <n v="5"/>
    <n v="12"/>
    <n v="2.78"/>
    <s v="C0083"/>
    <s v="jAmEs bRown"/>
    <s v="Shipped"/>
    <x v="2"/>
    <x v="4"/>
    <s v="James Brown"/>
    <n v="60"/>
    <n v="13.899999999999999"/>
    <n v="46.1"/>
  </r>
  <r>
    <s v="OR0731"/>
    <d v="2024-09-22T00:00:00"/>
    <s v="Sep"/>
    <s v="2024"/>
    <x v="4"/>
    <s v="Gardening"/>
    <n v="9"/>
    <n v="12"/>
    <n v="2.94"/>
    <s v="C0069"/>
    <s v="LiaM GarCia"/>
    <s v="Delivered"/>
    <x v="9"/>
    <x v="4"/>
    <s v="Liam Garcia"/>
    <n v="108"/>
    <n v="26.46"/>
    <n v="81.539999999999992"/>
  </r>
  <r>
    <s v="OR0732"/>
    <d v="2024-09-22T00:00:00"/>
    <s v="Sep"/>
    <s v="2024"/>
    <x v="4"/>
    <s v="Gardening"/>
    <n v="3"/>
    <n v="12"/>
    <n v="4.49"/>
    <s v="C0147"/>
    <s v="LuCaS williAmS"/>
    <s v="Delivered"/>
    <x v="2"/>
    <x v="4"/>
    <s v="Lucas Williams"/>
    <n v="36"/>
    <n v="13.47"/>
    <n v="22.53"/>
  </r>
  <r>
    <s v="OR0733"/>
    <d v="2024-09-23T00:00:00"/>
    <s v="Sep"/>
    <s v="2024"/>
    <x v="1"/>
    <s v="Bags"/>
    <n v="8"/>
    <n v="25"/>
    <n v="6.84"/>
    <s v="C0004"/>
    <s v="AIDEn GArcia"/>
    <s v="Returned"/>
    <x v="8"/>
    <x v="1"/>
    <s v="Aiden Garcia"/>
    <n v="200"/>
    <n v="54.72"/>
    <n v="145.28"/>
  </r>
  <r>
    <s v="OR0734"/>
    <d v="2024-09-23T00:00:00"/>
    <s v="Sep"/>
    <s v="2024"/>
    <x v="1"/>
    <s v="Bags"/>
    <n v="9"/>
    <n v="25"/>
    <n v="7.79"/>
    <s v="C0200"/>
    <s v="mASON JOhNSoN"/>
    <s v="Delivered"/>
    <x v="6"/>
    <x v="1"/>
    <s v="Mason Johnson"/>
    <n v="225"/>
    <n v="70.11"/>
    <n v="154.88999999999999"/>
  </r>
  <r>
    <s v="OR0735"/>
    <d v="2024-09-23T00:00:00"/>
    <s v="Sep"/>
    <s v="2024"/>
    <x v="1"/>
    <s v="Bags"/>
    <n v="7"/>
    <n v="25"/>
    <n v="8.2899999999999991"/>
    <s v="C0027"/>
    <s v="harpER jOneS"/>
    <s v="Delivered"/>
    <x v="4"/>
    <x v="1"/>
    <s v="Harper Jones"/>
    <n v="175"/>
    <n v="58.029999999999994"/>
    <n v="116.97"/>
  </r>
  <r>
    <s v="OR0736"/>
    <d v="2024-09-24T00:00:00"/>
    <s v="Sep"/>
    <s v="2024"/>
    <x v="0"/>
    <s v="Cleaning"/>
    <n v="2"/>
    <n v="10"/>
    <n v="2.94"/>
    <s v="C0041"/>
    <s v="Elijah DAVis"/>
    <s v="Pending"/>
    <x v="0"/>
    <x v="0"/>
    <s v="Elijah Davis"/>
    <n v="20"/>
    <n v="5.88"/>
    <n v="14.120000000000001"/>
  </r>
  <r>
    <s v="OR0737"/>
    <d v="2024-09-24T00:00:00"/>
    <s v="Sep"/>
    <s v="2024"/>
    <x v="0"/>
    <s v="Cleaning"/>
    <n v="1"/>
    <n v="10"/>
    <n v="3.62"/>
    <s v="C0127"/>
    <s v="NOAH MArtiNEZ"/>
    <s v="Delivered"/>
    <x v="0"/>
    <x v="0"/>
    <s v="Noah Martinez"/>
    <n v="10"/>
    <n v="3.62"/>
    <n v="6.38"/>
  </r>
  <r>
    <s v="OR0738"/>
    <d v="2024-09-25T00:00:00"/>
    <s v="Sep"/>
    <s v="2024"/>
    <x v="0"/>
    <s v="Cleaning"/>
    <n v="8"/>
    <n v="10"/>
    <n v="2.08"/>
    <s v="C0138"/>
    <s v="jAMeS WIlliaMS"/>
    <s v="Delivered"/>
    <x v="2"/>
    <x v="0"/>
    <s v="James Williams"/>
    <n v="80"/>
    <n v="16.64"/>
    <n v="63.36"/>
  </r>
  <r>
    <s v="OR0739"/>
    <d v="2024-09-26T00:00:00"/>
    <s v="Sep"/>
    <s v="2024"/>
    <x v="4"/>
    <s v="Gardening"/>
    <n v="5"/>
    <n v="12"/>
    <n v="4.6900000000000004"/>
    <s v="C0024"/>
    <s v="IsAbELla WILLiamS"/>
    <s v="Delivered"/>
    <x v="9"/>
    <x v="4"/>
    <s v="Isabella Williams"/>
    <n v="60"/>
    <n v="23.450000000000003"/>
    <n v="36.549999999999997"/>
  </r>
  <r>
    <s v="OR0740"/>
    <d v="2024-09-26T00:00:00"/>
    <s v="Sep"/>
    <s v="2024"/>
    <x v="4"/>
    <s v="Gardening"/>
    <n v="7"/>
    <n v="12"/>
    <n v="3.9"/>
    <s v="C0126"/>
    <s v="lUcas SMitH"/>
    <s v="Pending"/>
    <x v="6"/>
    <x v="4"/>
    <s v="Lucas Smith"/>
    <n v="84"/>
    <n v="27.3"/>
    <n v="56.7"/>
  </r>
  <r>
    <s v="OR0741"/>
    <d v="2024-09-27T00:00:00"/>
    <s v="Sep"/>
    <s v="2024"/>
    <x v="3"/>
    <s v="Kitchenware"/>
    <n v="10"/>
    <n v="15"/>
    <n v="3.05"/>
    <s v="C0098"/>
    <s v="IsAbElLA brOWn"/>
    <s v="Shipped"/>
    <x v="2"/>
    <x v="3"/>
    <s v="Isabella Brown"/>
    <n v="150"/>
    <n v="30.5"/>
    <n v="119.5"/>
  </r>
  <r>
    <s v="OR0742"/>
    <d v="2024-09-27T00:00:00"/>
    <s v="Sep"/>
    <s v="2024"/>
    <x v="2"/>
    <s v="Lighting"/>
    <n v="5"/>
    <n v="40"/>
    <n v="8.11"/>
    <s v="C0077"/>
    <s v="MaSon WillIAMs"/>
    <s v="Delivered"/>
    <x v="8"/>
    <x v="2"/>
    <s v="Mason Williams"/>
    <n v="200"/>
    <n v="40.549999999999997"/>
    <n v="159.44999999999999"/>
  </r>
  <r>
    <s v="OR0743"/>
    <d v="2024-09-27T00:00:00"/>
    <s v="Sep"/>
    <s v="2024"/>
    <x v="0"/>
    <s v="Cleaning"/>
    <n v="10"/>
    <n v="10"/>
    <n v="3.29"/>
    <s v="C0027"/>
    <s v="harpER jOneS"/>
    <s v="Delivered"/>
    <x v="5"/>
    <x v="0"/>
    <s v="Harper Jones"/>
    <n v="100"/>
    <n v="32.9"/>
    <n v="67.099999999999994"/>
  </r>
  <r>
    <s v="OR0744"/>
    <d v="2024-09-28T00:00:00"/>
    <s v="Sep"/>
    <s v="2024"/>
    <x v="0"/>
    <s v="Cleaning"/>
    <n v="5"/>
    <n v="10"/>
    <n v="2.66"/>
    <s v="C0139"/>
    <s v="AmELIa GARCIa"/>
    <s v="Shipped"/>
    <x v="5"/>
    <x v="0"/>
    <s v="Amelia Garcia"/>
    <n v="50"/>
    <n v="13.3"/>
    <n v="36.700000000000003"/>
  </r>
  <r>
    <s v="OR0745"/>
    <d v="2024-09-28T00:00:00"/>
    <s v="Sep"/>
    <s v="2024"/>
    <x v="3"/>
    <s v="Kitchenware"/>
    <n v="7"/>
    <n v="15"/>
    <n v="3.82"/>
    <s v="C0183"/>
    <s v="AIDEN davIS"/>
    <s v="Delivered"/>
    <x v="8"/>
    <x v="3"/>
    <s v="Aiden Davis"/>
    <n v="105"/>
    <n v="26.74"/>
    <n v="78.260000000000005"/>
  </r>
  <r>
    <s v="OR0746"/>
    <d v="2024-09-29T00:00:00"/>
    <s v="Sep"/>
    <s v="2024"/>
    <x v="2"/>
    <s v="Lighting"/>
    <n v="4"/>
    <n v="40"/>
    <n v="9.31"/>
    <s v="C0070"/>
    <s v="sOPHIa JOHNSOn"/>
    <s v="Shipped"/>
    <x v="3"/>
    <x v="2"/>
    <s v="Sophia Johnson"/>
    <n v="160"/>
    <n v="37.24"/>
    <n v="122.75999999999999"/>
  </r>
  <r>
    <s v="OR0747"/>
    <d v="2024-09-29T00:00:00"/>
    <s v="Sep"/>
    <s v="2024"/>
    <x v="4"/>
    <s v="Gardening"/>
    <n v="6"/>
    <n v="12"/>
    <n v="3.66"/>
    <s v="C0036"/>
    <s v="iSaBElLA MILLER"/>
    <s v="Delivered"/>
    <x v="8"/>
    <x v="4"/>
    <s v="Isabella Miller"/>
    <n v="72"/>
    <n v="21.96"/>
    <n v="50.04"/>
  </r>
  <r>
    <s v="OR0748"/>
    <d v="2024-09-30T00:00:00"/>
    <s v="Sep"/>
    <s v="2024"/>
    <x v="2"/>
    <s v="Lighting"/>
    <n v="1"/>
    <n v="40"/>
    <n v="9.89"/>
    <s v="C0063"/>
    <s v="oliVer MilLeR"/>
    <s v="Shipped"/>
    <x v="3"/>
    <x v="2"/>
    <s v="Oliver Miller"/>
    <n v="40"/>
    <n v="9.89"/>
    <n v="30.11"/>
  </r>
  <r>
    <s v="OR0749"/>
    <d v="2024-09-30T00:00:00"/>
    <s v="Sep"/>
    <s v="2024"/>
    <x v="0"/>
    <s v="Cleaning"/>
    <n v="1"/>
    <n v="10"/>
    <n v="3.17"/>
    <s v="C0152"/>
    <s v="ETHAn GArCIa"/>
    <s v="Shipped"/>
    <x v="5"/>
    <x v="0"/>
    <s v="Ethan Garcia"/>
    <n v="10"/>
    <n v="3.17"/>
    <n v="6.83"/>
  </r>
  <r>
    <s v="OR0750"/>
    <d v="2024-09-30T00:00:00"/>
    <s v="Sep"/>
    <s v="2024"/>
    <x v="4"/>
    <s v="Gardening"/>
    <n v="1"/>
    <n v="12"/>
    <n v="2.92"/>
    <s v="C0035"/>
    <s v="EVeLyN marTinez"/>
    <s v="Delivered"/>
    <x v="8"/>
    <x v="4"/>
    <s v="Evelyn Martinez"/>
    <n v="12"/>
    <n v="2.92"/>
    <n v="9.08"/>
  </r>
  <r>
    <s v="OR0751"/>
    <d v="2024-10-01T00:00:00"/>
    <s v="Oct"/>
    <s v="2024"/>
    <x v="0"/>
    <s v="Cleaning"/>
    <n v="10"/>
    <n v="10"/>
    <n v="2.95"/>
    <s v="C0020"/>
    <s v="JAmES joNeS"/>
    <s v="Shipped"/>
    <x v="4"/>
    <x v="0"/>
    <s v="James Jones"/>
    <n v="100"/>
    <n v="29.5"/>
    <n v="70.5"/>
  </r>
  <r>
    <s v="OR0752"/>
    <d v="2024-10-01T00:00:00"/>
    <s v="Oct"/>
    <s v="2024"/>
    <x v="2"/>
    <s v="Lighting"/>
    <n v="10"/>
    <n v="40"/>
    <n v="15.92"/>
    <s v="C0106"/>
    <s v="aVA MartINez"/>
    <s v="Delivered"/>
    <x v="2"/>
    <x v="2"/>
    <s v="Ava Martinez"/>
    <n v="400"/>
    <n v="159.19999999999999"/>
    <n v="240.8"/>
  </r>
  <r>
    <s v="OR0753"/>
    <d v="2024-10-02T00:00:00"/>
    <s v="Oct"/>
    <s v="2024"/>
    <x v="4"/>
    <s v="Gardening"/>
    <n v="5"/>
    <n v="12"/>
    <n v="4.0199999999999996"/>
    <s v="C0088"/>
    <s v="lIAm GaRciA"/>
    <s v="Pending"/>
    <x v="5"/>
    <x v="4"/>
    <s v="Liam Garcia"/>
    <n v="60"/>
    <n v="20.099999999999998"/>
    <n v="39.900000000000006"/>
  </r>
  <r>
    <s v="OR0754"/>
    <d v="2024-10-03T00:00:00"/>
    <s v="Oct"/>
    <s v="2024"/>
    <x v="0"/>
    <s v="Cleaning"/>
    <n v="5"/>
    <n v="10"/>
    <n v="3.63"/>
    <s v="C0147"/>
    <s v="LuCaS williAmS"/>
    <s v="Delivered"/>
    <x v="4"/>
    <x v="0"/>
    <s v="Lucas Williams"/>
    <n v="50"/>
    <n v="18.149999999999999"/>
    <n v="31.85"/>
  </r>
  <r>
    <s v="OR0755"/>
    <d v="2024-10-03T00:00:00"/>
    <s v="Oct"/>
    <s v="2024"/>
    <x v="2"/>
    <s v="Lighting"/>
    <n v="10"/>
    <n v="40"/>
    <n v="9.3800000000000008"/>
    <s v="C0132"/>
    <s v="amEliA JonEs"/>
    <s v="Returned"/>
    <x v="1"/>
    <x v="2"/>
    <s v="Amelia Jones"/>
    <n v="400"/>
    <n v="93.800000000000011"/>
    <n v="306.2"/>
  </r>
  <r>
    <s v="OR0756"/>
    <d v="2024-10-03T00:00:00"/>
    <s v="Oct"/>
    <s v="2024"/>
    <x v="3"/>
    <s v="Kitchenware"/>
    <n v="9"/>
    <n v="15"/>
    <n v="3.13"/>
    <s v="C0164"/>
    <s v="ChArLotTE daviS"/>
    <s v="Pending"/>
    <x v="4"/>
    <x v="3"/>
    <s v="Charlotte Davis"/>
    <n v="135"/>
    <n v="28.169999999999998"/>
    <n v="106.83"/>
  </r>
  <r>
    <s v="OR0757"/>
    <d v="2024-10-04T00:00:00"/>
    <s v="Oct"/>
    <s v="2024"/>
    <x v="0"/>
    <s v="Cleaning"/>
    <n v="6"/>
    <n v="10"/>
    <n v="2.29"/>
    <s v="C0186"/>
    <s v="ISabellA bRoWN"/>
    <s v="Delivered"/>
    <x v="2"/>
    <x v="0"/>
    <s v="Isabella Brown"/>
    <n v="60"/>
    <n v="13.74"/>
    <n v="46.26"/>
  </r>
  <r>
    <s v="OR0758"/>
    <d v="2024-10-04T00:00:00"/>
    <s v="Oct"/>
    <s v="2024"/>
    <x v="3"/>
    <s v="Kitchenware"/>
    <n v="3"/>
    <n v="15"/>
    <n v="5.75"/>
    <s v="C0180"/>
    <s v="lUCAS BROwN"/>
    <s v="Delivered"/>
    <x v="9"/>
    <x v="3"/>
    <s v="Lucas Brown"/>
    <n v="45"/>
    <n v="17.25"/>
    <n v="27.75"/>
  </r>
  <r>
    <s v="OR0759"/>
    <d v="2024-10-04T00:00:00"/>
    <s v="Oct"/>
    <s v="2024"/>
    <x v="4"/>
    <s v="Gardening"/>
    <n v="1"/>
    <n v="12"/>
    <n v="3.85"/>
    <s v="C0158"/>
    <s v="isABElla jOneS"/>
    <s v="Delivered"/>
    <x v="6"/>
    <x v="4"/>
    <s v="Isabella Jones"/>
    <n v="12"/>
    <n v="3.85"/>
    <n v="8.15"/>
  </r>
  <r>
    <s v="OR0760"/>
    <d v="2024-10-05T00:00:00"/>
    <s v="Oct"/>
    <s v="2024"/>
    <x v="2"/>
    <s v="Lighting"/>
    <n v="7"/>
    <n v="40"/>
    <n v="10.52"/>
    <s v="C0057"/>
    <s v="EvElyn MiLLeR"/>
    <s v="Delivered"/>
    <x v="9"/>
    <x v="2"/>
    <s v="Evelyn Miller"/>
    <n v="280"/>
    <n v="73.64"/>
    <n v="206.36"/>
  </r>
  <r>
    <s v="OR0761"/>
    <d v="2024-10-05T00:00:00"/>
    <s v="Oct"/>
    <s v="2024"/>
    <x v="0"/>
    <s v="Cleaning"/>
    <n v="1"/>
    <n v="10"/>
    <n v="3.77"/>
    <s v="C0009"/>
    <s v="eThAN WIlLIamS"/>
    <s v="Delivered"/>
    <x v="1"/>
    <x v="0"/>
    <s v="Ethan Williams"/>
    <n v="10"/>
    <n v="3.77"/>
    <n v="6.23"/>
  </r>
  <r>
    <s v="OR0762"/>
    <d v="2024-10-06T00:00:00"/>
    <s v="Oct"/>
    <s v="2024"/>
    <x v="1"/>
    <s v="Bags"/>
    <n v="8"/>
    <n v="25"/>
    <n v="8.85"/>
    <s v="C0198"/>
    <s v="ELiJAH jOneS"/>
    <s v="Delivered"/>
    <x v="9"/>
    <x v="1"/>
    <s v="Elijah Jones"/>
    <n v="200"/>
    <n v="70.8"/>
    <n v="129.19999999999999"/>
  </r>
  <r>
    <s v="OR0763"/>
    <d v="2024-10-06T00:00:00"/>
    <s v="Oct"/>
    <s v="2024"/>
    <x v="1"/>
    <s v="Bags"/>
    <n v="2"/>
    <n v="25"/>
    <n v="8.5399999999999991"/>
    <s v="C0127"/>
    <s v="NOAH MArtiNEZ"/>
    <s v="Delivered"/>
    <x v="6"/>
    <x v="1"/>
    <s v="Noah Martinez"/>
    <n v="50"/>
    <n v="17.079999999999998"/>
    <n v="32.92"/>
  </r>
  <r>
    <s v="OR0764"/>
    <d v="2024-10-07T00:00:00"/>
    <s v="Oct"/>
    <s v="2024"/>
    <x v="3"/>
    <s v="Kitchenware"/>
    <n v="10"/>
    <n v="15"/>
    <n v="4.92"/>
    <s v="C0137"/>
    <s v="loGAn smitH"/>
    <s v="Delivered"/>
    <x v="7"/>
    <x v="3"/>
    <s v="Logan Smith"/>
    <n v="150"/>
    <n v="49.2"/>
    <n v="100.8"/>
  </r>
  <r>
    <s v="OR0765"/>
    <d v="2024-10-08T00:00:00"/>
    <s v="Oct"/>
    <s v="2024"/>
    <x v="2"/>
    <s v="Lighting"/>
    <n v="8"/>
    <n v="40"/>
    <n v="15.87"/>
    <s v="C0022"/>
    <s v="jAmES sMiTH"/>
    <s v="Returned"/>
    <x v="0"/>
    <x v="2"/>
    <s v="James Smith"/>
    <n v="320"/>
    <n v="126.96"/>
    <n v="193.04000000000002"/>
  </r>
  <r>
    <s v="OR0766"/>
    <d v="2024-10-08T00:00:00"/>
    <s v="Oct"/>
    <s v="2024"/>
    <x v="4"/>
    <s v="Gardening"/>
    <n v="8"/>
    <n v="12"/>
    <n v="2.44"/>
    <s v="C0112"/>
    <s v="eLijAh wIlLIAMs"/>
    <s v="Delivered"/>
    <x v="5"/>
    <x v="4"/>
    <s v="Elijah Williams"/>
    <n v="96"/>
    <n v="19.52"/>
    <n v="76.48"/>
  </r>
  <r>
    <s v="OR0767"/>
    <d v="2024-10-08T00:00:00"/>
    <s v="Oct"/>
    <s v="2024"/>
    <x v="3"/>
    <s v="Kitchenware"/>
    <n v="7"/>
    <n v="15"/>
    <n v="3.55"/>
    <s v="C0072"/>
    <s v="EVeLYn GarcIa"/>
    <s v="Delivered"/>
    <x v="3"/>
    <x v="3"/>
    <s v="Evelyn Garcia"/>
    <n v="105"/>
    <n v="24.849999999999998"/>
    <n v="80.150000000000006"/>
  </r>
  <r>
    <s v="OR0768"/>
    <d v="2024-10-08T00:00:00"/>
    <s v="Oct"/>
    <s v="2024"/>
    <x v="0"/>
    <s v="Cleaning"/>
    <n v="1"/>
    <n v="10"/>
    <n v="3.51"/>
    <s v="C0180"/>
    <s v="lUCAS BROwN"/>
    <s v="Delivered"/>
    <x v="5"/>
    <x v="0"/>
    <s v="Lucas Brown"/>
    <n v="10"/>
    <n v="3.51"/>
    <n v="6.49"/>
  </r>
  <r>
    <s v="OR0769"/>
    <d v="2024-10-09T00:00:00"/>
    <s v="Oct"/>
    <s v="2024"/>
    <x v="1"/>
    <s v="Bags"/>
    <n v="3"/>
    <n v="25"/>
    <n v="8.26"/>
    <s v="C0114"/>
    <s v="cHARlottE Jones"/>
    <s v="Delivered"/>
    <x v="5"/>
    <x v="1"/>
    <s v="Charlotte Jones"/>
    <n v="75"/>
    <n v="24.78"/>
    <n v="50.22"/>
  </r>
  <r>
    <s v="OR0770"/>
    <d v="2024-10-10T00:00:00"/>
    <s v="Oct"/>
    <s v="2024"/>
    <x v="1"/>
    <s v="Bags"/>
    <n v="10"/>
    <n v="25"/>
    <n v="7.05"/>
    <s v="C0083"/>
    <s v="jAmEs bRown"/>
    <s v="Shipped"/>
    <x v="0"/>
    <x v="1"/>
    <s v="James Brown"/>
    <n v="250"/>
    <n v="70.5"/>
    <n v="179.5"/>
  </r>
  <r>
    <s v="OR0771"/>
    <d v="2024-10-10T00:00:00"/>
    <s v="Oct"/>
    <s v="2024"/>
    <x v="2"/>
    <s v="Lighting"/>
    <n v="4"/>
    <n v="40"/>
    <n v="14.12"/>
    <s v="C0127"/>
    <s v="NOAH MArtiNEZ"/>
    <s v="Returned"/>
    <x v="2"/>
    <x v="2"/>
    <s v="Noah Martinez"/>
    <n v="160"/>
    <n v="56.48"/>
    <n v="103.52000000000001"/>
  </r>
  <r>
    <s v="OR0772"/>
    <d v="2024-10-11T00:00:00"/>
    <s v="Oct"/>
    <s v="2024"/>
    <x v="2"/>
    <s v="Lighting"/>
    <n v="7"/>
    <n v="40"/>
    <n v="10.23"/>
    <s v="C0198"/>
    <s v="ELiJAH jOneS"/>
    <s v="Delivered"/>
    <x v="2"/>
    <x v="2"/>
    <s v="Elijah Jones"/>
    <n v="280"/>
    <n v="71.61"/>
    <n v="208.39"/>
  </r>
  <r>
    <s v="OR0773"/>
    <d v="2024-10-11T00:00:00"/>
    <s v="Oct"/>
    <s v="2024"/>
    <x v="3"/>
    <s v="Kitchenware"/>
    <n v="5"/>
    <n v="15"/>
    <n v="5.01"/>
    <s v="C0084"/>
    <s v="EtHaN jOnES"/>
    <s v="Returned"/>
    <x v="2"/>
    <x v="3"/>
    <s v="Ethan Jones"/>
    <n v="75"/>
    <n v="25.049999999999997"/>
    <n v="49.95"/>
  </r>
  <r>
    <s v="OR0774"/>
    <d v="2024-10-12T00:00:00"/>
    <s v="Oct"/>
    <s v="2024"/>
    <x v="1"/>
    <s v="Bags"/>
    <n v="9"/>
    <n v="25"/>
    <n v="7.98"/>
    <s v="C0143"/>
    <s v="jAmEs mIllER"/>
    <s v="Delivered"/>
    <x v="8"/>
    <x v="1"/>
    <s v="James Miller"/>
    <n v="225"/>
    <n v="71.820000000000007"/>
    <n v="153.18"/>
  </r>
  <r>
    <s v="OR0775"/>
    <d v="2024-10-12T00:00:00"/>
    <s v="Oct"/>
    <s v="2024"/>
    <x v="2"/>
    <s v="Lighting"/>
    <n v="7"/>
    <n v="40"/>
    <n v="14.85"/>
    <s v="C0071"/>
    <s v="AvA mARTINeZ"/>
    <s v="Returned"/>
    <x v="1"/>
    <x v="2"/>
    <s v="Ava Martinez"/>
    <n v="280"/>
    <n v="103.95"/>
    <n v="176.05"/>
  </r>
  <r>
    <s v="OR0776"/>
    <d v="2024-10-12T00:00:00"/>
    <s v="Oct"/>
    <s v="2024"/>
    <x v="4"/>
    <s v="Gardening"/>
    <n v="7"/>
    <n v="12"/>
    <n v="4.57"/>
    <s v="C0171"/>
    <s v="MiA DAvis"/>
    <s v="Delivered"/>
    <x v="2"/>
    <x v="4"/>
    <s v="Mia Davis"/>
    <n v="84"/>
    <n v="31.990000000000002"/>
    <n v="52.01"/>
  </r>
  <r>
    <s v="OR0777"/>
    <d v="2024-10-13T00:00:00"/>
    <s v="Oct"/>
    <s v="2024"/>
    <x v="4"/>
    <s v="Gardening"/>
    <n v="7"/>
    <n v="12"/>
    <n v="4.38"/>
    <s v="C0049"/>
    <s v="AmElIA jOHNSon"/>
    <s v="Delivered"/>
    <x v="2"/>
    <x v="4"/>
    <s v="Amelia Johnson"/>
    <n v="84"/>
    <n v="30.66"/>
    <n v="53.34"/>
  </r>
  <r>
    <s v="OR0778"/>
    <d v="2024-10-13T00:00:00"/>
    <s v="Oct"/>
    <s v="2024"/>
    <x v="3"/>
    <s v="Kitchenware"/>
    <n v="10"/>
    <n v="15"/>
    <n v="3.73"/>
    <s v="C0012"/>
    <s v="OLIVIA MaRTinEZ"/>
    <s v="Pending"/>
    <x v="6"/>
    <x v="3"/>
    <s v="Olivia Martinez"/>
    <n v="150"/>
    <n v="37.299999999999997"/>
    <n v="112.7"/>
  </r>
  <r>
    <s v="OR0779"/>
    <d v="2024-10-13T00:00:00"/>
    <s v="Oct"/>
    <s v="2024"/>
    <x v="2"/>
    <s v="Lighting"/>
    <n v="6"/>
    <n v="40"/>
    <n v="10.78"/>
    <s v="C0075"/>
    <s v="jaMes brOwn"/>
    <s v="Shipped"/>
    <x v="8"/>
    <x v="2"/>
    <s v="James Brown"/>
    <n v="240"/>
    <n v="64.679999999999993"/>
    <n v="175.32"/>
  </r>
  <r>
    <s v="OR0780"/>
    <d v="2024-10-13T00:00:00"/>
    <s v="Oct"/>
    <s v="2024"/>
    <x v="3"/>
    <s v="Kitchenware"/>
    <n v="9"/>
    <n v="15"/>
    <n v="4.62"/>
    <s v="C0019"/>
    <s v="AIDeN MArtIneZ"/>
    <s v="Shipped"/>
    <x v="5"/>
    <x v="3"/>
    <s v="Aiden Martinez"/>
    <n v="135"/>
    <n v="41.58"/>
    <n v="93.42"/>
  </r>
  <r>
    <s v="OR0781"/>
    <d v="2024-10-13T00:00:00"/>
    <s v="Oct"/>
    <s v="2024"/>
    <x v="2"/>
    <s v="Lighting"/>
    <n v="10"/>
    <n v="40"/>
    <n v="10.4"/>
    <s v="C0110"/>
    <s v="olIVIa garCIa"/>
    <s v="Pending"/>
    <x v="3"/>
    <x v="2"/>
    <s v="Olivia Garcia"/>
    <n v="400"/>
    <n v="104"/>
    <n v="296"/>
  </r>
  <r>
    <s v="OR0782"/>
    <d v="2024-10-14T00:00:00"/>
    <s v="Oct"/>
    <s v="2024"/>
    <x v="4"/>
    <s v="Gardening"/>
    <n v="6"/>
    <n v="12"/>
    <n v="4.6100000000000003"/>
    <s v="C0008"/>
    <s v="NoAh wiLLiaMs"/>
    <s v="Delivered"/>
    <x v="6"/>
    <x v="4"/>
    <s v="Noah Williams"/>
    <n v="72"/>
    <n v="27.660000000000004"/>
    <n v="44.339999999999996"/>
  </r>
  <r>
    <s v="OR0783"/>
    <d v="2024-10-15T00:00:00"/>
    <s v="Oct"/>
    <s v="2024"/>
    <x v="3"/>
    <s v="Kitchenware"/>
    <n v="5"/>
    <n v="15"/>
    <n v="5.78"/>
    <s v="C0101"/>
    <s v="lIam GArCiA"/>
    <s v="Shipped"/>
    <x v="0"/>
    <x v="3"/>
    <s v="Liam Garcia"/>
    <n v="75"/>
    <n v="28.900000000000002"/>
    <n v="46.099999999999994"/>
  </r>
  <r>
    <s v="OR0784"/>
    <d v="2024-10-15T00:00:00"/>
    <s v="Oct"/>
    <s v="2024"/>
    <x v="1"/>
    <s v="Bags"/>
    <n v="6"/>
    <n v="25"/>
    <n v="7.31"/>
    <s v="C0059"/>
    <s v="LOGaN rODrIgUEz"/>
    <s v="Delivered"/>
    <x v="1"/>
    <x v="1"/>
    <s v="Logan Rodriguez"/>
    <n v="150"/>
    <n v="43.86"/>
    <n v="106.14"/>
  </r>
  <r>
    <s v="OR0785"/>
    <d v="2024-10-15T00:00:00"/>
    <s v="Oct"/>
    <s v="2024"/>
    <x v="1"/>
    <s v="Bags"/>
    <n v="4"/>
    <n v="25"/>
    <n v="5.44"/>
    <s v="C0010"/>
    <s v="nOAH GaRCIa"/>
    <s v="Delivered"/>
    <x v="2"/>
    <x v="1"/>
    <s v="Noah Garcia"/>
    <n v="100"/>
    <n v="21.76"/>
    <n v="78.239999999999995"/>
  </r>
  <r>
    <s v="OR0786"/>
    <d v="2024-10-16T00:00:00"/>
    <s v="Oct"/>
    <s v="2024"/>
    <x v="2"/>
    <s v="Lighting"/>
    <n v="1"/>
    <n v="40"/>
    <n v="15.04"/>
    <s v="C0134"/>
    <s v="JAmeS BROWn"/>
    <s v="Shipped"/>
    <x v="3"/>
    <x v="2"/>
    <s v="James Brown"/>
    <n v="40"/>
    <n v="15.04"/>
    <n v="24.96"/>
  </r>
  <r>
    <s v="OR0787"/>
    <d v="2024-10-16T00:00:00"/>
    <s v="Oct"/>
    <s v="2024"/>
    <x v="3"/>
    <s v="Kitchenware"/>
    <n v="9"/>
    <n v="15"/>
    <n v="4.9000000000000004"/>
    <s v="C0082"/>
    <s v="avA joNEs"/>
    <s v="Shipped"/>
    <x v="8"/>
    <x v="3"/>
    <s v="Ava Jones"/>
    <n v="135"/>
    <n v="44.1"/>
    <n v="90.9"/>
  </r>
  <r>
    <s v="OR0788"/>
    <d v="2024-10-16T00:00:00"/>
    <s v="Oct"/>
    <s v="2024"/>
    <x v="2"/>
    <s v="Lighting"/>
    <n v="6"/>
    <n v="40"/>
    <n v="11.76"/>
    <s v="C0132"/>
    <s v="amEliA JonEs"/>
    <s v="Delivered"/>
    <x v="9"/>
    <x v="2"/>
    <s v="Amelia Jones"/>
    <n v="240"/>
    <n v="70.56"/>
    <n v="169.44"/>
  </r>
  <r>
    <s v="OR0789"/>
    <d v="2024-10-16T00:00:00"/>
    <s v="Oct"/>
    <s v="2024"/>
    <x v="4"/>
    <s v="Gardening"/>
    <n v="5"/>
    <n v="12"/>
    <n v="4.68"/>
    <s v="C0037"/>
    <s v="AVa dAVIs"/>
    <s v="Shipped"/>
    <x v="8"/>
    <x v="4"/>
    <s v="Ava Davis"/>
    <n v="60"/>
    <n v="23.4"/>
    <n v="36.6"/>
  </r>
  <r>
    <s v="OR0790"/>
    <d v="2024-10-17T00:00:00"/>
    <s v="Oct"/>
    <s v="2024"/>
    <x v="3"/>
    <s v="Kitchenware"/>
    <n v="7"/>
    <n v="15"/>
    <n v="4.3899999999999997"/>
    <s v="C0038"/>
    <s v="Noah MARtINez"/>
    <s v="Delivered"/>
    <x v="7"/>
    <x v="3"/>
    <s v="Noah Martinez"/>
    <n v="105"/>
    <n v="30.729999999999997"/>
    <n v="74.27000000000001"/>
  </r>
  <r>
    <s v="OR0791"/>
    <d v="2024-10-17T00:00:00"/>
    <s v="Oct"/>
    <s v="2024"/>
    <x v="4"/>
    <s v="Gardening"/>
    <n v="7"/>
    <n v="12"/>
    <n v="4.01"/>
    <s v="C0052"/>
    <s v="Mia joHnSon"/>
    <s v="Delivered"/>
    <x v="2"/>
    <x v="4"/>
    <s v="Mia Johnson"/>
    <n v="84"/>
    <n v="28.07"/>
    <n v="55.93"/>
  </r>
  <r>
    <s v="OR0792"/>
    <d v="2024-10-17T00:00:00"/>
    <s v="Oct"/>
    <s v="2024"/>
    <x v="3"/>
    <s v="Kitchenware"/>
    <n v="6"/>
    <n v="15"/>
    <n v="3.88"/>
    <s v="C0168"/>
    <s v="mIa broWn"/>
    <s v="Shipped"/>
    <x v="6"/>
    <x v="3"/>
    <s v="Mia Brown"/>
    <n v="90"/>
    <n v="23.28"/>
    <n v="66.72"/>
  </r>
  <r>
    <s v="OR0793"/>
    <d v="2024-10-17T00:00:00"/>
    <s v="Oct"/>
    <s v="2024"/>
    <x v="1"/>
    <s v="Bags"/>
    <n v="6"/>
    <n v="25"/>
    <n v="6.57"/>
    <s v="C0092"/>
    <s v="HarPEr GARCIa"/>
    <s v="Shipped"/>
    <x v="5"/>
    <x v="1"/>
    <s v="Harper Garcia"/>
    <n v="150"/>
    <n v="39.42"/>
    <n v="110.58"/>
  </r>
  <r>
    <s v="OR0794"/>
    <d v="2024-10-17T00:00:00"/>
    <s v="Oct"/>
    <s v="2024"/>
    <x v="0"/>
    <s v="Cleaning"/>
    <n v="7"/>
    <n v="10"/>
    <n v="3.92"/>
    <s v="C0025"/>
    <s v="isABeLlA garcIa"/>
    <s v="Pending"/>
    <x v="3"/>
    <x v="0"/>
    <s v="Isabella Garcia"/>
    <n v="70"/>
    <n v="27.439999999999998"/>
    <n v="42.56"/>
  </r>
  <r>
    <s v="OR0795"/>
    <d v="2024-10-17T00:00:00"/>
    <s v="Oct"/>
    <s v="2024"/>
    <x v="0"/>
    <s v="Cleaning"/>
    <n v="4"/>
    <n v="10"/>
    <n v="2.33"/>
    <s v="C0041"/>
    <s v="Elijah DAVis"/>
    <s v="Delivered"/>
    <x v="1"/>
    <x v="0"/>
    <s v="Elijah Davis"/>
    <n v="40"/>
    <n v="9.32"/>
    <n v="30.68"/>
  </r>
  <r>
    <s v="OR0796"/>
    <d v="2024-10-17T00:00:00"/>
    <s v="Oct"/>
    <s v="2024"/>
    <x v="0"/>
    <s v="Cleaning"/>
    <n v="2"/>
    <n v="10"/>
    <n v="3.79"/>
    <s v="C0060"/>
    <s v="liaM jONES"/>
    <s v="Delivered"/>
    <x v="9"/>
    <x v="0"/>
    <s v="Liam Jones"/>
    <n v="20"/>
    <n v="7.58"/>
    <n v="12.42"/>
  </r>
  <r>
    <s v="OR0797"/>
    <d v="2024-10-18T00:00:00"/>
    <s v="Oct"/>
    <s v="2024"/>
    <x v="4"/>
    <s v="Gardening"/>
    <n v="4"/>
    <n v="12"/>
    <n v="4.72"/>
    <s v="C0195"/>
    <s v="MASoN dAVis"/>
    <s v="Delivered"/>
    <x v="5"/>
    <x v="4"/>
    <s v="Mason Davis"/>
    <n v="48"/>
    <n v="18.88"/>
    <n v="29.12"/>
  </r>
  <r>
    <s v="OR0798"/>
    <d v="2024-10-18T00:00:00"/>
    <s v="Oct"/>
    <s v="2024"/>
    <x v="3"/>
    <s v="Kitchenware"/>
    <n v="1"/>
    <n v="15"/>
    <n v="4.58"/>
    <s v="C0195"/>
    <s v="MASoN dAVis"/>
    <s v="Delivered"/>
    <x v="6"/>
    <x v="3"/>
    <s v="Mason Davis"/>
    <n v="15"/>
    <n v="4.58"/>
    <n v="10.42"/>
  </r>
  <r>
    <s v="OR0799"/>
    <d v="2024-10-19T00:00:00"/>
    <s v="Oct"/>
    <s v="2024"/>
    <x v="1"/>
    <s v="Bags"/>
    <n v="3"/>
    <n v="25"/>
    <n v="8.26"/>
    <s v="C0023"/>
    <s v="nOAH gARciA"/>
    <s v="Delivered"/>
    <x v="9"/>
    <x v="1"/>
    <s v="Noah Garcia"/>
    <n v="75"/>
    <n v="24.78"/>
    <n v="50.22"/>
  </r>
  <r>
    <s v="OR0800"/>
    <d v="2024-10-19T00:00:00"/>
    <s v="Oct"/>
    <s v="2024"/>
    <x v="3"/>
    <s v="Kitchenware"/>
    <n v="9"/>
    <n v="15"/>
    <n v="4.99"/>
    <s v="C0107"/>
    <s v="MAson DAVIs"/>
    <s v="Delivered"/>
    <x v="9"/>
    <x v="3"/>
    <s v="Mason Davis"/>
    <n v="135"/>
    <n v="44.910000000000004"/>
    <n v="90.09"/>
  </r>
  <r>
    <s v="OR0801"/>
    <d v="2024-10-19T00:00:00"/>
    <s v="Oct"/>
    <s v="2024"/>
    <x v="4"/>
    <s v="Gardening"/>
    <n v="9"/>
    <n v="12"/>
    <n v="4.3499999999999996"/>
    <s v="C0067"/>
    <s v="lOGan SMITh"/>
    <s v="Delivered"/>
    <x v="4"/>
    <x v="4"/>
    <s v="Logan Smith"/>
    <n v="108"/>
    <n v="39.15"/>
    <n v="68.849999999999994"/>
  </r>
  <r>
    <s v="OR0802"/>
    <d v="2024-10-19T00:00:00"/>
    <s v="Oct"/>
    <s v="2024"/>
    <x v="2"/>
    <s v="Lighting"/>
    <n v="1"/>
    <n v="40"/>
    <n v="13.06"/>
    <s v="C0155"/>
    <s v="jAmEs MIlLeR"/>
    <s v="Delivered"/>
    <x v="3"/>
    <x v="2"/>
    <s v="James Miller"/>
    <n v="40"/>
    <n v="13.06"/>
    <n v="26.939999999999998"/>
  </r>
  <r>
    <s v="OR0803"/>
    <d v="2024-10-19T00:00:00"/>
    <s v="Oct"/>
    <s v="2024"/>
    <x v="3"/>
    <s v="Kitchenware"/>
    <n v="10"/>
    <n v="15"/>
    <n v="5.31"/>
    <s v="C0080"/>
    <s v="EVELYN martinEZ"/>
    <s v="Shipped"/>
    <x v="9"/>
    <x v="3"/>
    <s v="Evelyn Martinez"/>
    <n v="150"/>
    <n v="53.099999999999994"/>
    <n v="96.9"/>
  </r>
  <r>
    <s v="OR0804"/>
    <d v="2024-10-19T00:00:00"/>
    <s v="Oct"/>
    <s v="2024"/>
    <x v="3"/>
    <s v="Kitchenware"/>
    <n v="5"/>
    <n v="15"/>
    <n v="4.21"/>
    <s v="C0055"/>
    <s v="lucaS RoDRIguez"/>
    <s v="Delivered"/>
    <x v="4"/>
    <x v="3"/>
    <s v="Lucas Rodriguez"/>
    <n v="75"/>
    <n v="21.05"/>
    <n v="53.95"/>
  </r>
  <r>
    <s v="OR0805"/>
    <d v="2024-10-19T00:00:00"/>
    <s v="Oct"/>
    <s v="2024"/>
    <x v="0"/>
    <s v="Cleaning"/>
    <n v="6"/>
    <n v="10"/>
    <n v="2.83"/>
    <s v="C0058"/>
    <s v="aMElIA johNson"/>
    <s v="Delivered"/>
    <x v="0"/>
    <x v="0"/>
    <s v="Amelia Johnson"/>
    <n v="60"/>
    <n v="16.98"/>
    <n v="43.019999999999996"/>
  </r>
  <r>
    <s v="OR0806"/>
    <d v="2024-10-20T00:00:00"/>
    <s v="Oct"/>
    <s v="2024"/>
    <x v="1"/>
    <s v="Bags"/>
    <n v="2"/>
    <n v="25"/>
    <n v="6.21"/>
    <s v="C0121"/>
    <s v="aideN jOneS"/>
    <s v="Delivered"/>
    <x v="0"/>
    <x v="1"/>
    <s v="Aiden Jones"/>
    <n v="50"/>
    <n v="12.42"/>
    <n v="37.58"/>
  </r>
  <r>
    <s v="OR0807"/>
    <d v="2024-10-20T00:00:00"/>
    <s v="Oct"/>
    <s v="2024"/>
    <x v="3"/>
    <s v="Kitchenware"/>
    <n v="4"/>
    <n v="15"/>
    <n v="5.58"/>
    <s v="C0166"/>
    <s v="NOAh wIlLIamS"/>
    <s v="Delivered"/>
    <x v="4"/>
    <x v="3"/>
    <s v="Noah Williams"/>
    <n v="60"/>
    <n v="22.32"/>
    <n v="37.68"/>
  </r>
  <r>
    <s v="OR0808"/>
    <d v="2024-10-21T00:00:00"/>
    <s v="Oct"/>
    <s v="2024"/>
    <x v="2"/>
    <s v="Lighting"/>
    <n v="4"/>
    <n v="40"/>
    <n v="8.16"/>
    <s v="C0123"/>
    <s v="olIvIa DAVis"/>
    <s v="Pending"/>
    <x v="1"/>
    <x v="2"/>
    <s v="Olivia Davis"/>
    <n v="160"/>
    <n v="32.64"/>
    <n v="127.36"/>
  </r>
  <r>
    <s v="OR0809"/>
    <d v="2024-10-21T00:00:00"/>
    <s v="Oct"/>
    <s v="2024"/>
    <x v="3"/>
    <s v="Kitchenware"/>
    <n v="7"/>
    <n v="15"/>
    <n v="4.8899999999999997"/>
    <s v="C0092"/>
    <s v="HarPEr GARCIa"/>
    <s v="Delivered"/>
    <x v="8"/>
    <x v="3"/>
    <s v="Harper Garcia"/>
    <n v="105"/>
    <n v="34.229999999999997"/>
    <n v="70.77000000000001"/>
  </r>
  <r>
    <s v="OR0810"/>
    <d v="2024-10-21T00:00:00"/>
    <s v="Oct"/>
    <s v="2024"/>
    <x v="2"/>
    <s v="Lighting"/>
    <n v="5"/>
    <n v="40"/>
    <n v="13.34"/>
    <s v="C0068"/>
    <s v="LOGan jOhNson"/>
    <s v="Delivered"/>
    <x v="1"/>
    <x v="2"/>
    <s v="Logan Johnson"/>
    <n v="200"/>
    <n v="66.7"/>
    <n v="133.30000000000001"/>
  </r>
  <r>
    <s v="OR0811"/>
    <d v="2024-10-21T00:00:00"/>
    <s v="Oct"/>
    <s v="2024"/>
    <x v="2"/>
    <s v="Lighting"/>
    <n v="8"/>
    <n v="40"/>
    <n v="14.63"/>
    <s v="C0057"/>
    <s v="EvElyn MiLLeR"/>
    <s v="Delivered"/>
    <x v="3"/>
    <x v="2"/>
    <s v="Evelyn Miller"/>
    <n v="320"/>
    <n v="117.04"/>
    <n v="202.95999999999998"/>
  </r>
  <r>
    <s v="OR0812"/>
    <d v="2024-10-21T00:00:00"/>
    <s v="Oct"/>
    <s v="2024"/>
    <x v="2"/>
    <s v="Lighting"/>
    <n v="2"/>
    <n v="40"/>
    <n v="12.12"/>
    <s v="C0081"/>
    <s v="MasoN mILLeR"/>
    <s v="Delivered"/>
    <x v="9"/>
    <x v="2"/>
    <s v="Mason Miller"/>
    <n v="80"/>
    <n v="24.24"/>
    <n v="55.760000000000005"/>
  </r>
  <r>
    <s v="OR0813"/>
    <d v="2024-10-22T00:00:00"/>
    <s v="Oct"/>
    <s v="2024"/>
    <x v="0"/>
    <s v="Cleaning"/>
    <n v="8"/>
    <n v="10"/>
    <n v="3.74"/>
    <s v="C0035"/>
    <s v="EVeLyN marTinez"/>
    <s v="Delivered"/>
    <x v="4"/>
    <x v="0"/>
    <s v="Evelyn Martinez"/>
    <n v="80"/>
    <n v="29.92"/>
    <n v="50.08"/>
  </r>
  <r>
    <s v="OR0814"/>
    <d v="2024-10-23T00:00:00"/>
    <s v="Oct"/>
    <s v="2024"/>
    <x v="2"/>
    <s v="Lighting"/>
    <n v="9"/>
    <n v="40"/>
    <n v="9.27"/>
    <s v="C0145"/>
    <s v="SoPHiA brown"/>
    <s v="Returned"/>
    <x v="5"/>
    <x v="2"/>
    <s v="Sophia Brown"/>
    <n v="360"/>
    <n v="83.429999999999993"/>
    <n v="276.57"/>
  </r>
  <r>
    <s v="OR0815"/>
    <d v="2024-10-23T00:00:00"/>
    <s v="Oct"/>
    <s v="2024"/>
    <x v="4"/>
    <s v="Gardening"/>
    <n v="3"/>
    <n v="12"/>
    <n v="4.5999999999999996"/>
    <s v="C0156"/>
    <s v="cHARlottE GArciA"/>
    <s v="Delivered"/>
    <x v="3"/>
    <x v="4"/>
    <s v="Charlotte Garcia"/>
    <n v="36"/>
    <n v="13.799999999999999"/>
    <n v="22.200000000000003"/>
  </r>
  <r>
    <s v="OR0816"/>
    <d v="2024-10-23T00:00:00"/>
    <s v="Oct"/>
    <s v="2024"/>
    <x v="4"/>
    <s v="Gardening"/>
    <n v="2"/>
    <n v="12"/>
    <n v="2.86"/>
    <s v="C0156"/>
    <s v="cHARlottE GArciA"/>
    <s v="Delivered"/>
    <x v="6"/>
    <x v="4"/>
    <s v="Charlotte Garcia"/>
    <n v="24"/>
    <n v="5.72"/>
    <n v="18.28"/>
  </r>
  <r>
    <s v="OR0817"/>
    <d v="2024-10-23T00:00:00"/>
    <s v="Oct"/>
    <s v="2024"/>
    <x v="0"/>
    <s v="Cleaning"/>
    <n v="10"/>
    <n v="10"/>
    <n v="3.01"/>
    <s v="C0176"/>
    <s v="oLiver Miller"/>
    <s v="Delivered"/>
    <x v="7"/>
    <x v="0"/>
    <s v="Oliver Miller"/>
    <n v="100"/>
    <n v="30.099999999999998"/>
    <n v="69.900000000000006"/>
  </r>
  <r>
    <s v="OR0818"/>
    <d v="2024-10-23T00:00:00"/>
    <s v="Oct"/>
    <s v="2024"/>
    <x v="1"/>
    <s v="Bags"/>
    <n v="4"/>
    <n v="25"/>
    <n v="5.63"/>
    <s v="C0078"/>
    <s v="olIvEr jOHnson"/>
    <s v="Shipped"/>
    <x v="7"/>
    <x v="1"/>
    <s v="Oliver Johnson"/>
    <n v="100"/>
    <n v="22.52"/>
    <n v="77.48"/>
  </r>
  <r>
    <s v="OR0819"/>
    <d v="2024-10-24T00:00:00"/>
    <s v="Oct"/>
    <s v="2024"/>
    <x v="4"/>
    <s v="Gardening"/>
    <n v="2"/>
    <n v="12"/>
    <n v="2.46"/>
    <s v="C0157"/>
    <s v="oLivIa jOHNsON"/>
    <s v="Delivered"/>
    <x v="1"/>
    <x v="4"/>
    <s v="Olivia Johnson"/>
    <n v="24"/>
    <n v="4.92"/>
    <n v="19.079999999999998"/>
  </r>
  <r>
    <s v="OR0820"/>
    <d v="2024-10-24T00:00:00"/>
    <s v="Oct"/>
    <s v="2024"/>
    <x v="0"/>
    <s v="Cleaning"/>
    <n v="10"/>
    <n v="10"/>
    <n v="3.42"/>
    <s v="C0079"/>
    <s v="OlIVIA willIams"/>
    <s v="Delivered"/>
    <x v="1"/>
    <x v="0"/>
    <s v="Olivia Williams"/>
    <n v="100"/>
    <n v="34.200000000000003"/>
    <n v="65.8"/>
  </r>
  <r>
    <s v="OR0821"/>
    <d v="2024-10-25T00:00:00"/>
    <s v="Oct"/>
    <s v="2024"/>
    <x v="0"/>
    <s v="Cleaning"/>
    <n v="1"/>
    <n v="10"/>
    <n v="3.95"/>
    <s v="C0185"/>
    <s v="haRper sMITH"/>
    <s v="Shipped"/>
    <x v="4"/>
    <x v="0"/>
    <s v="Harper Smith"/>
    <n v="10"/>
    <n v="3.95"/>
    <n v="6.05"/>
  </r>
  <r>
    <s v="OR0822"/>
    <d v="2024-10-25T00:00:00"/>
    <s v="Oct"/>
    <s v="2024"/>
    <x v="1"/>
    <s v="Bags"/>
    <n v="9"/>
    <n v="25"/>
    <n v="9.23"/>
    <s v="C0097"/>
    <s v="OlIVIa GarCIA"/>
    <s v="Delivered"/>
    <x v="3"/>
    <x v="1"/>
    <s v="Olivia Garcia"/>
    <n v="225"/>
    <n v="83.070000000000007"/>
    <n v="141.93"/>
  </r>
  <r>
    <s v="OR0823"/>
    <d v="2024-10-26T00:00:00"/>
    <s v="Oct"/>
    <s v="2024"/>
    <x v="2"/>
    <s v="Lighting"/>
    <n v="2"/>
    <n v="40"/>
    <n v="11.27"/>
    <s v="C0031"/>
    <s v="harpEr rOdrIguEz"/>
    <s v="Delivered"/>
    <x v="6"/>
    <x v="2"/>
    <s v="Harper Rodriguez"/>
    <n v="80"/>
    <n v="22.54"/>
    <n v="57.46"/>
  </r>
  <r>
    <s v="OR0824"/>
    <d v="2024-10-26T00:00:00"/>
    <s v="Oct"/>
    <s v="2024"/>
    <x v="2"/>
    <s v="Lighting"/>
    <n v="4"/>
    <n v="40"/>
    <n v="9.61"/>
    <s v="C0018"/>
    <s v="miA brOWn"/>
    <s v="Delivered"/>
    <x v="8"/>
    <x v="2"/>
    <s v="Mia Brown"/>
    <n v="160"/>
    <n v="38.44"/>
    <n v="121.56"/>
  </r>
  <r>
    <s v="OR0825"/>
    <d v="2024-10-26T00:00:00"/>
    <s v="Oct"/>
    <s v="2024"/>
    <x v="1"/>
    <s v="Bags"/>
    <n v="6"/>
    <n v="25"/>
    <n v="9.08"/>
    <s v="C0093"/>
    <s v="NoAh RODrIguEz"/>
    <s v="Delivered"/>
    <x v="4"/>
    <x v="1"/>
    <s v="Noah Rodriguez"/>
    <n v="150"/>
    <n v="54.480000000000004"/>
    <n v="95.52"/>
  </r>
  <r>
    <s v="OR0826"/>
    <d v="2024-10-27T00:00:00"/>
    <s v="Oct"/>
    <s v="2024"/>
    <x v="0"/>
    <s v="Cleaning"/>
    <n v="10"/>
    <n v="10"/>
    <n v="3.48"/>
    <s v="C0014"/>
    <s v="CHARlOtTe GArCIA"/>
    <s v="Delivered"/>
    <x v="5"/>
    <x v="0"/>
    <s v="Charlotte Garcia"/>
    <n v="100"/>
    <n v="34.799999999999997"/>
    <n v="65.2"/>
  </r>
  <r>
    <s v="OR0827"/>
    <d v="2024-10-27T00:00:00"/>
    <s v="Oct"/>
    <s v="2024"/>
    <x v="1"/>
    <s v="Bags"/>
    <n v="1"/>
    <n v="25"/>
    <n v="6.8"/>
    <s v="C0072"/>
    <s v="EVeLYn GarcIa"/>
    <s v="Delivered"/>
    <x v="8"/>
    <x v="1"/>
    <s v="Evelyn Garcia"/>
    <n v="25"/>
    <n v="6.8"/>
    <n v="18.2"/>
  </r>
  <r>
    <s v="OR0828"/>
    <d v="2024-10-27T00:00:00"/>
    <s v="Oct"/>
    <s v="2024"/>
    <x v="1"/>
    <s v="Bags"/>
    <n v="10"/>
    <n v="25"/>
    <n v="8.74"/>
    <s v="C0144"/>
    <s v="lIAM jOneS"/>
    <s v="Delivered"/>
    <x v="4"/>
    <x v="1"/>
    <s v="Liam Jones"/>
    <n v="250"/>
    <n v="87.4"/>
    <n v="162.6"/>
  </r>
  <r>
    <s v="OR0829"/>
    <d v="2024-10-27T00:00:00"/>
    <s v="Oct"/>
    <s v="2024"/>
    <x v="3"/>
    <s v="Kitchenware"/>
    <n v="8"/>
    <n v="15"/>
    <n v="5.93"/>
    <s v="C0154"/>
    <s v="lIAm jOhnsOn"/>
    <s v="Shipped"/>
    <x v="9"/>
    <x v="3"/>
    <s v="Liam Johnson"/>
    <n v="120"/>
    <n v="47.44"/>
    <n v="72.56"/>
  </r>
  <r>
    <s v="OR0830"/>
    <d v="2024-10-27T00:00:00"/>
    <s v="Oct"/>
    <s v="2024"/>
    <x v="2"/>
    <s v="Lighting"/>
    <n v="2"/>
    <n v="40"/>
    <n v="11.4"/>
    <s v="C0090"/>
    <s v="masOn jOnes"/>
    <s v="Delivered"/>
    <x v="9"/>
    <x v="2"/>
    <s v="Mason Jones"/>
    <n v="80"/>
    <n v="22.8"/>
    <n v="57.2"/>
  </r>
  <r>
    <s v="OR0831"/>
    <d v="2024-10-28T00:00:00"/>
    <s v="Oct"/>
    <s v="2024"/>
    <x v="3"/>
    <s v="Kitchenware"/>
    <n v="10"/>
    <n v="15"/>
    <n v="3.2"/>
    <s v="C0136"/>
    <s v="luCAS smITH"/>
    <s v="Delivered"/>
    <x v="3"/>
    <x v="3"/>
    <s v="Lucas Smith"/>
    <n v="150"/>
    <n v="32"/>
    <n v="118"/>
  </r>
  <r>
    <s v="OR0832"/>
    <d v="2024-10-28T00:00:00"/>
    <s v="Oct"/>
    <s v="2024"/>
    <x v="0"/>
    <s v="Cleaning"/>
    <n v="7"/>
    <n v="10"/>
    <n v="3.47"/>
    <s v="C0132"/>
    <s v="amEliA JonEs"/>
    <s v="Delivered"/>
    <x v="1"/>
    <x v="0"/>
    <s v="Amelia Jones"/>
    <n v="70"/>
    <n v="24.290000000000003"/>
    <n v="45.709999999999994"/>
  </r>
  <r>
    <s v="OR0833"/>
    <d v="2024-10-28T00:00:00"/>
    <s v="Oct"/>
    <s v="2024"/>
    <x v="2"/>
    <s v="Lighting"/>
    <n v="3"/>
    <n v="40"/>
    <n v="8.8800000000000008"/>
    <s v="C0136"/>
    <s v="luCAS smITH"/>
    <s v="Shipped"/>
    <x v="4"/>
    <x v="2"/>
    <s v="Lucas Smith"/>
    <n v="120"/>
    <n v="26.64"/>
    <n v="93.36"/>
  </r>
  <r>
    <s v="OR0834"/>
    <d v="2024-10-28T00:00:00"/>
    <s v="Oct"/>
    <s v="2024"/>
    <x v="3"/>
    <s v="Kitchenware"/>
    <n v="10"/>
    <n v="15"/>
    <n v="4.0999999999999996"/>
    <s v="C0170"/>
    <s v="avA rOdRIguEZ"/>
    <s v="Returned"/>
    <x v="0"/>
    <x v="3"/>
    <s v="Ava Rodriguez"/>
    <n v="150"/>
    <n v="41"/>
    <n v="109"/>
  </r>
  <r>
    <s v="OR0835"/>
    <d v="2024-10-29T00:00:00"/>
    <s v="Oct"/>
    <s v="2024"/>
    <x v="1"/>
    <s v="Bags"/>
    <n v="5"/>
    <n v="25"/>
    <n v="9.99"/>
    <s v="C0005"/>
    <s v="eLiJAH garCiA"/>
    <s v="Delivered"/>
    <x v="6"/>
    <x v="1"/>
    <s v="Elijah Garcia"/>
    <n v="125"/>
    <n v="49.95"/>
    <n v="75.05"/>
  </r>
  <r>
    <s v="OR0836"/>
    <d v="2024-10-29T00:00:00"/>
    <s v="Oct"/>
    <s v="2024"/>
    <x v="3"/>
    <s v="Kitchenware"/>
    <n v="7"/>
    <n v="15"/>
    <n v="5.7"/>
    <s v="C0069"/>
    <s v="LiaM GarCia"/>
    <s v="Pending"/>
    <x v="8"/>
    <x v="3"/>
    <s v="Liam Garcia"/>
    <n v="105"/>
    <n v="39.9"/>
    <n v="65.099999999999994"/>
  </r>
  <r>
    <s v="OR0837"/>
    <d v="2024-10-29T00:00:00"/>
    <s v="Oct"/>
    <s v="2024"/>
    <x v="4"/>
    <s v="Gardening"/>
    <n v="2"/>
    <n v="12"/>
    <n v="3.58"/>
    <s v="C0013"/>
    <s v="eVelYN martiNEZ"/>
    <s v="Delivered"/>
    <x v="0"/>
    <x v="4"/>
    <s v="Evelyn Martinez"/>
    <n v="24"/>
    <n v="7.16"/>
    <n v="16.84"/>
  </r>
  <r>
    <s v="OR0838"/>
    <d v="2024-10-29T00:00:00"/>
    <s v="Oct"/>
    <s v="2024"/>
    <x v="3"/>
    <s v="Kitchenware"/>
    <n v="5"/>
    <n v="15"/>
    <n v="4.07"/>
    <s v="C0094"/>
    <s v="aIDen jones"/>
    <s v="Delivered"/>
    <x v="0"/>
    <x v="3"/>
    <s v="Aiden Jones"/>
    <n v="75"/>
    <n v="20.350000000000001"/>
    <n v="54.65"/>
  </r>
  <r>
    <s v="OR0839"/>
    <d v="2024-10-29T00:00:00"/>
    <s v="Oct"/>
    <s v="2024"/>
    <x v="1"/>
    <s v="Bags"/>
    <n v="10"/>
    <n v="25"/>
    <n v="9.42"/>
    <s v="C0103"/>
    <s v="lIam garCia"/>
    <s v="Delivered"/>
    <x v="3"/>
    <x v="1"/>
    <s v="Liam Garcia"/>
    <n v="250"/>
    <n v="94.2"/>
    <n v="155.80000000000001"/>
  </r>
  <r>
    <s v="OR0840"/>
    <d v="2024-10-31T00:00:00"/>
    <s v="Oct"/>
    <s v="2024"/>
    <x v="2"/>
    <s v="Lighting"/>
    <n v="1"/>
    <n v="40"/>
    <n v="13.18"/>
    <s v="C0161"/>
    <s v="CHARlOttE gArCiA"/>
    <s v="Shipped"/>
    <x v="2"/>
    <x v="2"/>
    <s v="Charlotte Garcia"/>
    <n v="40"/>
    <n v="13.18"/>
    <n v="26.82"/>
  </r>
  <r>
    <s v="OR0841"/>
    <d v="2024-10-31T00:00:00"/>
    <s v="Oct"/>
    <s v="2024"/>
    <x v="1"/>
    <s v="Bags"/>
    <n v="2"/>
    <n v="25"/>
    <n v="7.53"/>
    <s v="C0106"/>
    <s v="aVA MartINez"/>
    <s v="Delivered"/>
    <x v="4"/>
    <x v="1"/>
    <s v="Ava Martinez"/>
    <n v="50"/>
    <n v="15.06"/>
    <n v="34.94"/>
  </r>
  <r>
    <s v="OR0842"/>
    <d v="2024-10-31T00:00:00"/>
    <s v="Oct"/>
    <s v="2024"/>
    <x v="4"/>
    <s v="Gardening"/>
    <n v="7"/>
    <n v="12"/>
    <n v="4.74"/>
    <s v="C0094"/>
    <s v="aIDen jones"/>
    <s v="Pending"/>
    <x v="6"/>
    <x v="4"/>
    <s v="Aiden Jones"/>
    <n v="84"/>
    <n v="33.18"/>
    <n v="50.82"/>
  </r>
  <r>
    <s v="OR0843"/>
    <d v="2024-10-31T00:00:00"/>
    <s v="Oct"/>
    <s v="2024"/>
    <x v="4"/>
    <s v="Gardening"/>
    <n v="7"/>
    <n v="12"/>
    <n v="3.58"/>
    <s v="C0114"/>
    <s v="cHARlottE Jones"/>
    <s v="Delivered"/>
    <x v="9"/>
    <x v="4"/>
    <s v="Charlotte Jones"/>
    <n v="84"/>
    <n v="25.060000000000002"/>
    <n v="58.94"/>
  </r>
  <r>
    <s v="OR0844"/>
    <d v="2024-11-01T00:00:00"/>
    <s v="Nov"/>
    <s v="2024"/>
    <x v="1"/>
    <s v="Bags"/>
    <n v="8"/>
    <n v="25"/>
    <n v="5.8"/>
    <s v="C0012"/>
    <s v="OLIVIA MaRTinEZ"/>
    <s v="Pending"/>
    <x v="7"/>
    <x v="1"/>
    <s v="Olivia Martinez"/>
    <n v="200"/>
    <n v="46.4"/>
    <n v="153.6"/>
  </r>
  <r>
    <s v="OR0845"/>
    <d v="2024-11-01T00:00:00"/>
    <s v="Nov"/>
    <s v="2024"/>
    <x v="4"/>
    <s v="Gardening"/>
    <n v="2"/>
    <n v="12"/>
    <n v="3.34"/>
    <s v="C0035"/>
    <s v="EVeLyN marTinez"/>
    <s v="Delivered"/>
    <x v="7"/>
    <x v="4"/>
    <s v="Evelyn Martinez"/>
    <n v="24"/>
    <n v="6.68"/>
    <n v="17.32"/>
  </r>
  <r>
    <s v="OR0846"/>
    <d v="2024-11-01T00:00:00"/>
    <s v="Nov"/>
    <s v="2024"/>
    <x v="1"/>
    <s v="Bags"/>
    <n v="8"/>
    <n v="25"/>
    <n v="9.2899999999999991"/>
    <s v="C0180"/>
    <s v="lUCAS BROwN"/>
    <s v="Delivered"/>
    <x v="9"/>
    <x v="1"/>
    <s v="Lucas Brown"/>
    <n v="200"/>
    <n v="74.319999999999993"/>
    <n v="125.68"/>
  </r>
  <r>
    <s v="OR0847"/>
    <d v="2024-11-02T00:00:00"/>
    <s v="Nov"/>
    <s v="2024"/>
    <x v="3"/>
    <s v="Kitchenware"/>
    <n v="8"/>
    <n v="15"/>
    <n v="5.94"/>
    <s v="C0052"/>
    <s v="Mia joHnSon"/>
    <s v="Delivered"/>
    <x v="5"/>
    <x v="3"/>
    <s v="Mia Johnson"/>
    <n v="120"/>
    <n v="47.52"/>
    <n v="72.47999999999999"/>
  </r>
  <r>
    <s v="OR0848"/>
    <d v="2024-11-02T00:00:00"/>
    <s v="Nov"/>
    <s v="2024"/>
    <x v="0"/>
    <s v="Cleaning"/>
    <n v="10"/>
    <n v="10"/>
    <n v="3.09"/>
    <s v="C0081"/>
    <s v="MasoN mILLeR"/>
    <s v="Delivered"/>
    <x v="6"/>
    <x v="0"/>
    <s v="Mason Miller"/>
    <n v="100"/>
    <n v="30.9"/>
    <n v="69.099999999999994"/>
  </r>
  <r>
    <s v="OR0849"/>
    <d v="2024-11-02T00:00:00"/>
    <s v="Nov"/>
    <s v="2024"/>
    <x v="4"/>
    <s v="Gardening"/>
    <n v="10"/>
    <n v="12"/>
    <n v="3.06"/>
    <s v="C0045"/>
    <s v="lIaM smith"/>
    <s v="Delivered"/>
    <x v="3"/>
    <x v="4"/>
    <s v="Liam Smith"/>
    <n v="120"/>
    <n v="30.6"/>
    <n v="89.4"/>
  </r>
  <r>
    <s v="OR0850"/>
    <d v="2024-11-02T00:00:00"/>
    <s v="Nov"/>
    <s v="2024"/>
    <x v="1"/>
    <s v="Bags"/>
    <n v="1"/>
    <n v="25"/>
    <n v="5.0999999999999996"/>
    <s v="C0038"/>
    <s v="Noah MARtINez"/>
    <s v="Delivered"/>
    <x v="1"/>
    <x v="1"/>
    <s v="Noah Martinez"/>
    <n v="25"/>
    <n v="5.0999999999999996"/>
    <n v="19.899999999999999"/>
  </r>
  <r>
    <s v="OR0851"/>
    <d v="2024-11-03T00:00:00"/>
    <s v="Nov"/>
    <s v="2024"/>
    <x v="1"/>
    <s v="Bags"/>
    <n v="7"/>
    <n v="25"/>
    <n v="8.57"/>
    <s v="C0182"/>
    <s v="AVA MilLEr"/>
    <s v="Delivered"/>
    <x v="1"/>
    <x v="1"/>
    <s v="Ava Miller"/>
    <n v="175"/>
    <n v="59.99"/>
    <n v="115.00999999999999"/>
  </r>
  <r>
    <s v="OR0852"/>
    <d v="2024-11-03T00:00:00"/>
    <s v="Nov"/>
    <s v="2024"/>
    <x v="2"/>
    <s v="Lighting"/>
    <n v="9"/>
    <n v="40"/>
    <n v="15.79"/>
    <s v="C0086"/>
    <s v="OlIVER johnsOn"/>
    <s v="Shipped"/>
    <x v="5"/>
    <x v="2"/>
    <s v="Oliver Johnson"/>
    <n v="360"/>
    <n v="142.10999999999999"/>
    <n v="217.89000000000001"/>
  </r>
  <r>
    <s v="OR0853"/>
    <d v="2024-11-03T00:00:00"/>
    <s v="Nov"/>
    <s v="2024"/>
    <x v="0"/>
    <s v="Cleaning"/>
    <n v="5"/>
    <n v="10"/>
    <n v="2.91"/>
    <s v="C0165"/>
    <s v="haRper dAVIs"/>
    <s v="Returned"/>
    <x v="2"/>
    <x v="0"/>
    <s v="Harper Davis"/>
    <n v="50"/>
    <n v="14.55"/>
    <n v="35.450000000000003"/>
  </r>
  <r>
    <s v="OR0854"/>
    <d v="2024-11-04T00:00:00"/>
    <s v="Nov"/>
    <s v="2024"/>
    <x v="0"/>
    <s v="Cleaning"/>
    <n v="4"/>
    <n v="10"/>
    <n v="2.2200000000000002"/>
    <s v="C0187"/>
    <s v="avA rODRIgUeZ"/>
    <s v="Returned"/>
    <x v="0"/>
    <x v="0"/>
    <s v="Ava Rodriguez"/>
    <n v="40"/>
    <n v="8.8800000000000008"/>
    <n v="31.119999999999997"/>
  </r>
  <r>
    <s v="OR0855"/>
    <d v="2024-11-04T00:00:00"/>
    <s v="Nov"/>
    <s v="2024"/>
    <x v="1"/>
    <s v="Bags"/>
    <n v="1"/>
    <n v="25"/>
    <n v="8.4499999999999993"/>
    <s v="C0163"/>
    <s v="aidEN sMIth"/>
    <s v="Pending"/>
    <x v="7"/>
    <x v="1"/>
    <s v="Aiden Smith"/>
    <n v="25"/>
    <n v="8.4499999999999993"/>
    <n v="16.55"/>
  </r>
  <r>
    <s v="OR0856"/>
    <d v="2024-11-05T00:00:00"/>
    <s v="Nov"/>
    <s v="2024"/>
    <x v="3"/>
    <s v="Kitchenware"/>
    <n v="3"/>
    <n v="15"/>
    <n v="3.12"/>
    <s v="C0147"/>
    <s v="LuCaS williAmS"/>
    <s v="Shipped"/>
    <x v="5"/>
    <x v="3"/>
    <s v="Lucas Williams"/>
    <n v="45"/>
    <n v="9.36"/>
    <n v="35.64"/>
  </r>
  <r>
    <s v="OR0857"/>
    <d v="2024-11-05T00:00:00"/>
    <s v="Nov"/>
    <s v="2024"/>
    <x v="1"/>
    <s v="Bags"/>
    <n v="7"/>
    <n v="25"/>
    <n v="7.96"/>
    <s v="C0154"/>
    <s v="lIAm jOhnsOn"/>
    <s v="Delivered"/>
    <x v="6"/>
    <x v="1"/>
    <s v="Liam Johnson"/>
    <n v="175"/>
    <n v="55.72"/>
    <n v="119.28"/>
  </r>
  <r>
    <s v="OR0858"/>
    <d v="2024-11-06T00:00:00"/>
    <s v="Nov"/>
    <s v="2024"/>
    <x v="0"/>
    <s v="Cleaning"/>
    <n v="10"/>
    <n v="10"/>
    <n v="3.97"/>
    <s v="C0054"/>
    <s v="IsabELLA RoDRIgUEz"/>
    <s v="Delivered"/>
    <x v="5"/>
    <x v="0"/>
    <s v="Isabella Rodriguez"/>
    <n v="100"/>
    <n v="39.700000000000003"/>
    <n v="60.3"/>
  </r>
  <r>
    <s v="OR0859"/>
    <d v="2024-11-06T00:00:00"/>
    <s v="Nov"/>
    <s v="2024"/>
    <x v="0"/>
    <s v="Cleaning"/>
    <n v="7"/>
    <n v="10"/>
    <n v="3.07"/>
    <s v="C0021"/>
    <s v="isABelLA RoDriGUEZ"/>
    <s v="Delivered"/>
    <x v="1"/>
    <x v="0"/>
    <s v="Isabella Rodriguez"/>
    <n v="70"/>
    <n v="21.49"/>
    <n v="48.510000000000005"/>
  </r>
  <r>
    <s v="OR0860"/>
    <d v="2024-11-07T00:00:00"/>
    <s v="Nov"/>
    <s v="2024"/>
    <x v="3"/>
    <s v="Kitchenware"/>
    <n v="2"/>
    <n v="15"/>
    <n v="5.34"/>
    <s v="C0085"/>
    <s v="eThan mARTIneZ"/>
    <s v="Delivered"/>
    <x v="1"/>
    <x v="3"/>
    <s v="Ethan Martinez"/>
    <n v="30"/>
    <n v="10.68"/>
    <n v="19.32"/>
  </r>
  <r>
    <s v="OR0861"/>
    <d v="2024-11-08T00:00:00"/>
    <s v="Nov"/>
    <s v="2024"/>
    <x v="3"/>
    <s v="Kitchenware"/>
    <n v="6"/>
    <n v="15"/>
    <n v="5.79"/>
    <s v="C0122"/>
    <s v="aIDeN DAVIS"/>
    <s v="Returned"/>
    <x v="2"/>
    <x v="3"/>
    <s v="Aiden Davis"/>
    <n v="90"/>
    <n v="34.74"/>
    <n v="55.26"/>
  </r>
  <r>
    <s v="OR0862"/>
    <d v="2024-11-08T00:00:00"/>
    <s v="Nov"/>
    <s v="2024"/>
    <x v="0"/>
    <s v="Cleaning"/>
    <n v="5"/>
    <n v="10"/>
    <n v="3.82"/>
    <s v="C0191"/>
    <s v="lIaM roDrIGUEZ"/>
    <s v="Delivered"/>
    <x v="3"/>
    <x v="0"/>
    <s v="Liam Rodriguez"/>
    <n v="50"/>
    <n v="19.099999999999998"/>
    <n v="30.900000000000002"/>
  </r>
  <r>
    <s v="OR0863"/>
    <d v="2024-11-08T00:00:00"/>
    <s v="Nov"/>
    <s v="2024"/>
    <x v="0"/>
    <s v="Cleaning"/>
    <n v="1"/>
    <n v="10"/>
    <n v="2"/>
    <s v="C0112"/>
    <s v="eLijAh wIlLIAMs"/>
    <s v="Returned"/>
    <x v="7"/>
    <x v="0"/>
    <s v="Elijah Williams"/>
    <n v="10"/>
    <n v="2"/>
    <n v="8"/>
  </r>
  <r>
    <s v="OR0864"/>
    <d v="2024-11-09T00:00:00"/>
    <s v="Nov"/>
    <s v="2024"/>
    <x v="0"/>
    <s v="Cleaning"/>
    <n v="3"/>
    <n v="10"/>
    <n v="2.39"/>
    <s v="C0102"/>
    <s v="Liam bROwn"/>
    <s v="Shipped"/>
    <x v="2"/>
    <x v="0"/>
    <s v="Liam Brown"/>
    <n v="30"/>
    <n v="7.17"/>
    <n v="22.83"/>
  </r>
  <r>
    <s v="OR0865"/>
    <d v="2024-11-09T00:00:00"/>
    <s v="Nov"/>
    <s v="2024"/>
    <x v="0"/>
    <s v="Cleaning"/>
    <n v="5"/>
    <n v="10"/>
    <n v="2.48"/>
    <s v="C0060"/>
    <s v="liaM jONES"/>
    <s v="Pending"/>
    <x v="7"/>
    <x v="0"/>
    <s v="Liam Jones"/>
    <n v="50"/>
    <n v="12.4"/>
    <n v="37.6"/>
  </r>
  <r>
    <s v="OR0866"/>
    <d v="2024-11-10T00:00:00"/>
    <s v="Nov"/>
    <s v="2024"/>
    <x v="1"/>
    <s v="Bags"/>
    <n v="4"/>
    <n v="25"/>
    <n v="6.48"/>
    <s v="C0013"/>
    <s v="eVelYN martiNEZ"/>
    <s v="Delivered"/>
    <x v="9"/>
    <x v="1"/>
    <s v="Evelyn Martinez"/>
    <n v="100"/>
    <n v="25.92"/>
    <n v="74.08"/>
  </r>
  <r>
    <s v="OR0867"/>
    <d v="2024-11-10T00:00:00"/>
    <s v="Nov"/>
    <s v="2024"/>
    <x v="4"/>
    <s v="Gardening"/>
    <n v="8"/>
    <n v="12"/>
    <n v="3.72"/>
    <s v="C0146"/>
    <s v="isAbeLla GARCia"/>
    <s v="Shipped"/>
    <x v="5"/>
    <x v="4"/>
    <s v="Isabella Garcia"/>
    <n v="96"/>
    <n v="29.76"/>
    <n v="66.239999999999995"/>
  </r>
  <r>
    <s v="OR0868"/>
    <d v="2024-11-10T00:00:00"/>
    <s v="Nov"/>
    <s v="2024"/>
    <x v="4"/>
    <s v="Gardening"/>
    <n v="8"/>
    <n v="12"/>
    <n v="3.33"/>
    <s v="C0177"/>
    <s v="MIa MaRtInez"/>
    <s v="Delivered"/>
    <x v="0"/>
    <x v="4"/>
    <s v="Mia Martinez"/>
    <n v="96"/>
    <n v="26.64"/>
    <n v="69.36"/>
  </r>
  <r>
    <s v="OR0869"/>
    <d v="2024-11-10T00:00:00"/>
    <s v="Nov"/>
    <s v="2024"/>
    <x v="0"/>
    <s v="Cleaning"/>
    <n v="4"/>
    <n v="10"/>
    <n v="2.23"/>
    <s v="C0123"/>
    <s v="olIvIa DAVis"/>
    <s v="Delivered"/>
    <x v="8"/>
    <x v="0"/>
    <s v="Olivia Davis"/>
    <n v="40"/>
    <n v="8.92"/>
    <n v="31.08"/>
  </r>
  <r>
    <s v="OR0870"/>
    <d v="2024-11-11T00:00:00"/>
    <s v="Nov"/>
    <s v="2024"/>
    <x v="2"/>
    <s v="Lighting"/>
    <n v="4"/>
    <n v="40"/>
    <n v="13.67"/>
    <s v="C0132"/>
    <s v="amEliA JonEs"/>
    <s v="Delivered"/>
    <x v="2"/>
    <x v="2"/>
    <s v="Amelia Jones"/>
    <n v="160"/>
    <n v="54.68"/>
    <n v="105.32"/>
  </r>
  <r>
    <s v="OR0871"/>
    <d v="2024-11-11T00:00:00"/>
    <s v="Nov"/>
    <s v="2024"/>
    <x v="2"/>
    <s v="Lighting"/>
    <n v="10"/>
    <n v="40"/>
    <n v="8.85"/>
    <s v="C0190"/>
    <s v="mASON WILliaMS"/>
    <s v="Delivered"/>
    <x v="4"/>
    <x v="2"/>
    <s v="Mason Williams"/>
    <n v="400"/>
    <n v="88.5"/>
    <n v="311.5"/>
  </r>
  <r>
    <s v="OR0872"/>
    <d v="2024-11-11T00:00:00"/>
    <s v="Nov"/>
    <s v="2024"/>
    <x v="4"/>
    <s v="Gardening"/>
    <n v="9"/>
    <n v="12"/>
    <n v="2.5499999999999998"/>
    <s v="C0029"/>
    <s v="hARpER MARtIneZ"/>
    <s v="Delivered"/>
    <x v="3"/>
    <x v="4"/>
    <s v="Harper Martinez"/>
    <n v="108"/>
    <n v="22.95"/>
    <n v="85.05"/>
  </r>
  <r>
    <s v="OR0873"/>
    <d v="2024-11-11T00:00:00"/>
    <s v="Nov"/>
    <s v="2024"/>
    <x v="3"/>
    <s v="Kitchenware"/>
    <n v="4"/>
    <n v="15"/>
    <n v="5.0199999999999996"/>
    <s v="C0092"/>
    <s v="HarPEr GARCIa"/>
    <s v="Delivered"/>
    <x v="1"/>
    <x v="3"/>
    <s v="Harper Garcia"/>
    <n v="60"/>
    <n v="20.079999999999998"/>
    <n v="39.92"/>
  </r>
  <r>
    <s v="OR0874"/>
    <d v="2024-11-11T00:00:00"/>
    <s v="Nov"/>
    <s v="2024"/>
    <x v="3"/>
    <s v="Kitchenware"/>
    <n v="1"/>
    <n v="15"/>
    <n v="5.27"/>
    <s v="C0080"/>
    <s v="EVELYN martinEZ"/>
    <s v="Delivered"/>
    <x v="1"/>
    <x v="3"/>
    <s v="Evelyn Martinez"/>
    <n v="15"/>
    <n v="5.27"/>
    <n v="9.73"/>
  </r>
  <r>
    <s v="OR0875"/>
    <d v="2024-11-11T00:00:00"/>
    <s v="Nov"/>
    <s v="2024"/>
    <x v="3"/>
    <s v="Kitchenware"/>
    <n v="8"/>
    <n v="15"/>
    <n v="3.79"/>
    <s v="C0188"/>
    <s v="LUCAS wiLlIaMS"/>
    <s v="Delivered"/>
    <x v="4"/>
    <x v="3"/>
    <s v="Lucas Williams"/>
    <n v="120"/>
    <n v="30.32"/>
    <n v="89.68"/>
  </r>
  <r>
    <s v="OR0876"/>
    <d v="2024-11-12T00:00:00"/>
    <s v="Nov"/>
    <s v="2024"/>
    <x v="0"/>
    <s v="Cleaning"/>
    <n v="8"/>
    <n v="10"/>
    <n v="2.94"/>
    <s v="C0196"/>
    <s v="mia MILLER"/>
    <s v="Delivered"/>
    <x v="3"/>
    <x v="0"/>
    <s v="Mia Miller"/>
    <n v="80"/>
    <n v="23.52"/>
    <n v="56.480000000000004"/>
  </r>
  <r>
    <s v="OR0877"/>
    <d v="2024-11-12T00:00:00"/>
    <s v="Nov"/>
    <s v="2024"/>
    <x v="1"/>
    <s v="Bags"/>
    <n v="10"/>
    <n v="25"/>
    <n v="6.9"/>
    <s v="C0171"/>
    <s v="MiA DAvis"/>
    <s v="Shipped"/>
    <x v="8"/>
    <x v="1"/>
    <s v="Mia Davis"/>
    <n v="250"/>
    <n v="69"/>
    <n v="181"/>
  </r>
  <r>
    <s v="OR0878"/>
    <d v="2024-11-13T00:00:00"/>
    <s v="Nov"/>
    <s v="2024"/>
    <x v="2"/>
    <s v="Lighting"/>
    <n v="9"/>
    <n v="40"/>
    <n v="14.51"/>
    <s v="C0182"/>
    <s v="AVA MilLEr"/>
    <s v="Delivered"/>
    <x v="2"/>
    <x v="2"/>
    <s v="Ava Miller"/>
    <n v="360"/>
    <n v="130.59"/>
    <n v="229.41"/>
  </r>
  <r>
    <s v="OR0879"/>
    <d v="2024-11-13T00:00:00"/>
    <s v="Nov"/>
    <s v="2024"/>
    <x v="3"/>
    <s v="Kitchenware"/>
    <n v="9"/>
    <n v="15"/>
    <n v="4.51"/>
    <s v="C0057"/>
    <s v="EvElyn MiLLeR"/>
    <s v="Pending"/>
    <x v="6"/>
    <x v="3"/>
    <s v="Evelyn Miller"/>
    <n v="135"/>
    <n v="40.589999999999996"/>
    <n v="94.41"/>
  </r>
  <r>
    <s v="OR0880"/>
    <d v="2024-11-13T00:00:00"/>
    <s v="Nov"/>
    <s v="2024"/>
    <x v="2"/>
    <s v="Lighting"/>
    <n v="8"/>
    <n v="40"/>
    <n v="14.12"/>
    <s v="C0188"/>
    <s v="LUCAS wiLlIaMS"/>
    <s v="Delivered"/>
    <x v="6"/>
    <x v="2"/>
    <s v="Lucas Williams"/>
    <n v="320"/>
    <n v="112.96"/>
    <n v="207.04000000000002"/>
  </r>
  <r>
    <s v="OR0881"/>
    <d v="2024-11-13T00:00:00"/>
    <s v="Nov"/>
    <s v="2024"/>
    <x v="2"/>
    <s v="Lighting"/>
    <n v="1"/>
    <n v="40"/>
    <n v="9.23"/>
    <s v="C0036"/>
    <s v="iSaBElLA MILLER"/>
    <s v="Shipped"/>
    <x v="0"/>
    <x v="2"/>
    <s v="Isabella Miller"/>
    <n v="40"/>
    <n v="9.23"/>
    <n v="30.77"/>
  </r>
  <r>
    <s v="OR0882"/>
    <d v="2024-11-14T00:00:00"/>
    <s v="Nov"/>
    <s v="2024"/>
    <x v="4"/>
    <s v="Gardening"/>
    <n v="3"/>
    <n v="12"/>
    <n v="3.16"/>
    <s v="C0017"/>
    <s v="LIAM rODRIgueZ"/>
    <s v="Delivered"/>
    <x v="9"/>
    <x v="4"/>
    <s v="Liam Rodriguez"/>
    <n v="36"/>
    <n v="9.48"/>
    <n v="26.52"/>
  </r>
  <r>
    <s v="OR0883"/>
    <d v="2024-11-14T00:00:00"/>
    <s v="Nov"/>
    <s v="2024"/>
    <x v="1"/>
    <s v="Bags"/>
    <n v="8"/>
    <n v="25"/>
    <n v="9.1199999999999992"/>
    <s v="C0119"/>
    <s v="mAson ROdrigUEz"/>
    <s v="Delivered"/>
    <x v="2"/>
    <x v="1"/>
    <s v="Mason Rodriguez"/>
    <n v="200"/>
    <n v="72.959999999999994"/>
    <n v="127.04"/>
  </r>
  <r>
    <s v="OR0884"/>
    <d v="2024-11-15T00:00:00"/>
    <s v="Nov"/>
    <s v="2024"/>
    <x v="2"/>
    <s v="Lighting"/>
    <n v="6"/>
    <n v="40"/>
    <n v="13.56"/>
    <s v="C0011"/>
    <s v="jaMEs wilLIAMs"/>
    <s v="Delivered"/>
    <x v="5"/>
    <x v="2"/>
    <s v="James Williams"/>
    <n v="240"/>
    <n v="81.36"/>
    <n v="158.63999999999999"/>
  </r>
  <r>
    <s v="OR0885"/>
    <d v="2024-11-16T00:00:00"/>
    <s v="Nov"/>
    <s v="2024"/>
    <x v="2"/>
    <s v="Lighting"/>
    <n v="6"/>
    <n v="40"/>
    <n v="9.3699999999999992"/>
    <s v="C0089"/>
    <s v="LiAM DavIs"/>
    <s v="Delivered"/>
    <x v="4"/>
    <x v="2"/>
    <s v="Liam Davis"/>
    <n v="240"/>
    <n v="56.22"/>
    <n v="183.78"/>
  </r>
  <r>
    <s v="OR0886"/>
    <d v="2024-11-16T00:00:00"/>
    <s v="Nov"/>
    <s v="2024"/>
    <x v="1"/>
    <s v="Bags"/>
    <n v="4"/>
    <n v="25"/>
    <n v="7.64"/>
    <s v="C0131"/>
    <s v="eliJaH MarTIneZ"/>
    <s v="Returned"/>
    <x v="5"/>
    <x v="1"/>
    <s v="Elijah Martinez"/>
    <n v="100"/>
    <n v="30.56"/>
    <n v="69.44"/>
  </r>
  <r>
    <s v="OR0887"/>
    <d v="2024-11-17T00:00:00"/>
    <s v="Nov"/>
    <s v="2024"/>
    <x v="1"/>
    <s v="Bags"/>
    <n v="9"/>
    <n v="25"/>
    <n v="6.72"/>
    <s v="C0139"/>
    <s v="AmELIa GARCIa"/>
    <s v="Delivered"/>
    <x v="9"/>
    <x v="1"/>
    <s v="Amelia Garcia"/>
    <n v="225"/>
    <n v="60.48"/>
    <n v="164.52"/>
  </r>
  <r>
    <s v="OR0888"/>
    <d v="2024-11-17T00:00:00"/>
    <s v="Nov"/>
    <s v="2024"/>
    <x v="4"/>
    <s v="Gardening"/>
    <n v="6"/>
    <n v="12"/>
    <n v="4.53"/>
    <s v="C0045"/>
    <s v="lIaM smith"/>
    <s v="Delivered"/>
    <x v="5"/>
    <x v="4"/>
    <s v="Liam Smith"/>
    <n v="72"/>
    <n v="27.18"/>
    <n v="44.82"/>
  </r>
  <r>
    <s v="OR0889"/>
    <d v="2024-11-17T00:00:00"/>
    <s v="Nov"/>
    <s v="2024"/>
    <x v="1"/>
    <s v="Bags"/>
    <n v="2"/>
    <n v="25"/>
    <n v="8.14"/>
    <s v="C0184"/>
    <s v="IsAbELla JohNSoN"/>
    <s v="Shipped"/>
    <x v="9"/>
    <x v="1"/>
    <s v="Isabella Johnson"/>
    <n v="50"/>
    <n v="16.28"/>
    <n v="33.72"/>
  </r>
  <r>
    <s v="OR0890"/>
    <d v="2024-11-18T00:00:00"/>
    <s v="Nov"/>
    <s v="2024"/>
    <x v="3"/>
    <s v="Kitchenware"/>
    <n v="2"/>
    <n v="15"/>
    <n v="5.3"/>
    <s v="C0066"/>
    <s v="JaMeS garcIA"/>
    <s v="Delivered"/>
    <x v="7"/>
    <x v="3"/>
    <s v="James Garcia"/>
    <n v="30"/>
    <n v="10.6"/>
    <n v="19.399999999999999"/>
  </r>
  <r>
    <s v="OR0891"/>
    <d v="2024-11-18T00:00:00"/>
    <s v="Nov"/>
    <s v="2024"/>
    <x v="4"/>
    <s v="Gardening"/>
    <n v="10"/>
    <n v="12"/>
    <n v="2.4500000000000002"/>
    <s v="C0024"/>
    <s v="IsAbELla WILLiamS"/>
    <s v="Delivered"/>
    <x v="8"/>
    <x v="4"/>
    <s v="Isabella Williams"/>
    <n v="120"/>
    <n v="24.5"/>
    <n v="95.5"/>
  </r>
  <r>
    <s v="OR0892"/>
    <d v="2024-11-18T00:00:00"/>
    <s v="Nov"/>
    <s v="2024"/>
    <x v="2"/>
    <s v="Lighting"/>
    <n v="1"/>
    <n v="40"/>
    <n v="8.51"/>
    <s v="C0077"/>
    <s v="MaSon WillIAMs"/>
    <s v="Pending"/>
    <x v="2"/>
    <x v="2"/>
    <s v="Mason Williams"/>
    <n v="40"/>
    <n v="8.51"/>
    <n v="31.490000000000002"/>
  </r>
  <r>
    <s v="OR0893"/>
    <d v="2024-11-18T00:00:00"/>
    <s v="Nov"/>
    <s v="2024"/>
    <x v="1"/>
    <s v="Bags"/>
    <n v="3"/>
    <n v="25"/>
    <n v="5.0999999999999996"/>
    <s v="C0191"/>
    <s v="lIaM roDrIGUEZ"/>
    <s v="Shipped"/>
    <x v="1"/>
    <x v="1"/>
    <s v="Liam Rodriguez"/>
    <n v="75"/>
    <n v="15.299999999999999"/>
    <n v="59.7"/>
  </r>
  <r>
    <s v="OR0894"/>
    <d v="2024-11-18T00:00:00"/>
    <s v="Nov"/>
    <s v="2024"/>
    <x v="0"/>
    <s v="Cleaning"/>
    <n v="9"/>
    <n v="10"/>
    <n v="2.68"/>
    <s v="C0160"/>
    <s v="LucAs gaRcia"/>
    <s v="Pending"/>
    <x v="1"/>
    <x v="0"/>
    <s v="Lucas Garcia"/>
    <n v="90"/>
    <n v="24.12"/>
    <n v="65.88"/>
  </r>
  <r>
    <s v="OR0895"/>
    <d v="2024-11-18T00:00:00"/>
    <s v="Nov"/>
    <s v="2024"/>
    <x v="0"/>
    <s v="Cleaning"/>
    <n v="10"/>
    <n v="10"/>
    <n v="3.4"/>
    <s v="C0124"/>
    <s v="hArper MIllEr"/>
    <s v="Shipped"/>
    <x v="4"/>
    <x v="0"/>
    <s v="Harper Miller"/>
    <n v="100"/>
    <n v="34"/>
    <n v="66"/>
  </r>
  <r>
    <s v="OR0896"/>
    <d v="2024-11-19T00:00:00"/>
    <s v="Nov"/>
    <s v="2024"/>
    <x v="0"/>
    <s v="Cleaning"/>
    <n v="1"/>
    <n v="10"/>
    <n v="3.72"/>
    <s v="C0022"/>
    <s v="jAmES sMiTH"/>
    <s v="Shipped"/>
    <x v="2"/>
    <x v="0"/>
    <s v="James Smith"/>
    <n v="10"/>
    <n v="3.72"/>
    <n v="6.2799999999999994"/>
  </r>
  <r>
    <s v="OR0897"/>
    <d v="2024-11-20T00:00:00"/>
    <s v="Nov"/>
    <s v="2024"/>
    <x v="1"/>
    <s v="Bags"/>
    <n v="10"/>
    <n v="25"/>
    <n v="9.86"/>
    <s v="C0001"/>
    <s v="nOAH SmITH"/>
    <s v="Pending"/>
    <x v="8"/>
    <x v="1"/>
    <s v="Noah Smith"/>
    <n v="250"/>
    <n v="98.6"/>
    <n v="151.4"/>
  </r>
  <r>
    <s v="OR0898"/>
    <d v="2024-11-21T00:00:00"/>
    <s v="Nov"/>
    <s v="2024"/>
    <x v="4"/>
    <s v="Gardening"/>
    <n v="2"/>
    <n v="12"/>
    <n v="4.3899999999999997"/>
    <s v="C0162"/>
    <s v="Ethan mILLeR"/>
    <s v="Delivered"/>
    <x v="8"/>
    <x v="4"/>
    <s v="Ethan Miller"/>
    <n v="24"/>
    <n v="8.7799999999999994"/>
    <n v="15.22"/>
  </r>
  <r>
    <s v="OR0899"/>
    <d v="2024-11-22T00:00:00"/>
    <s v="Nov"/>
    <s v="2024"/>
    <x v="3"/>
    <s v="Kitchenware"/>
    <n v="1"/>
    <n v="15"/>
    <n v="3.55"/>
    <s v="C0196"/>
    <s v="mia MILLER"/>
    <s v="Delivered"/>
    <x v="2"/>
    <x v="3"/>
    <s v="Mia Miller"/>
    <n v="15"/>
    <n v="3.55"/>
    <n v="11.45"/>
  </r>
  <r>
    <s v="OR0900"/>
    <d v="2024-11-22T00:00:00"/>
    <s v="Nov"/>
    <s v="2024"/>
    <x v="3"/>
    <s v="Kitchenware"/>
    <n v="7"/>
    <n v="15"/>
    <n v="4.03"/>
    <s v="C0136"/>
    <s v="luCAS smITH"/>
    <s v="Delivered"/>
    <x v="9"/>
    <x v="3"/>
    <s v="Lucas Smith"/>
    <n v="105"/>
    <n v="28.21"/>
    <n v="76.789999999999992"/>
  </r>
  <r>
    <s v="OR0901"/>
    <d v="2024-11-23T00:00:00"/>
    <s v="Nov"/>
    <s v="2024"/>
    <x v="1"/>
    <s v="Bags"/>
    <n v="1"/>
    <n v="25"/>
    <n v="9.8800000000000008"/>
    <s v="C0036"/>
    <s v="iSaBElLA MILLER"/>
    <s v="Delivered"/>
    <x v="2"/>
    <x v="1"/>
    <s v="Isabella Miller"/>
    <n v="25"/>
    <n v="9.8800000000000008"/>
    <n v="15.12"/>
  </r>
  <r>
    <s v="OR0902"/>
    <d v="2024-11-23T00:00:00"/>
    <s v="Nov"/>
    <s v="2024"/>
    <x v="1"/>
    <s v="Bags"/>
    <n v="8"/>
    <n v="25"/>
    <n v="6.58"/>
    <s v="C0014"/>
    <s v="CHARlOtTe GArCIA"/>
    <s v="Delivered"/>
    <x v="8"/>
    <x v="1"/>
    <s v="Charlotte Garcia"/>
    <n v="200"/>
    <n v="52.64"/>
    <n v="147.36000000000001"/>
  </r>
  <r>
    <s v="OR0903"/>
    <d v="2024-11-23T00:00:00"/>
    <s v="Nov"/>
    <s v="2024"/>
    <x v="1"/>
    <s v="Bags"/>
    <n v="8"/>
    <n v="25"/>
    <n v="6.56"/>
    <s v="C0011"/>
    <s v="jaMEs wilLIAMs"/>
    <s v="Shipped"/>
    <x v="1"/>
    <x v="1"/>
    <s v="James Williams"/>
    <n v="200"/>
    <n v="52.48"/>
    <n v="147.52000000000001"/>
  </r>
  <r>
    <s v="OR0904"/>
    <d v="2024-11-24T00:00:00"/>
    <s v="Nov"/>
    <s v="2024"/>
    <x v="0"/>
    <s v="Cleaning"/>
    <n v="9"/>
    <n v="10"/>
    <n v="2.66"/>
    <s v="C0154"/>
    <s v="lIAm jOhnsOn"/>
    <s v="Shipped"/>
    <x v="2"/>
    <x v="0"/>
    <s v="Liam Johnson"/>
    <n v="90"/>
    <n v="23.94"/>
    <n v="66.06"/>
  </r>
  <r>
    <s v="OR0905"/>
    <d v="2024-11-26T00:00:00"/>
    <s v="Nov"/>
    <s v="2024"/>
    <x v="2"/>
    <s v="Lighting"/>
    <n v="1"/>
    <n v="40"/>
    <n v="10.130000000000001"/>
    <s v="C0180"/>
    <s v="lUCAS BROwN"/>
    <s v="Delivered"/>
    <x v="4"/>
    <x v="2"/>
    <s v="Lucas Brown"/>
    <n v="40"/>
    <n v="10.130000000000001"/>
    <n v="29.869999999999997"/>
  </r>
  <r>
    <s v="OR0906"/>
    <d v="2024-11-26T00:00:00"/>
    <s v="Nov"/>
    <s v="2024"/>
    <x v="3"/>
    <s v="Kitchenware"/>
    <n v="2"/>
    <n v="15"/>
    <n v="3.3"/>
    <s v="C0044"/>
    <s v="soPHiA DaVIs"/>
    <s v="Shipped"/>
    <x v="5"/>
    <x v="3"/>
    <s v="Sophia Davis"/>
    <n v="30"/>
    <n v="6.6"/>
    <n v="23.4"/>
  </r>
  <r>
    <s v="OR0907"/>
    <d v="2024-11-26T00:00:00"/>
    <s v="Nov"/>
    <s v="2024"/>
    <x v="3"/>
    <s v="Kitchenware"/>
    <n v="6"/>
    <n v="15"/>
    <n v="5.45"/>
    <s v="C0161"/>
    <s v="CHARlOttE gArCiA"/>
    <s v="Shipped"/>
    <x v="3"/>
    <x v="3"/>
    <s v="Charlotte Garcia"/>
    <n v="90"/>
    <n v="32.700000000000003"/>
    <n v="57.3"/>
  </r>
  <r>
    <s v="OR0908"/>
    <d v="2024-11-26T00:00:00"/>
    <s v="Nov"/>
    <s v="2024"/>
    <x v="2"/>
    <s v="Lighting"/>
    <n v="2"/>
    <n v="40"/>
    <n v="12.19"/>
    <s v="C0198"/>
    <s v="ELiJAH jOneS"/>
    <s v="Delivered"/>
    <x v="8"/>
    <x v="2"/>
    <s v="Elijah Jones"/>
    <n v="80"/>
    <n v="24.38"/>
    <n v="55.620000000000005"/>
  </r>
  <r>
    <s v="OR0909"/>
    <d v="2024-11-26T00:00:00"/>
    <s v="Nov"/>
    <s v="2024"/>
    <x v="1"/>
    <s v="Bags"/>
    <n v="2"/>
    <n v="25"/>
    <n v="6.17"/>
    <s v="C0149"/>
    <s v="soPhiA rODriGuEZ"/>
    <s v="Delivered"/>
    <x v="6"/>
    <x v="1"/>
    <s v="Sophia Rodriguez"/>
    <n v="50"/>
    <n v="12.34"/>
    <n v="37.659999999999997"/>
  </r>
  <r>
    <s v="OR0910"/>
    <d v="2024-11-26T00:00:00"/>
    <s v="Nov"/>
    <s v="2024"/>
    <x v="1"/>
    <s v="Bags"/>
    <n v="9"/>
    <n v="25"/>
    <n v="6.35"/>
    <s v="C0172"/>
    <s v="loGAN mIlLeR"/>
    <s v="Returned"/>
    <x v="9"/>
    <x v="1"/>
    <s v="Logan Miller"/>
    <n v="225"/>
    <n v="57.15"/>
    <n v="167.85"/>
  </r>
  <r>
    <s v="OR0911"/>
    <d v="2024-11-27T00:00:00"/>
    <s v="Nov"/>
    <s v="2024"/>
    <x v="3"/>
    <s v="Kitchenware"/>
    <n v="2"/>
    <n v="15"/>
    <n v="4.1500000000000004"/>
    <s v="C0109"/>
    <s v="amEliA jOHNSOn"/>
    <s v="Shipped"/>
    <x v="3"/>
    <x v="3"/>
    <s v="Amelia Johnson"/>
    <n v="30"/>
    <n v="8.3000000000000007"/>
    <n v="21.7"/>
  </r>
  <r>
    <s v="OR0912"/>
    <d v="2024-11-27T00:00:00"/>
    <s v="Nov"/>
    <s v="2024"/>
    <x v="1"/>
    <s v="Bags"/>
    <n v="3"/>
    <n v="25"/>
    <n v="9.27"/>
    <s v="C0001"/>
    <s v="nOAH SmITH"/>
    <s v="Returned"/>
    <x v="2"/>
    <x v="1"/>
    <s v="Noah Smith"/>
    <n v="75"/>
    <n v="27.81"/>
    <n v="47.19"/>
  </r>
  <r>
    <s v="OR0913"/>
    <d v="2024-11-27T00:00:00"/>
    <s v="Nov"/>
    <s v="2024"/>
    <x v="4"/>
    <s v="Gardening"/>
    <n v="4"/>
    <n v="12"/>
    <n v="4.3899999999999997"/>
    <s v="C0004"/>
    <s v="AIDEn GArcia"/>
    <s v="Delivered"/>
    <x v="7"/>
    <x v="4"/>
    <s v="Aiden Garcia"/>
    <n v="48"/>
    <n v="17.559999999999999"/>
    <n v="30.44"/>
  </r>
  <r>
    <s v="OR0914"/>
    <d v="2024-11-27T00:00:00"/>
    <s v="Nov"/>
    <s v="2024"/>
    <x v="1"/>
    <s v="Bags"/>
    <n v="10"/>
    <n v="25"/>
    <n v="9.83"/>
    <s v="C0175"/>
    <s v="Aiden RoDrIGUEz"/>
    <s v="Shipped"/>
    <x v="2"/>
    <x v="1"/>
    <s v="Aiden Rodriguez"/>
    <n v="250"/>
    <n v="98.3"/>
    <n v="151.69999999999999"/>
  </r>
  <r>
    <s v="OR0915"/>
    <d v="2024-11-27T00:00:00"/>
    <s v="Nov"/>
    <s v="2024"/>
    <x v="4"/>
    <s v="Gardening"/>
    <n v="2"/>
    <n v="12"/>
    <n v="3.46"/>
    <s v="C0139"/>
    <s v="AmELIa GARCIa"/>
    <s v="Shipped"/>
    <x v="4"/>
    <x v="4"/>
    <s v="Amelia Garcia"/>
    <n v="24"/>
    <n v="6.92"/>
    <n v="17.079999999999998"/>
  </r>
  <r>
    <s v="OR0916"/>
    <d v="2024-11-28T00:00:00"/>
    <s v="Nov"/>
    <s v="2024"/>
    <x v="1"/>
    <s v="Bags"/>
    <n v="2"/>
    <n v="25"/>
    <n v="7.66"/>
    <s v="C0176"/>
    <s v="oLiver Miller"/>
    <s v="Delivered"/>
    <x v="2"/>
    <x v="1"/>
    <s v="Oliver Miller"/>
    <n v="50"/>
    <n v="15.32"/>
    <n v="34.68"/>
  </r>
  <r>
    <s v="OR0917"/>
    <d v="2024-11-29T00:00:00"/>
    <s v="Nov"/>
    <s v="2024"/>
    <x v="0"/>
    <s v="Cleaning"/>
    <n v="10"/>
    <n v="10"/>
    <n v="2.0299999999999998"/>
    <s v="C0025"/>
    <s v="isABeLlA garcIa"/>
    <s v="Shipped"/>
    <x v="8"/>
    <x v="0"/>
    <s v="Isabella Garcia"/>
    <n v="100"/>
    <n v="20.299999999999997"/>
    <n v="79.7"/>
  </r>
  <r>
    <s v="OR0918"/>
    <d v="2024-11-29T00:00:00"/>
    <s v="Nov"/>
    <s v="2024"/>
    <x v="0"/>
    <s v="Cleaning"/>
    <n v="10"/>
    <n v="10"/>
    <n v="3.83"/>
    <s v="C0068"/>
    <s v="LOGan jOhNson"/>
    <s v="Returned"/>
    <x v="2"/>
    <x v="0"/>
    <s v="Logan Johnson"/>
    <n v="100"/>
    <n v="38.299999999999997"/>
    <n v="61.7"/>
  </r>
  <r>
    <s v="OR0919"/>
    <d v="2024-11-29T00:00:00"/>
    <s v="Nov"/>
    <s v="2024"/>
    <x v="1"/>
    <s v="Bags"/>
    <n v="2"/>
    <n v="25"/>
    <n v="7.63"/>
    <s v="C0156"/>
    <s v="cHARlottE GArciA"/>
    <s v="Pending"/>
    <x v="8"/>
    <x v="1"/>
    <s v="Charlotte Garcia"/>
    <n v="50"/>
    <n v="15.26"/>
    <n v="34.74"/>
  </r>
  <r>
    <s v="OR0920"/>
    <d v="2024-11-29T00:00:00"/>
    <s v="Nov"/>
    <s v="2024"/>
    <x v="3"/>
    <s v="Kitchenware"/>
    <n v="4"/>
    <n v="15"/>
    <n v="4.93"/>
    <s v="C0167"/>
    <s v="aidEN bROWn"/>
    <s v="Delivered"/>
    <x v="7"/>
    <x v="3"/>
    <s v="Aiden Brown"/>
    <n v="60"/>
    <n v="19.72"/>
    <n v="40.28"/>
  </r>
  <r>
    <s v="OR0921"/>
    <d v="2024-12-01T00:00:00"/>
    <s v="Dec"/>
    <s v="2024"/>
    <x v="1"/>
    <s v="Bags"/>
    <n v="8"/>
    <n v="25"/>
    <n v="7.07"/>
    <s v="C0163"/>
    <s v="aidEN sMIth"/>
    <s v="Delivered"/>
    <x v="3"/>
    <x v="1"/>
    <s v="Aiden Smith"/>
    <n v="200"/>
    <n v="56.56"/>
    <n v="143.44"/>
  </r>
  <r>
    <s v="OR0922"/>
    <d v="2024-12-01T00:00:00"/>
    <s v="Dec"/>
    <s v="2024"/>
    <x v="4"/>
    <s v="Gardening"/>
    <n v="9"/>
    <n v="12"/>
    <n v="2.78"/>
    <s v="C0119"/>
    <s v="mAson ROdrigUEz"/>
    <s v="Shipped"/>
    <x v="4"/>
    <x v="4"/>
    <s v="Mason Rodriguez"/>
    <n v="108"/>
    <n v="25.02"/>
    <n v="82.98"/>
  </r>
  <r>
    <s v="OR0923"/>
    <d v="2024-12-01T00:00:00"/>
    <s v="Dec"/>
    <s v="2024"/>
    <x v="2"/>
    <s v="Lighting"/>
    <n v="3"/>
    <n v="40"/>
    <n v="15.33"/>
    <s v="C0155"/>
    <s v="jAmEs MIlLeR"/>
    <s v="Delivered"/>
    <x v="0"/>
    <x v="2"/>
    <s v="James Miller"/>
    <n v="120"/>
    <n v="45.99"/>
    <n v="74.009999999999991"/>
  </r>
  <r>
    <s v="OR0924"/>
    <d v="2024-12-02T00:00:00"/>
    <s v="Dec"/>
    <s v="2024"/>
    <x v="4"/>
    <s v="Gardening"/>
    <n v="1"/>
    <n v="12"/>
    <n v="4.46"/>
    <s v="C0114"/>
    <s v="cHARlottE Jones"/>
    <s v="Shipped"/>
    <x v="4"/>
    <x v="4"/>
    <s v="Charlotte Jones"/>
    <n v="12"/>
    <n v="4.46"/>
    <n v="7.54"/>
  </r>
  <r>
    <s v="OR0925"/>
    <d v="2024-12-03T00:00:00"/>
    <s v="Dec"/>
    <s v="2024"/>
    <x v="3"/>
    <s v="Kitchenware"/>
    <n v="10"/>
    <n v="15"/>
    <n v="3.12"/>
    <s v="C0019"/>
    <s v="AIDeN MArtIneZ"/>
    <s v="Delivered"/>
    <x v="2"/>
    <x v="3"/>
    <s v="Aiden Martinez"/>
    <n v="150"/>
    <n v="31.200000000000003"/>
    <n v="118.8"/>
  </r>
  <r>
    <s v="OR0926"/>
    <d v="2024-12-03T00:00:00"/>
    <s v="Dec"/>
    <s v="2024"/>
    <x v="1"/>
    <s v="Bags"/>
    <n v="5"/>
    <n v="25"/>
    <n v="5.22"/>
    <s v="C0007"/>
    <s v="ava BRoWN"/>
    <s v="Pending"/>
    <x v="8"/>
    <x v="1"/>
    <s v="Ava Brown"/>
    <n v="125"/>
    <n v="26.099999999999998"/>
    <n v="98.9"/>
  </r>
  <r>
    <s v="OR0927"/>
    <d v="2024-12-04T00:00:00"/>
    <s v="Dec"/>
    <s v="2024"/>
    <x v="1"/>
    <s v="Bags"/>
    <n v="2"/>
    <n v="25"/>
    <n v="7.12"/>
    <s v="C0107"/>
    <s v="MAson DAVIs"/>
    <s v="Pending"/>
    <x v="1"/>
    <x v="1"/>
    <s v="Mason Davis"/>
    <n v="50"/>
    <n v="14.24"/>
    <n v="35.76"/>
  </r>
  <r>
    <s v="OR0928"/>
    <d v="2024-12-05T00:00:00"/>
    <s v="Dec"/>
    <s v="2024"/>
    <x v="4"/>
    <s v="Gardening"/>
    <n v="4"/>
    <n v="12"/>
    <n v="4.01"/>
    <s v="C0029"/>
    <s v="hARpER MARtIneZ"/>
    <s v="Delivered"/>
    <x v="8"/>
    <x v="4"/>
    <s v="Harper Martinez"/>
    <n v="48"/>
    <n v="16.04"/>
    <n v="31.96"/>
  </r>
  <r>
    <s v="OR0929"/>
    <d v="2024-12-05T00:00:00"/>
    <s v="Dec"/>
    <s v="2024"/>
    <x v="2"/>
    <s v="Lighting"/>
    <n v="8"/>
    <n v="40"/>
    <n v="8.52"/>
    <s v="C0182"/>
    <s v="AVA MilLEr"/>
    <s v="Delivered"/>
    <x v="0"/>
    <x v="2"/>
    <s v="Ava Miller"/>
    <n v="320"/>
    <n v="68.16"/>
    <n v="251.84"/>
  </r>
  <r>
    <s v="OR0930"/>
    <d v="2024-12-05T00:00:00"/>
    <s v="Dec"/>
    <s v="2024"/>
    <x v="1"/>
    <s v="Bags"/>
    <n v="10"/>
    <n v="25"/>
    <n v="6.39"/>
    <s v="C0142"/>
    <s v="haRpeR GArCiA"/>
    <s v="Shipped"/>
    <x v="6"/>
    <x v="1"/>
    <s v="Harper Garcia"/>
    <n v="250"/>
    <n v="63.9"/>
    <n v="186.1"/>
  </r>
  <r>
    <s v="OR0931"/>
    <d v="2024-12-05T00:00:00"/>
    <s v="Dec"/>
    <s v="2024"/>
    <x v="1"/>
    <s v="Bags"/>
    <n v="6"/>
    <n v="25"/>
    <n v="7.8"/>
    <s v="C0197"/>
    <s v="noah wIlliaMS"/>
    <s v="Shipped"/>
    <x v="1"/>
    <x v="1"/>
    <s v="Noah Williams"/>
    <n v="150"/>
    <n v="46.8"/>
    <n v="103.2"/>
  </r>
  <r>
    <s v="OR0932"/>
    <d v="2024-12-05T00:00:00"/>
    <s v="Dec"/>
    <s v="2024"/>
    <x v="2"/>
    <s v="Lighting"/>
    <n v="4"/>
    <n v="40"/>
    <n v="8.2899999999999991"/>
    <s v="C0106"/>
    <s v="aVA MartINez"/>
    <s v="Shipped"/>
    <x v="4"/>
    <x v="2"/>
    <s v="Ava Martinez"/>
    <n v="160"/>
    <n v="33.159999999999997"/>
    <n v="126.84"/>
  </r>
  <r>
    <s v="OR0933"/>
    <d v="2024-12-06T00:00:00"/>
    <s v="Dec"/>
    <s v="2024"/>
    <x v="0"/>
    <s v="Cleaning"/>
    <n v="10"/>
    <n v="10"/>
    <n v="3.14"/>
    <s v="C0121"/>
    <s v="aideN jOneS"/>
    <s v="Delivered"/>
    <x v="7"/>
    <x v="0"/>
    <s v="Aiden Jones"/>
    <n v="100"/>
    <n v="31.400000000000002"/>
    <n v="68.599999999999994"/>
  </r>
  <r>
    <s v="OR0934"/>
    <d v="2024-12-06T00:00:00"/>
    <s v="Dec"/>
    <s v="2024"/>
    <x v="1"/>
    <s v="Bags"/>
    <n v="3"/>
    <n v="25"/>
    <n v="8.4700000000000006"/>
    <s v="C0079"/>
    <s v="OlIVIA willIams"/>
    <s v="Shipped"/>
    <x v="4"/>
    <x v="1"/>
    <s v="Olivia Williams"/>
    <n v="75"/>
    <n v="25.410000000000004"/>
    <n v="49.589999999999996"/>
  </r>
  <r>
    <s v="OR0935"/>
    <d v="2024-12-06T00:00:00"/>
    <s v="Dec"/>
    <s v="2024"/>
    <x v="2"/>
    <s v="Lighting"/>
    <n v="9"/>
    <n v="40"/>
    <n v="14.84"/>
    <s v="C0190"/>
    <s v="mASON WILliaMS"/>
    <s v="Delivered"/>
    <x v="0"/>
    <x v="2"/>
    <s v="Mason Williams"/>
    <n v="360"/>
    <n v="133.56"/>
    <n v="226.44"/>
  </r>
  <r>
    <s v="OR0936"/>
    <d v="2024-12-07T00:00:00"/>
    <s v="Dec"/>
    <s v="2024"/>
    <x v="0"/>
    <s v="Cleaning"/>
    <n v="6"/>
    <n v="10"/>
    <n v="3.49"/>
    <s v="C0057"/>
    <s v="EvElyn MiLLeR"/>
    <s v="Delivered"/>
    <x v="7"/>
    <x v="0"/>
    <s v="Evelyn Miller"/>
    <n v="60"/>
    <n v="20.94"/>
    <n v="39.06"/>
  </r>
  <r>
    <s v="OR0937"/>
    <d v="2024-12-07T00:00:00"/>
    <s v="Dec"/>
    <s v="2024"/>
    <x v="3"/>
    <s v="Kitchenware"/>
    <n v="2"/>
    <n v="15"/>
    <n v="5.61"/>
    <s v="C0033"/>
    <s v="miA roDriGuez"/>
    <s v="Delivered"/>
    <x v="0"/>
    <x v="3"/>
    <s v="Mia Rodriguez"/>
    <n v="30"/>
    <n v="11.22"/>
    <n v="18.78"/>
  </r>
  <r>
    <s v="OR0938"/>
    <d v="2024-12-07T00:00:00"/>
    <s v="Dec"/>
    <s v="2024"/>
    <x v="1"/>
    <s v="Bags"/>
    <n v="7"/>
    <n v="25"/>
    <n v="7.45"/>
    <s v="C0052"/>
    <s v="Mia joHnSon"/>
    <s v="Delivered"/>
    <x v="1"/>
    <x v="1"/>
    <s v="Mia Johnson"/>
    <n v="175"/>
    <n v="52.15"/>
    <n v="122.85"/>
  </r>
  <r>
    <s v="OR0939"/>
    <d v="2024-12-09T00:00:00"/>
    <s v="Dec"/>
    <s v="2024"/>
    <x v="2"/>
    <s v="Lighting"/>
    <n v="3"/>
    <n v="40"/>
    <n v="13.88"/>
    <s v="C0143"/>
    <s v="jAmEs mIllER"/>
    <s v="Delivered"/>
    <x v="8"/>
    <x v="2"/>
    <s v="James Miller"/>
    <n v="120"/>
    <n v="41.64"/>
    <n v="78.36"/>
  </r>
  <r>
    <s v="OR0940"/>
    <d v="2024-12-09T00:00:00"/>
    <s v="Dec"/>
    <s v="2024"/>
    <x v="2"/>
    <s v="Lighting"/>
    <n v="10"/>
    <n v="40"/>
    <n v="10.5"/>
    <s v="C0152"/>
    <s v="ETHAn GArCIa"/>
    <s v="Delivered"/>
    <x v="6"/>
    <x v="2"/>
    <s v="Ethan Garcia"/>
    <n v="400"/>
    <n v="105"/>
    <n v="295"/>
  </r>
  <r>
    <s v="OR0941"/>
    <d v="2024-12-10T00:00:00"/>
    <s v="Dec"/>
    <s v="2024"/>
    <x v="3"/>
    <s v="Kitchenware"/>
    <n v="3"/>
    <n v="15"/>
    <n v="3.32"/>
    <s v="C0065"/>
    <s v="avA rodRiGUEz"/>
    <s v="Delivered"/>
    <x v="3"/>
    <x v="3"/>
    <s v="Ava Rodriguez"/>
    <n v="45"/>
    <n v="9.9599999999999991"/>
    <n v="35.04"/>
  </r>
  <r>
    <s v="OR0942"/>
    <d v="2024-12-10T00:00:00"/>
    <s v="Dec"/>
    <s v="2024"/>
    <x v="2"/>
    <s v="Lighting"/>
    <n v="10"/>
    <n v="40"/>
    <n v="11.45"/>
    <s v="C0196"/>
    <s v="mia MILLER"/>
    <s v="Pending"/>
    <x v="6"/>
    <x v="2"/>
    <s v="Mia Miller"/>
    <n v="400"/>
    <n v="114.5"/>
    <n v="285.5"/>
  </r>
  <r>
    <s v="OR0943"/>
    <d v="2024-12-11T00:00:00"/>
    <s v="Dec"/>
    <s v="2024"/>
    <x v="1"/>
    <s v="Bags"/>
    <n v="10"/>
    <n v="25"/>
    <n v="9.69"/>
    <s v="C0169"/>
    <s v="MaSOn DaVIs"/>
    <s v="Delivered"/>
    <x v="3"/>
    <x v="1"/>
    <s v="Mason Davis"/>
    <n v="250"/>
    <n v="96.899999999999991"/>
    <n v="153.10000000000002"/>
  </r>
  <r>
    <s v="OR0944"/>
    <d v="2024-12-11T00:00:00"/>
    <s v="Dec"/>
    <s v="2024"/>
    <x v="4"/>
    <s v="Gardening"/>
    <n v="9"/>
    <n v="12"/>
    <n v="3.65"/>
    <s v="C0148"/>
    <s v="aVA RODrIGUEZ"/>
    <s v="Pending"/>
    <x v="0"/>
    <x v="4"/>
    <s v="Ava Rodriguez"/>
    <n v="108"/>
    <n v="32.85"/>
    <n v="75.150000000000006"/>
  </r>
  <r>
    <s v="OR0945"/>
    <d v="2024-12-11T00:00:00"/>
    <s v="Dec"/>
    <s v="2024"/>
    <x v="1"/>
    <s v="Bags"/>
    <n v="5"/>
    <n v="25"/>
    <n v="8.9600000000000009"/>
    <s v="C0079"/>
    <s v="OlIVIA willIams"/>
    <s v="Delivered"/>
    <x v="4"/>
    <x v="1"/>
    <s v="Olivia Williams"/>
    <n v="125"/>
    <n v="44.800000000000004"/>
    <n v="80.199999999999989"/>
  </r>
  <r>
    <s v="OR0946"/>
    <d v="2024-12-11T00:00:00"/>
    <s v="Dec"/>
    <s v="2024"/>
    <x v="1"/>
    <s v="Bags"/>
    <n v="4"/>
    <n v="25"/>
    <n v="9.9499999999999993"/>
    <s v="C0030"/>
    <s v="cHARLoTTe DAvIs"/>
    <s v="Delivered"/>
    <x v="4"/>
    <x v="1"/>
    <s v="Charlotte Davis"/>
    <n v="100"/>
    <n v="39.799999999999997"/>
    <n v="60.2"/>
  </r>
  <r>
    <s v="OR0947"/>
    <d v="2024-12-11T00:00:00"/>
    <s v="Dec"/>
    <s v="2024"/>
    <x v="4"/>
    <s v="Gardening"/>
    <n v="3"/>
    <n v="12"/>
    <n v="4.3899999999999997"/>
    <s v="C0007"/>
    <s v="ava BRoWN"/>
    <s v="Shipped"/>
    <x v="4"/>
    <x v="4"/>
    <s v="Ava Brown"/>
    <n v="36"/>
    <n v="13.169999999999998"/>
    <n v="22.830000000000002"/>
  </r>
  <r>
    <s v="OR0948"/>
    <d v="2024-12-12T00:00:00"/>
    <s v="Dec"/>
    <s v="2024"/>
    <x v="1"/>
    <s v="Bags"/>
    <n v="5"/>
    <n v="25"/>
    <n v="9.1199999999999992"/>
    <s v="C0102"/>
    <s v="Liam bROwn"/>
    <s v="Delivered"/>
    <x v="9"/>
    <x v="1"/>
    <s v="Liam Brown"/>
    <n v="125"/>
    <n v="45.599999999999994"/>
    <n v="79.400000000000006"/>
  </r>
  <r>
    <s v="OR0949"/>
    <d v="2024-12-12T00:00:00"/>
    <s v="Dec"/>
    <s v="2024"/>
    <x v="0"/>
    <s v="Cleaning"/>
    <n v="5"/>
    <n v="10"/>
    <n v="2.04"/>
    <s v="C0109"/>
    <s v="amEliA jOHNSOn"/>
    <s v="Delivered"/>
    <x v="0"/>
    <x v="0"/>
    <s v="Amelia Johnson"/>
    <n v="50"/>
    <n v="10.199999999999999"/>
    <n v="39.799999999999997"/>
  </r>
  <r>
    <s v="OR0950"/>
    <d v="2024-12-13T00:00:00"/>
    <s v="Dec"/>
    <s v="2024"/>
    <x v="3"/>
    <s v="Kitchenware"/>
    <n v="5"/>
    <n v="15"/>
    <n v="5.67"/>
    <s v="C0199"/>
    <s v="oLIvIA MILLEr"/>
    <s v="Delivered"/>
    <x v="1"/>
    <x v="3"/>
    <s v="Olivia Miller"/>
    <n v="75"/>
    <n v="28.35"/>
    <n v="46.65"/>
  </r>
  <r>
    <s v="OR0951"/>
    <d v="2024-12-13T00:00:00"/>
    <s v="Dec"/>
    <s v="2024"/>
    <x v="3"/>
    <s v="Kitchenware"/>
    <n v="1"/>
    <n v="15"/>
    <n v="5.36"/>
    <s v="C0098"/>
    <s v="IsAbElLA brOWn"/>
    <s v="Returned"/>
    <x v="5"/>
    <x v="3"/>
    <s v="Isabella Brown"/>
    <n v="15"/>
    <n v="5.36"/>
    <n v="9.64"/>
  </r>
  <r>
    <s v="OR0952"/>
    <d v="2024-12-14T00:00:00"/>
    <s v="Dec"/>
    <s v="2024"/>
    <x v="3"/>
    <s v="Kitchenware"/>
    <n v="5"/>
    <n v="15"/>
    <n v="3.45"/>
    <s v="C0019"/>
    <s v="AIDeN MArtIneZ"/>
    <s v="Delivered"/>
    <x v="5"/>
    <x v="3"/>
    <s v="Aiden Martinez"/>
    <n v="75"/>
    <n v="17.25"/>
    <n v="57.75"/>
  </r>
  <r>
    <s v="OR0953"/>
    <d v="2024-12-15T00:00:00"/>
    <s v="Dec"/>
    <s v="2024"/>
    <x v="4"/>
    <s v="Gardening"/>
    <n v="9"/>
    <n v="12"/>
    <n v="3.54"/>
    <s v="C0086"/>
    <s v="OlIVER johnsOn"/>
    <s v="Delivered"/>
    <x v="7"/>
    <x v="4"/>
    <s v="Oliver Johnson"/>
    <n v="108"/>
    <n v="31.86"/>
    <n v="76.14"/>
  </r>
  <r>
    <s v="OR0954"/>
    <d v="2024-12-15T00:00:00"/>
    <s v="Dec"/>
    <s v="2024"/>
    <x v="4"/>
    <s v="Gardening"/>
    <n v="5"/>
    <n v="12"/>
    <n v="4.01"/>
    <s v="C0049"/>
    <s v="AmElIA jOHNSon"/>
    <s v="Delivered"/>
    <x v="5"/>
    <x v="4"/>
    <s v="Amelia Johnson"/>
    <n v="60"/>
    <n v="20.049999999999997"/>
    <n v="39.950000000000003"/>
  </r>
  <r>
    <s v="OR0955"/>
    <d v="2024-12-15T00:00:00"/>
    <s v="Dec"/>
    <s v="2024"/>
    <x v="2"/>
    <s v="Lighting"/>
    <n v="10"/>
    <n v="40"/>
    <n v="15.7"/>
    <s v="C0003"/>
    <s v="SOpHia GaRcIa"/>
    <s v="Shipped"/>
    <x v="4"/>
    <x v="2"/>
    <s v="Sophia Garcia"/>
    <n v="400"/>
    <n v="157"/>
    <n v="243"/>
  </r>
  <r>
    <s v="OR0956"/>
    <d v="2024-12-15T00:00:00"/>
    <s v="Dec"/>
    <s v="2024"/>
    <x v="2"/>
    <s v="Lighting"/>
    <n v="3"/>
    <n v="40"/>
    <n v="12.54"/>
    <s v="C0005"/>
    <s v="eLiJAH garCiA"/>
    <s v="Delivered"/>
    <x v="4"/>
    <x v="2"/>
    <s v="Elijah Garcia"/>
    <n v="120"/>
    <n v="37.619999999999997"/>
    <n v="82.38"/>
  </r>
  <r>
    <s v="OR0957"/>
    <d v="2024-12-15T00:00:00"/>
    <s v="Dec"/>
    <s v="2024"/>
    <x v="1"/>
    <s v="Bags"/>
    <n v="5"/>
    <n v="25"/>
    <n v="8.98"/>
    <s v="C0112"/>
    <s v="eLijAh wIlLIAMs"/>
    <s v="Pending"/>
    <x v="0"/>
    <x v="1"/>
    <s v="Elijah Williams"/>
    <n v="125"/>
    <n v="44.900000000000006"/>
    <n v="80.099999999999994"/>
  </r>
  <r>
    <s v="OR0958"/>
    <d v="2024-12-16T00:00:00"/>
    <s v="Dec"/>
    <s v="2024"/>
    <x v="2"/>
    <s v="Lighting"/>
    <n v="7"/>
    <n v="40"/>
    <n v="14.44"/>
    <s v="C0195"/>
    <s v="MASoN dAVis"/>
    <s v="Delivered"/>
    <x v="1"/>
    <x v="2"/>
    <s v="Mason Davis"/>
    <n v="280"/>
    <n v="101.08"/>
    <n v="178.92000000000002"/>
  </r>
  <r>
    <s v="OR0959"/>
    <d v="2024-12-16T00:00:00"/>
    <s v="Dec"/>
    <s v="2024"/>
    <x v="2"/>
    <s v="Lighting"/>
    <n v="8"/>
    <n v="40"/>
    <n v="9.3699999999999992"/>
    <s v="C0197"/>
    <s v="noah wIlliaMS"/>
    <s v="Delivered"/>
    <x v="1"/>
    <x v="2"/>
    <s v="Noah Williams"/>
    <n v="320"/>
    <n v="74.959999999999994"/>
    <n v="245.04000000000002"/>
  </r>
  <r>
    <s v="OR0960"/>
    <d v="2024-12-16T00:00:00"/>
    <s v="Dec"/>
    <s v="2024"/>
    <x v="4"/>
    <s v="Gardening"/>
    <n v="8"/>
    <n v="12"/>
    <n v="2.73"/>
    <s v="C0155"/>
    <s v="jAmEs MIlLeR"/>
    <s v="Shipped"/>
    <x v="0"/>
    <x v="4"/>
    <s v="James Miller"/>
    <n v="96"/>
    <n v="21.84"/>
    <n v="74.16"/>
  </r>
  <r>
    <s v="OR0961"/>
    <d v="2024-12-17T00:00:00"/>
    <s v="Dec"/>
    <s v="2024"/>
    <x v="3"/>
    <s v="Kitchenware"/>
    <n v="5"/>
    <n v="15"/>
    <n v="5.13"/>
    <s v="C0020"/>
    <s v="JAmES joNeS"/>
    <s v="Delivered"/>
    <x v="5"/>
    <x v="3"/>
    <s v="James Jones"/>
    <n v="75"/>
    <n v="25.65"/>
    <n v="49.35"/>
  </r>
  <r>
    <s v="OR0962"/>
    <d v="2024-12-17T00:00:00"/>
    <s v="Dec"/>
    <s v="2024"/>
    <x v="0"/>
    <s v="Cleaning"/>
    <n v="3"/>
    <n v="10"/>
    <n v="2.86"/>
    <s v="C0048"/>
    <s v="ELIJah bROwn"/>
    <s v="Delivered"/>
    <x v="2"/>
    <x v="0"/>
    <s v="Elijah Brown"/>
    <n v="30"/>
    <n v="8.58"/>
    <n v="21.42"/>
  </r>
  <r>
    <s v="OR0963"/>
    <d v="2024-12-17T00:00:00"/>
    <s v="Dec"/>
    <s v="2024"/>
    <x v="3"/>
    <s v="Kitchenware"/>
    <n v="10"/>
    <n v="15"/>
    <n v="5.18"/>
    <s v="C0034"/>
    <s v="EtHan RodrIgUEz"/>
    <s v="Delivered"/>
    <x v="0"/>
    <x v="3"/>
    <s v="Ethan Rodriguez"/>
    <n v="150"/>
    <n v="51.8"/>
    <n v="98.2"/>
  </r>
  <r>
    <s v="OR0964"/>
    <d v="2024-12-17T00:00:00"/>
    <s v="Dec"/>
    <s v="2024"/>
    <x v="1"/>
    <s v="Bags"/>
    <n v="7"/>
    <n v="25"/>
    <n v="9.41"/>
    <s v="C0035"/>
    <s v="EVeLyN marTinez"/>
    <s v="Delivered"/>
    <x v="0"/>
    <x v="1"/>
    <s v="Evelyn Martinez"/>
    <n v="175"/>
    <n v="65.87"/>
    <n v="109.13"/>
  </r>
  <r>
    <s v="OR0965"/>
    <d v="2024-12-18T00:00:00"/>
    <s v="Dec"/>
    <s v="2024"/>
    <x v="2"/>
    <s v="Lighting"/>
    <n v="3"/>
    <n v="40"/>
    <n v="12.72"/>
    <s v="C0147"/>
    <s v="LuCaS williAmS"/>
    <s v="Shipped"/>
    <x v="2"/>
    <x v="2"/>
    <s v="Lucas Williams"/>
    <n v="120"/>
    <n v="38.160000000000004"/>
    <n v="81.84"/>
  </r>
  <r>
    <s v="OR0966"/>
    <d v="2024-12-18T00:00:00"/>
    <s v="Dec"/>
    <s v="2024"/>
    <x v="1"/>
    <s v="Bags"/>
    <n v="2"/>
    <n v="25"/>
    <n v="7.31"/>
    <s v="C0187"/>
    <s v="avA rODRIgUeZ"/>
    <s v="Shipped"/>
    <x v="8"/>
    <x v="1"/>
    <s v="Ava Rodriguez"/>
    <n v="50"/>
    <n v="14.62"/>
    <n v="35.380000000000003"/>
  </r>
  <r>
    <s v="OR0967"/>
    <d v="2024-12-18T00:00:00"/>
    <s v="Dec"/>
    <s v="2024"/>
    <x v="0"/>
    <s v="Cleaning"/>
    <n v="2"/>
    <n v="10"/>
    <n v="3.87"/>
    <s v="C0127"/>
    <s v="NOAH MArtiNEZ"/>
    <s v="Delivered"/>
    <x v="0"/>
    <x v="0"/>
    <s v="Noah Martinez"/>
    <n v="20"/>
    <n v="7.74"/>
    <n v="12.26"/>
  </r>
  <r>
    <s v="OR0968"/>
    <d v="2024-12-18T00:00:00"/>
    <s v="Dec"/>
    <s v="2024"/>
    <x v="1"/>
    <s v="Bags"/>
    <n v="3"/>
    <n v="25"/>
    <n v="8.4600000000000009"/>
    <s v="C0105"/>
    <s v="elIjah DavIS"/>
    <s v="Delivered"/>
    <x v="3"/>
    <x v="1"/>
    <s v="Elijah Davis"/>
    <n v="75"/>
    <n v="25.380000000000003"/>
    <n v="49.62"/>
  </r>
  <r>
    <s v="OR0969"/>
    <d v="2024-12-19T00:00:00"/>
    <s v="Dec"/>
    <s v="2024"/>
    <x v="3"/>
    <s v="Kitchenware"/>
    <n v="8"/>
    <n v="15"/>
    <n v="4.0199999999999996"/>
    <s v="C0091"/>
    <s v="aIDen WIlliAMs"/>
    <s v="Delivered"/>
    <x v="0"/>
    <x v="3"/>
    <s v="Aiden Williams"/>
    <n v="120"/>
    <n v="32.159999999999997"/>
    <n v="87.84"/>
  </r>
  <r>
    <s v="OR0970"/>
    <d v="2024-12-19T00:00:00"/>
    <s v="Dec"/>
    <s v="2024"/>
    <x v="2"/>
    <s v="Lighting"/>
    <n v="6"/>
    <n v="40"/>
    <n v="8.58"/>
    <s v="C0123"/>
    <s v="olIvIa DAVis"/>
    <s v="Shipped"/>
    <x v="2"/>
    <x v="2"/>
    <s v="Olivia Davis"/>
    <n v="240"/>
    <n v="51.480000000000004"/>
    <n v="188.51999999999998"/>
  </r>
  <r>
    <s v="OR0971"/>
    <d v="2024-12-19T00:00:00"/>
    <s v="Dec"/>
    <s v="2024"/>
    <x v="4"/>
    <s v="Gardening"/>
    <n v="10"/>
    <n v="12"/>
    <n v="2.78"/>
    <s v="C0185"/>
    <s v="haRper sMITH"/>
    <s v="Delivered"/>
    <x v="7"/>
    <x v="4"/>
    <s v="Harper Smith"/>
    <n v="120"/>
    <n v="27.799999999999997"/>
    <n v="92.2"/>
  </r>
  <r>
    <s v="OR0972"/>
    <d v="2024-12-20T00:00:00"/>
    <s v="Dec"/>
    <s v="2024"/>
    <x v="2"/>
    <s v="Lighting"/>
    <n v="5"/>
    <n v="40"/>
    <n v="14.51"/>
    <s v="C0143"/>
    <s v="jAmEs mIllER"/>
    <s v="Delivered"/>
    <x v="0"/>
    <x v="2"/>
    <s v="James Miller"/>
    <n v="200"/>
    <n v="72.55"/>
    <n v="127.45"/>
  </r>
  <r>
    <s v="OR0973"/>
    <d v="2024-12-20T00:00:00"/>
    <s v="Dec"/>
    <s v="2024"/>
    <x v="0"/>
    <s v="Cleaning"/>
    <n v="9"/>
    <n v="10"/>
    <n v="3.78"/>
    <s v="C0092"/>
    <s v="HarPEr GARCIa"/>
    <s v="Returned"/>
    <x v="1"/>
    <x v="0"/>
    <s v="Harper Garcia"/>
    <n v="90"/>
    <n v="34.019999999999996"/>
    <n v="55.980000000000004"/>
  </r>
  <r>
    <s v="OR0974"/>
    <d v="2024-12-20T00:00:00"/>
    <s v="Dec"/>
    <s v="2024"/>
    <x v="1"/>
    <s v="Bags"/>
    <n v="2"/>
    <n v="25"/>
    <n v="9.3000000000000007"/>
    <s v="C0144"/>
    <s v="lIAM jOneS"/>
    <s v="Pending"/>
    <x v="1"/>
    <x v="1"/>
    <s v="Liam Jones"/>
    <n v="50"/>
    <n v="18.600000000000001"/>
    <n v="31.4"/>
  </r>
  <r>
    <s v="OR0975"/>
    <d v="2024-12-21T00:00:00"/>
    <s v="Dec"/>
    <s v="2024"/>
    <x v="3"/>
    <s v="Kitchenware"/>
    <n v="9"/>
    <n v="15"/>
    <n v="4.68"/>
    <s v="C0183"/>
    <s v="AIDEN davIS"/>
    <s v="Pending"/>
    <x v="3"/>
    <x v="3"/>
    <s v="Aiden Davis"/>
    <n v="135"/>
    <n v="42.12"/>
    <n v="92.88"/>
  </r>
  <r>
    <s v="OR0976"/>
    <d v="2024-12-21T00:00:00"/>
    <s v="Dec"/>
    <s v="2024"/>
    <x v="2"/>
    <s v="Lighting"/>
    <n v="8"/>
    <n v="40"/>
    <n v="15.62"/>
    <s v="C0085"/>
    <s v="eThan mARTIneZ"/>
    <s v="Delivered"/>
    <x v="4"/>
    <x v="2"/>
    <s v="Ethan Martinez"/>
    <n v="320"/>
    <n v="124.96"/>
    <n v="195.04000000000002"/>
  </r>
  <r>
    <s v="OR0977"/>
    <d v="2024-12-21T00:00:00"/>
    <s v="Dec"/>
    <s v="2024"/>
    <x v="0"/>
    <s v="Cleaning"/>
    <n v="5"/>
    <n v="10"/>
    <n v="3.28"/>
    <s v="C0150"/>
    <s v="NOAh roDrigUEz"/>
    <s v="Delivered"/>
    <x v="3"/>
    <x v="0"/>
    <s v="Noah Rodriguez"/>
    <n v="50"/>
    <n v="16.399999999999999"/>
    <n v="33.6"/>
  </r>
  <r>
    <s v="OR0978"/>
    <d v="2024-12-21T00:00:00"/>
    <s v="Dec"/>
    <s v="2024"/>
    <x v="0"/>
    <s v="Cleaning"/>
    <n v="3"/>
    <n v="10"/>
    <n v="3.25"/>
    <s v="C0043"/>
    <s v="logan roDRIgUEZ"/>
    <s v="Delivered"/>
    <x v="5"/>
    <x v="0"/>
    <s v="Logan Rodriguez"/>
    <n v="30"/>
    <n v="9.75"/>
    <n v="20.25"/>
  </r>
  <r>
    <s v="OR0979"/>
    <d v="2024-12-22T00:00:00"/>
    <s v="Dec"/>
    <s v="2024"/>
    <x v="3"/>
    <s v="Kitchenware"/>
    <n v="3"/>
    <n v="15"/>
    <n v="3.77"/>
    <s v="C0187"/>
    <s v="avA rODRIgUeZ"/>
    <s v="Delivered"/>
    <x v="2"/>
    <x v="3"/>
    <s v="Ava Rodriguez"/>
    <n v="45"/>
    <n v="11.31"/>
    <n v="33.69"/>
  </r>
  <r>
    <s v="OR0980"/>
    <d v="2024-12-22T00:00:00"/>
    <s v="Dec"/>
    <s v="2024"/>
    <x v="2"/>
    <s v="Lighting"/>
    <n v="1"/>
    <n v="40"/>
    <n v="14.45"/>
    <s v="C0028"/>
    <s v="Lucas JoNEs"/>
    <s v="Shipped"/>
    <x v="5"/>
    <x v="2"/>
    <s v="Lucas Jones"/>
    <n v="40"/>
    <n v="14.45"/>
    <n v="25.55"/>
  </r>
  <r>
    <s v="OR0981"/>
    <d v="2024-12-22T00:00:00"/>
    <s v="Dec"/>
    <s v="2024"/>
    <x v="4"/>
    <s v="Gardening"/>
    <n v="8"/>
    <n v="12"/>
    <n v="2.61"/>
    <s v="C0086"/>
    <s v="OlIVER johnsOn"/>
    <s v="Delivered"/>
    <x v="4"/>
    <x v="4"/>
    <s v="Oliver Johnson"/>
    <n v="96"/>
    <n v="20.88"/>
    <n v="75.12"/>
  </r>
  <r>
    <s v="OR0982"/>
    <d v="2024-12-22T00:00:00"/>
    <s v="Dec"/>
    <s v="2024"/>
    <x v="3"/>
    <s v="Kitchenware"/>
    <n v="4"/>
    <n v="15"/>
    <n v="4.01"/>
    <s v="C0085"/>
    <s v="eThan mARTIneZ"/>
    <s v="Pending"/>
    <x v="1"/>
    <x v="3"/>
    <s v="Ethan Martinez"/>
    <n v="60"/>
    <n v="16.04"/>
    <n v="43.96"/>
  </r>
  <r>
    <s v="OR0983"/>
    <d v="2024-12-22T00:00:00"/>
    <s v="Dec"/>
    <s v="2024"/>
    <x v="0"/>
    <s v="Cleaning"/>
    <n v="10"/>
    <n v="10"/>
    <n v="2.96"/>
    <s v="C0132"/>
    <s v="amEliA JonEs"/>
    <s v="Shipped"/>
    <x v="4"/>
    <x v="0"/>
    <s v="Amelia Jones"/>
    <n v="100"/>
    <n v="29.6"/>
    <n v="70.400000000000006"/>
  </r>
  <r>
    <s v="OR0984"/>
    <d v="2024-12-22T00:00:00"/>
    <s v="Dec"/>
    <s v="2024"/>
    <x v="1"/>
    <s v="Bags"/>
    <n v="2"/>
    <n v="25"/>
    <n v="9.57"/>
    <s v="C0199"/>
    <s v="oLIvIA MILLEr"/>
    <s v="Shipped"/>
    <x v="7"/>
    <x v="1"/>
    <s v="Olivia Miller"/>
    <n v="50"/>
    <n v="19.14"/>
    <n v="30.86"/>
  </r>
  <r>
    <s v="OR0985"/>
    <d v="2024-12-23T00:00:00"/>
    <s v="Dec"/>
    <s v="2024"/>
    <x v="3"/>
    <s v="Kitchenware"/>
    <n v="10"/>
    <n v="15"/>
    <n v="3.45"/>
    <s v="C0091"/>
    <s v="aIDen WIlliAMs"/>
    <s v="Delivered"/>
    <x v="2"/>
    <x v="3"/>
    <s v="Aiden Williams"/>
    <n v="150"/>
    <n v="34.5"/>
    <n v="115.5"/>
  </r>
  <r>
    <s v="OR0986"/>
    <d v="2024-12-24T00:00:00"/>
    <s v="Dec"/>
    <s v="2024"/>
    <x v="3"/>
    <s v="Kitchenware"/>
    <n v="1"/>
    <n v="15"/>
    <n v="3.86"/>
    <s v="C0174"/>
    <s v="mASOn JOHNSon"/>
    <s v="Delivered"/>
    <x v="6"/>
    <x v="3"/>
    <s v="Mason Johnson"/>
    <n v="15"/>
    <n v="3.86"/>
    <n v="11.14"/>
  </r>
  <r>
    <s v="OR0987"/>
    <d v="2024-12-24T00:00:00"/>
    <s v="Dec"/>
    <s v="2024"/>
    <x v="1"/>
    <s v="Bags"/>
    <n v="8"/>
    <n v="25"/>
    <n v="8.4499999999999993"/>
    <s v="C0098"/>
    <s v="IsAbElLA brOWn"/>
    <s v="Delivered"/>
    <x v="9"/>
    <x v="1"/>
    <s v="Isabella Brown"/>
    <n v="200"/>
    <n v="67.599999999999994"/>
    <n v="132.4"/>
  </r>
  <r>
    <s v="OR0988"/>
    <d v="2024-12-24T00:00:00"/>
    <s v="Dec"/>
    <s v="2024"/>
    <x v="3"/>
    <s v="Kitchenware"/>
    <n v="1"/>
    <n v="15"/>
    <n v="5.61"/>
    <s v="C0122"/>
    <s v="aIDeN DAVIS"/>
    <s v="Delivered"/>
    <x v="7"/>
    <x v="3"/>
    <s v="Aiden Davis"/>
    <n v="15"/>
    <n v="5.61"/>
    <n v="9.39"/>
  </r>
  <r>
    <s v="OR0989"/>
    <d v="2024-12-24T00:00:00"/>
    <s v="Dec"/>
    <s v="2024"/>
    <x v="4"/>
    <s v="Gardening"/>
    <n v="7"/>
    <n v="12"/>
    <n v="3.23"/>
    <s v="C0127"/>
    <s v="NOAH MArtiNEZ"/>
    <s v="Delivered"/>
    <x v="5"/>
    <x v="4"/>
    <s v="Noah Martinez"/>
    <n v="84"/>
    <n v="22.61"/>
    <n v="61.39"/>
  </r>
  <r>
    <s v="OR0990"/>
    <d v="2024-12-25T00:00:00"/>
    <s v="Dec"/>
    <s v="2024"/>
    <x v="2"/>
    <s v="Lighting"/>
    <n v="8"/>
    <n v="40"/>
    <n v="12.11"/>
    <s v="C0186"/>
    <s v="ISabellA bRoWN"/>
    <s v="Delivered"/>
    <x v="8"/>
    <x v="2"/>
    <s v="Isabella Brown"/>
    <n v="320"/>
    <n v="96.88"/>
    <n v="223.12"/>
  </r>
  <r>
    <s v="OR0991"/>
    <d v="2024-12-25T00:00:00"/>
    <s v="Dec"/>
    <s v="2024"/>
    <x v="1"/>
    <s v="Bags"/>
    <n v="10"/>
    <n v="25"/>
    <n v="5.58"/>
    <s v="C0115"/>
    <s v="AvA GarCIA"/>
    <s v="Delivered"/>
    <x v="1"/>
    <x v="1"/>
    <s v="Ava Garcia"/>
    <n v="250"/>
    <n v="55.8"/>
    <n v="194.2"/>
  </r>
  <r>
    <s v="OR0992"/>
    <d v="2024-12-25T00:00:00"/>
    <s v="Dec"/>
    <s v="2024"/>
    <x v="2"/>
    <s v="Lighting"/>
    <n v="7"/>
    <n v="40"/>
    <n v="8.07"/>
    <s v="C0114"/>
    <s v="cHARlottE Jones"/>
    <s v="Delivered"/>
    <x v="5"/>
    <x v="2"/>
    <s v="Charlotte Jones"/>
    <n v="280"/>
    <n v="56.49"/>
    <n v="223.51"/>
  </r>
  <r>
    <s v="OR0993"/>
    <d v="2024-12-26T00:00:00"/>
    <s v="Dec"/>
    <s v="2024"/>
    <x v="1"/>
    <s v="Bags"/>
    <n v="1"/>
    <n v="25"/>
    <n v="7.33"/>
    <s v="C0118"/>
    <s v="loGAn martInEZ"/>
    <s v="Shipped"/>
    <x v="2"/>
    <x v="1"/>
    <s v="Logan Martinez"/>
    <n v="25"/>
    <n v="7.33"/>
    <n v="17.670000000000002"/>
  </r>
  <r>
    <s v="OR0994"/>
    <d v="2024-12-27T00:00:00"/>
    <s v="Dec"/>
    <s v="2024"/>
    <x v="4"/>
    <s v="Gardening"/>
    <n v="5"/>
    <n v="12"/>
    <n v="4.26"/>
    <s v="C0111"/>
    <s v="emMA dAVIs"/>
    <s v="Delivered"/>
    <x v="0"/>
    <x v="4"/>
    <s v="Emma Davis"/>
    <n v="60"/>
    <n v="21.299999999999997"/>
    <n v="38.700000000000003"/>
  </r>
  <r>
    <s v="OR0995"/>
    <d v="2024-12-27T00:00:00"/>
    <s v="Dec"/>
    <s v="2024"/>
    <x v="3"/>
    <s v="Kitchenware"/>
    <n v="8"/>
    <n v="15"/>
    <n v="3.68"/>
    <s v="C0115"/>
    <s v="AvA GarCIA"/>
    <s v="Delivered"/>
    <x v="0"/>
    <x v="3"/>
    <s v="Ava Garcia"/>
    <n v="120"/>
    <n v="29.44"/>
    <n v="90.56"/>
  </r>
  <r>
    <s v="OR0996"/>
    <d v="2024-12-28T00:00:00"/>
    <s v="Dec"/>
    <s v="2024"/>
    <x v="3"/>
    <s v="Kitchenware"/>
    <n v="1"/>
    <n v="15"/>
    <n v="3.83"/>
    <s v="C0125"/>
    <s v="lucas BrowN"/>
    <s v="Returned"/>
    <x v="3"/>
    <x v="3"/>
    <s v="Lucas Brown"/>
    <n v="15"/>
    <n v="3.83"/>
    <n v="11.17"/>
  </r>
  <r>
    <s v="OR0997"/>
    <d v="2024-12-28T00:00:00"/>
    <s v="Dec"/>
    <s v="2024"/>
    <x v="3"/>
    <s v="Kitchenware"/>
    <n v="3"/>
    <n v="15"/>
    <n v="3.05"/>
    <s v="C0184"/>
    <s v="IsAbELla JohNSoN"/>
    <s v="Delivered"/>
    <x v="5"/>
    <x v="3"/>
    <s v="Isabella Johnson"/>
    <n v="45"/>
    <n v="9.1499999999999986"/>
    <n v="35.85"/>
  </r>
  <r>
    <s v="OR0998"/>
    <d v="2024-12-29T00:00:00"/>
    <s v="Dec"/>
    <s v="2024"/>
    <x v="0"/>
    <s v="Cleaning"/>
    <n v="1"/>
    <n v="10"/>
    <n v="3.56"/>
    <s v="C0155"/>
    <s v="jAmEs MIlLeR"/>
    <s v="Shipped"/>
    <x v="3"/>
    <x v="0"/>
    <s v="James Miller"/>
    <n v="10"/>
    <n v="3.56"/>
    <n v="6.4399999999999995"/>
  </r>
  <r>
    <s v="OR0999"/>
    <d v="2024-12-30T00:00:00"/>
    <s v="Dec"/>
    <s v="2024"/>
    <x v="2"/>
    <s v="Lighting"/>
    <n v="3"/>
    <n v="40"/>
    <n v="13.05"/>
    <s v="C0171"/>
    <s v="MiA DAvis"/>
    <s v="Delivered"/>
    <x v="7"/>
    <x v="2"/>
    <s v="Mia Davis"/>
    <n v="120"/>
    <n v="39.150000000000006"/>
    <n v="80.849999999999994"/>
  </r>
  <r>
    <s v="OR1000"/>
    <d v="2024-12-30T00:00:00"/>
    <s v="Dec"/>
    <s v="2024"/>
    <x v="3"/>
    <s v="Kitchenware"/>
    <n v="6"/>
    <n v="15"/>
    <n v="5.15"/>
    <s v="C0117"/>
    <s v="lOGan JoNEs"/>
    <s v="Delivered"/>
    <x v="5"/>
    <x v="3"/>
    <s v="Logan Jones"/>
    <n v="90"/>
    <n v="30.900000000000002"/>
    <n v="59.0999999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5A744-17B1-4247-9904-D86D16C97C1B}" name="ProductPIVOTTABL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Name">
  <location ref="O3:P9" firstHeaderRow="1" firstDataRow="1" firstDataCol="1"/>
  <pivotFields count="18">
    <pivotField showAll="0"/>
    <pivotField numFmtId="14" showAll="0"/>
    <pivotField showAll="0"/>
    <pivotField showAll="0"/>
    <pivotField showAll="0">
      <items count="6">
        <item x="0"/>
        <item x="4"/>
        <item x="1"/>
        <item x="3"/>
        <item x="2"/>
        <item t="default"/>
      </items>
    </pivotField>
    <pivotField showAll="0"/>
    <pivotField dataField="1" numFmtId="1" showAll="0"/>
    <pivotField numFmtId="168" showAll="0"/>
    <pivotField numFmtId="167" showAll="0"/>
    <pivotField showAll="0"/>
    <pivotField showAll="0"/>
    <pivotField showAll="0"/>
    <pivotField showAll="0">
      <items count="11">
        <item x="9"/>
        <item x="3"/>
        <item x="8"/>
        <item x="6"/>
        <item x="0"/>
        <item x="2"/>
        <item x="1"/>
        <item x="4"/>
        <item x="7"/>
        <item x="5"/>
        <item t="default"/>
      </items>
    </pivotField>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numFmtId="168" showAll="0"/>
    <pivotField numFmtId="167" showAll="0"/>
    <pivotField numFmtId="167" showAll="0"/>
  </pivotFields>
  <rowFields count="1">
    <field x="13"/>
  </rowFields>
  <rowItems count="6">
    <i>
      <x v="1"/>
    </i>
    <i>
      <x/>
    </i>
    <i>
      <x v="3"/>
    </i>
    <i>
      <x v="2"/>
    </i>
    <i>
      <x v="4"/>
    </i>
    <i t="grand">
      <x/>
    </i>
  </rowItems>
  <colItems count="1">
    <i/>
  </colItems>
  <dataFields count="1">
    <dataField name="Qty Sold" fld="6" baseField="0" baseItem="0" numFmtId="1"/>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9CC202-E957-4412-93BA-D4053A61D528}" name="STATE REVENUE"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States">
  <location ref="L3:M14" firstHeaderRow="1" firstDataRow="1" firstDataCol="1"/>
  <pivotFields count="18">
    <pivotField showAll="0"/>
    <pivotField numFmtId="14" showAll="0"/>
    <pivotField showAll="0"/>
    <pivotField showAll="0"/>
    <pivotField showAll="0"/>
    <pivotField showAll="0"/>
    <pivotField numFmtId="1" showAll="0"/>
    <pivotField numFmtId="168" showAll="0"/>
    <pivotField numFmtId="167" showAll="0"/>
    <pivotField showAll="0"/>
    <pivotField showAll="0"/>
    <pivotField showAll="0"/>
    <pivotField axis="axisRow" showAll="0" sortType="descending">
      <items count="11">
        <item x="9"/>
        <item x="3"/>
        <item x="8"/>
        <item x="6"/>
        <item x="0"/>
        <item x="2"/>
        <item x="1"/>
        <item x="4"/>
        <item x="7"/>
        <item x="5"/>
        <item t="default"/>
      </items>
      <autoSortScope>
        <pivotArea dataOnly="0" outline="0" fieldPosition="0">
          <references count="1">
            <reference field="4294967294" count="1" selected="0">
              <x v="0"/>
            </reference>
          </references>
        </pivotArea>
      </autoSortScope>
    </pivotField>
    <pivotField showAll="0">
      <items count="6">
        <item x="0"/>
        <item x="4"/>
        <item x="1"/>
        <item x="3"/>
        <item x="2"/>
        <item t="default"/>
      </items>
    </pivotField>
    <pivotField showAll="0"/>
    <pivotField dataField="1" numFmtId="168" showAll="0"/>
    <pivotField numFmtId="167" showAll="0"/>
    <pivotField numFmtId="167" showAll="0"/>
  </pivotFields>
  <rowFields count="1">
    <field x="12"/>
  </rowFields>
  <rowItems count="11">
    <i>
      <x v="7"/>
    </i>
    <i>
      <x v="4"/>
    </i>
    <i>
      <x v="3"/>
    </i>
    <i>
      <x v="6"/>
    </i>
    <i>
      <x v="8"/>
    </i>
    <i>
      <x v="9"/>
    </i>
    <i>
      <x v="2"/>
    </i>
    <i>
      <x v="1"/>
    </i>
    <i>
      <x v="5"/>
    </i>
    <i>
      <x/>
    </i>
    <i t="grand">
      <x/>
    </i>
  </rowItems>
  <colItems count="1">
    <i/>
  </colItems>
  <dataFields count="1">
    <dataField name="Revenue" fld="15" baseField="0" baseItem="0" numFmtId="168"/>
  </dataField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4E207-5FD5-4939-B52F-BC676E3BA732}"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KPI">
  <location ref="I3:J9" firstHeaderRow="1" firstDataRow="1" firstDataCol="1"/>
  <pivotFields count="2">
    <pivotField axis="axisRow" showAll="0">
      <items count="6">
        <item x="2"/>
        <item x="4"/>
        <item x="0"/>
        <item x="1"/>
        <item x="3"/>
        <item t="default"/>
      </items>
    </pivotField>
    <pivotField dataField="1" showAll="0"/>
  </pivotFields>
  <rowFields count="1">
    <field x="0"/>
  </rowFields>
  <rowItems count="6">
    <i>
      <x/>
    </i>
    <i>
      <x v="1"/>
    </i>
    <i>
      <x v="2"/>
    </i>
    <i>
      <x v="3"/>
    </i>
    <i>
      <x v="4"/>
    </i>
    <i t="grand">
      <x/>
    </i>
  </rowItems>
  <colItems count="1">
    <i/>
  </colItems>
  <dataFields count="1">
    <dataField name="RESUL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59F292-5292-4133-B967-1A7AC83567D6}" name="DELIVERYRAT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livery Rate">
  <location ref="E3:F8" firstHeaderRow="1" firstDataRow="1" firstDataCol="1"/>
  <pivotFields count="2">
    <pivotField axis="axisRow" showAll="0">
      <items count="5">
        <item x="0"/>
        <item x="2"/>
        <item x="1"/>
        <item x="3"/>
        <item t="default"/>
      </items>
    </pivotField>
    <pivotField dataField="1" numFmtId="169" showAll="0"/>
  </pivotFields>
  <rowFields count="1">
    <field x="0"/>
  </rowFields>
  <rowItems count="5">
    <i>
      <x/>
    </i>
    <i>
      <x v="1"/>
    </i>
    <i>
      <x v="2"/>
    </i>
    <i>
      <x v="3"/>
    </i>
    <i t="grand">
      <x/>
    </i>
  </rowItems>
  <colItems count="1">
    <i/>
  </colItems>
  <dataFields count="1">
    <dataField name="  Result" fld="1" baseField="0" baseItem="0" numFmtId="169"/>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0B29CE-0201-4FEE-8773-FA13006DF791}" name="SALESTREN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Months">
  <location ref="A3:B16" firstHeaderRow="1" firstDataRow="1" firstDataCol="1"/>
  <pivotFields count="3">
    <pivotField axis="axisRow" showAll="0">
      <items count="13">
        <item x="0"/>
        <item x="1"/>
        <item x="2"/>
        <item x="3"/>
        <item x="4"/>
        <item x="5"/>
        <item x="6"/>
        <item x="7"/>
        <item x="8"/>
        <item x="9"/>
        <item x="10"/>
        <item x="11"/>
        <item t="default"/>
      </items>
    </pivotField>
    <pivotField showAll="0">
      <items count="2">
        <item x="0"/>
        <item t="default"/>
      </items>
    </pivotField>
    <pivotField dataField="1" numFmtId="168" showAll="0"/>
  </pivotFields>
  <rowFields count="1">
    <field x="0"/>
  </rowFields>
  <rowItems count="13">
    <i>
      <x/>
    </i>
    <i>
      <x v="1"/>
    </i>
    <i>
      <x v="2"/>
    </i>
    <i>
      <x v="3"/>
    </i>
    <i>
      <x v="4"/>
    </i>
    <i>
      <x v="5"/>
    </i>
    <i>
      <x v="6"/>
    </i>
    <i>
      <x v="7"/>
    </i>
    <i>
      <x v="8"/>
    </i>
    <i>
      <x v="9"/>
    </i>
    <i>
      <x v="10"/>
    </i>
    <i>
      <x v="11"/>
    </i>
    <i t="grand">
      <x/>
    </i>
  </rowItems>
  <colItems count="1">
    <i/>
  </colItems>
  <dataFields count="1">
    <dataField name="MRR." fld="2" baseField="0" baseItem="0" numFmtId="168"/>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01BF3C-091C-4091-B805-D11FDA43720C}" name="STATEGROSS"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R3:S14" firstHeaderRow="1" firstDataRow="1" firstDataCol="1"/>
  <pivotFields count="18">
    <pivotField showAll="0"/>
    <pivotField numFmtId="14" showAll="0"/>
    <pivotField showAll="0"/>
    <pivotField showAll="0"/>
    <pivotField showAll="0"/>
    <pivotField showAll="0"/>
    <pivotField numFmtId="1" showAll="0"/>
    <pivotField numFmtId="168" showAll="0"/>
    <pivotField numFmtId="167" showAll="0"/>
    <pivotField showAll="0"/>
    <pivotField showAll="0"/>
    <pivotField showAll="0"/>
    <pivotField axis="axisRow" showAll="0">
      <items count="11">
        <item x="9"/>
        <item x="3"/>
        <item x="8"/>
        <item x="6"/>
        <item x="0"/>
        <item x="2"/>
        <item x="1"/>
        <item x="4"/>
        <item x="7"/>
        <item x="5"/>
        <item t="default"/>
      </items>
    </pivotField>
    <pivotField showAll="0">
      <items count="6">
        <item x="0"/>
        <item x="4"/>
        <item x="1"/>
        <item x="3"/>
        <item x="2"/>
        <item t="default"/>
      </items>
    </pivotField>
    <pivotField showAll="0"/>
    <pivotField numFmtId="168" showAll="0"/>
    <pivotField numFmtId="167" showAll="0"/>
    <pivotField dataField="1" numFmtId="167" showAll="0"/>
  </pivotFields>
  <rowFields count="1">
    <field x="12"/>
  </rowFields>
  <rowItems count="11">
    <i>
      <x/>
    </i>
    <i>
      <x v="1"/>
    </i>
    <i>
      <x v="2"/>
    </i>
    <i>
      <x v="3"/>
    </i>
    <i>
      <x v="4"/>
    </i>
    <i>
      <x v="5"/>
    </i>
    <i>
      <x v="6"/>
    </i>
    <i>
      <x v="7"/>
    </i>
    <i>
      <x v="8"/>
    </i>
    <i>
      <x v="9"/>
    </i>
    <i t="grand">
      <x/>
    </i>
  </rowItems>
  <colItems count="1">
    <i/>
  </colItems>
  <dataFields count="1">
    <dataField name="Gross Profit" fld="17"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4E9617B-00E4-4F94-A813-2BD6A715423E}" sourceName="State">
  <pivotTables>
    <pivotTable tabId="6" name="STATE REVENUE"/>
    <pivotTable tabId="6" name="ProductPIVOTTABLE"/>
    <pivotTable tabId="6" name="STATEGROSS"/>
  </pivotTables>
  <data>
    <tabular pivotCacheId="1256396412">
      <items count="10">
        <i x="9" s="1"/>
        <i x="3" s="1"/>
        <i x="8" s="1"/>
        <i x="6" s="1"/>
        <i x="0" s="1"/>
        <i x="2" s="1"/>
        <i x="1"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9B33360-DCE7-4FBF-8813-A49DA3049880}" sourceName="Month">
  <pivotTables>
    <pivotTable tabId="6" name="SALESTREND"/>
  </pivotTables>
  <data>
    <tabular pivotCacheId="552871832">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uccess_Rate" xr10:uid="{80B29D29-E5B6-4609-9989-7D05063285E1}" sourceName="Delivery Success Rate">
  <pivotTables>
    <pivotTable tabId="6" name="DELIVERYRATE"/>
  </pivotTables>
  <data>
    <tabular pivotCacheId="1536695840">
      <items count="4">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_Product_Name" xr10:uid="{12D8BB54-344A-4AF7-AFB5-6E94D30474DC}" sourceName="Proper Product Name">
  <pivotTables>
    <pivotTable tabId="6" name="ProductPIVOTTABLE"/>
    <pivotTable tabId="6" name="STATE REVENUE"/>
    <pivotTable tabId="6" name="STATEGROSS"/>
  </pivotTables>
  <data>
    <tabular pivotCacheId="1256396412">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9D61DAFA-CF37-4608-BD39-D0B9031DB748}" cache="Slicer_State" caption="State" columnCount="3" style="SlicerStyleDark6" rowHeight="241300"/>
  <slicer name="Month" xr10:uid="{22700D3B-C4D4-4581-A352-70E38223C43C}" cache="Slicer_Month" caption="Month" columnCount="2" style="SlicerStyleDark6" rowHeight="241300"/>
  <slicer name="Delivery Success Rate" xr10:uid="{51F1A836-D02C-4655-8A27-6F2A913A8CDA}" cache="Slicer_Delivery_Success_Rate" caption="Delivery Rate" style="SlicerStyleDark6" rowHeight="241300"/>
  <slicer name="Proper Product Name" xr10:uid="{EFC8CBC0-6ADD-42B4-AEA5-24F098329456}" cache="Slicer_Proper_Product_Name" caption="Proper Product Name" columnCount="2"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15FE3-FC87-4B63-AE8E-F4D476C6F88B}" name="Greenleaf" displayName="Greenleaf" ref="A1:Q1001" totalsRowShown="0" headerRowDxfId="27" headerRowBorderDxfId="26" tableBorderDxfId="25">
  <autoFilter ref="A1:Q1001" xr:uid="{B3115FE3-FC87-4B63-AE8E-F4D476C6F88B}"/>
  <tableColumns count="17">
    <tableColumn id="1" xr3:uid="{79956F25-970C-4EC8-8B3E-4C3E98559282}" name="Order ID" dataDxfId="24"/>
    <tableColumn id="2" xr3:uid="{556ACB2A-C186-4643-9B96-33169E28EFFF}" name="Order Date" dataDxfId="23"/>
    <tableColumn id="19" xr3:uid="{9A29A167-DBF4-46DF-A30F-9F4E0FBE7CAC}" name="Month" dataDxfId="22">
      <calculatedColumnFormula>TEXT(Greenleaf[[#This Row],[Order Date]],"MMM")</calculatedColumnFormula>
    </tableColumn>
    <tableColumn id="18" xr3:uid="{E4860380-657B-4F56-B810-EB89D2B9C5B2}" name="Year" dataDxfId="21">
      <calculatedColumnFormula>TEXT(Greenleaf[[#This Row],[Order Date]],"YYYY")</calculatedColumnFormula>
    </tableColumn>
    <tableColumn id="3" xr3:uid="{3BA75EC9-96E5-43B3-B4F9-D2284C412FD1}" name="Product Name"/>
    <tableColumn id="4" xr3:uid="{BE82DEC3-DC96-4470-B599-0FE7CCFA7E1E}" name="Product Category" dataDxfId="20"/>
    <tableColumn id="5" xr3:uid="{DA8AB7AA-454A-49FE-8758-1678E4BE218C}" name="Quantity Sold" dataDxfId="19"/>
    <tableColumn id="6" xr3:uid="{4594CDC7-C491-4C6F-88B0-FDAE8B046FBD}" name="Unit Price" dataDxfId="18" dataCellStyle="Currency"/>
    <tableColumn id="7" xr3:uid="{3286528D-B202-409C-B787-1C37D7AA09F8}" name="Unit Cost" dataDxfId="17"/>
    <tableColumn id="8" xr3:uid="{ACBE0564-8BCF-4215-AA72-DBFC589E829B}" name="Customer ID" dataDxfId="16"/>
    <tableColumn id="9" xr3:uid="{75157C15-56DD-4D45-A09A-4E77EF9E0843}" name="Customer Name"/>
    <tableColumn id="10" xr3:uid="{A0FD029D-DE0F-46DC-B431-2B13F1E4FBFF}" name="Shipment Status" dataDxfId="15"/>
    <tableColumn id="11" xr3:uid="{BC34756D-9B3E-4CEF-AC4E-629261D2271A}" name="State" dataDxfId="14"/>
    <tableColumn id="14" xr3:uid="{F89E97BA-6422-4A17-87DB-DA715B31FF90}" name=" Unit  price per quantity" dataDxfId="13">
      <calculatedColumnFormula>Greenleaf[[#This Row],[Unit Price]]*Greenleaf[[#This Row],[Quantity Sold]]</calculatedColumnFormula>
    </tableColumn>
    <tableColumn id="15" xr3:uid="{55F19F4A-B187-48D9-BB83-C32A7CD1E905}" name=" Unit cost per quantity" dataDxfId="12">
      <calculatedColumnFormula>Greenleaf[[#This Row],[Unit Cost]]*Greenleaf[[#This Row],[Quantity Sold]]</calculatedColumnFormula>
    </tableColumn>
    <tableColumn id="16" xr3:uid="{5DAD3749-52F8-4F10-8B7B-A92E182DA55A}" name="Gross profit/loss" dataDxfId="11">
      <calculatedColumnFormula>Greenleaf[[#This Row],[ Unit  price per quantity]]-Greenleaf[[#This Row],[ Unit cost per quantity]]</calculatedColumnFormula>
    </tableColumn>
    <tableColumn id="12" xr3:uid="{161F1737-2E27-4B83-B604-99F67B9AFE35}" name="TOTAL REVENUE" dataDxfId="10">
      <calculatedColumnFormula>Greenleaf[[#This Row],[Quantity Sold]]*Greenleaf[[#This Row],[Unit 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F691AA-E899-42E6-9225-2C2E2356AEA6}" name="GROWTHTABLE" displayName="GROWTHTABLE" ref="E1:F13" totalsRowShown="0">
  <autoFilter ref="E1:F13" xr:uid="{CFF691AA-E899-42E6-9225-2C2E2356AEA6}"/>
  <tableColumns count="2">
    <tableColumn id="1" xr3:uid="{D8FEF122-B102-4DC8-AD84-951F521EFD62}" name="Month"/>
    <tableColumn id="3" xr3:uid="{BAC30DC1-56E1-4A46-A015-BD84949DC3EF}" name="MRR" dataDxfId="9" dataCellStyle="Currency">
      <calculatedColumnFormula>SUMIFS(Greenleaf[ [ Unit  price per quantity] ],Greenleaf[Month],E2)</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C22DEC0-BE26-4E02-9F80-F2A9A530CF20}" name="DELIVERYRATE" displayName="DELIVERYRATE" ref="A8:B12" totalsRowShown="0" headerRowDxfId="8" dataDxfId="6" headerRowBorderDxfId="7" tableBorderDxfId="5" totalsRowBorderDxfId="4">
  <autoFilter ref="A8:B12" xr:uid="{7C22DEC0-BE26-4E02-9F80-F2A9A530CF20}"/>
  <tableColumns count="2">
    <tableColumn id="1" xr3:uid="{131451CB-F3BD-4C25-A089-8E4EEB3CB7D7}" name="Delivery Rate" dataDxfId="3"/>
    <tableColumn id="2" xr3:uid="{4AC400F0-DBFB-4B65-8AC0-74BEEDAFB8AA}" name="Result" dataDxfId="2" dataCellStyle="Percent"/>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C3C9BD-AD44-453E-8741-1A6F8E0DDEEA}" name="KPI" displayName="KPI" ref="A1:B6" totalsRowShown="0" headerRowDxfId="1">
  <autoFilter ref="A1:B6" xr:uid="{B3C3C9BD-AD44-453E-8741-1A6F8E0DDEEA}"/>
  <tableColumns count="2">
    <tableColumn id="1" xr3:uid="{75F3B26B-45EC-45D1-BE7F-AC12C41A4937}" name="KPI" dataDxfId="0"/>
    <tableColumn id="2" xr3:uid="{99E0E172-7A02-46B5-9692-1FBF0E9E0986}" name="RESULT"/>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25A1D-4E73-431E-AF30-F2C1F707B51F}">
  <dimension ref="A1:K1001"/>
  <sheetViews>
    <sheetView workbookViewId="0">
      <selection activeCell="C6" sqref="C6"/>
    </sheetView>
  </sheetViews>
  <sheetFormatPr defaultRowHeight="15" x14ac:dyDescent="0.25"/>
  <cols>
    <col min="1" max="1" width="8" bestFit="1" customWidth="1"/>
    <col min="2" max="2" width="10.140625" bestFit="1" customWidth="1"/>
    <col min="3" max="3" width="28.85546875" bestFit="1" customWidth="1"/>
    <col min="4" max="4" width="15.42578125" bestFit="1" customWidth="1"/>
    <col min="5" max="5" width="12.140625" bestFit="1" customWidth="1"/>
    <col min="6" max="6" width="13.42578125" bestFit="1" customWidth="1"/>
    <col min="7" max="7" width="13.140625" bestFit="1" customWidth="1"/>
    <col min="8" max="8" width="11.28515625" bestFit="1" customWidth="1"/>
    <col min="9" max="9" width="17.85546875" bestFit="1" customWidth="1"/>
    <col min="10" max="10" width="14.5703125" bestFit="1" customWidth="1"/>
    <col min="11" max="11" width="13.140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1428</v>
      </c>
      <c r="B2" s="2">
        <v>45292</v>
      </c>
      <c r="C2" t="s">
        <v>642</v>
      </c>
      <c r="D2" t="s">
        <v>1015</v>
      </c>
      <c r="E2">
        <v>10</v>
      </c>
      <c r="F2">
        <v>10</v>
      </c>
      <c r="G2">
        <v>3.42</v>
      </c>
      <c r="H2" t="s">
        <v>1029</v>
      </c>
      <c r="I2" t="s">
        <v>1228</v>
      </c>
      <c r="J2" t="s">
        <v>1416</v>
      </c>
      <c r="K2" t="s">
        <v>1418</v>
      </c>
    </row>
    <row r="3" spans="1:11" x14ac:dyDescent="0.25">
      <c r="A3" t="s">
        <v>1429</v>
      </c>
      <c r="B3" s="2">
        <v>45292</v>
      </c>
      <c r="C3" t="s">
        <v>680</v>
      </c>
      <c r="D3" t="s">
        <v>1013</v>
      </c>
      <c r="E3">
        <v>6</v>
      </c>
      <c r="F3">
        <v>25</v>
      </c>
      <c r="G3">
        <v>5.08</v>
      </c>
      <c r="H3" t="s">
        <v>1025</v>
      </c>
      <c r="I3" t="s">
        <v>1224</v>
      </c>
      <c r="J3" t="s">
        <v>1414</v>
      </c>
      <c r="K3" t="s">
        <v>1420</v>
      </c>
    </row>
    <row r="4" spans="1:11" x14ac:dyDescent="0.25">
      <c r="A4" t="s">
        <v>1430</v>
      </c>
      <c r="B4" s="2">
        <v>45293</v>
      </c>
      <c r="C4" t="s">
        <v>273</v>
      </c>
      <c r="D4" t="s">
        <v>1012</v>
      </c>
      <c r="E4">
        <v>7</v>
      </c>
      <c r="F4">
        <v>40</v>
      </c>
      <c r="G4">
        <v>12.35</v>
      </c>
      <c r="H4" t="s">
        <v>1039</v>
      </c>
      <c r="I4" t="s">
        <v>1238</v>
      </c>
      <c r="J4" t="s">
        <v>1416</v>
      </c>
      <c r="K4" t="s">
        <v>1423</v>
      </c>
    </row>
    <row r="5" spans="1:11" x14ac:dyDescent="0.25">
      <c r="A5" t="s">
        <v>1431</v>
      </c>
      <c r="B5" s="2">
        <v>45293</v>
      </c>
      <c r="C5" t="s">
        <v>432</v>
      </c>
      <c r="D5" t="s">
        <v>1015</v>
      </c>
      <c r="E5">
        <v>5</v>
      </c>
      <c r="F5">
        <v>10</v>
      </c>
      <c r="G5">
        <v>3.55</v>
      </c>
      <c r="H5" t="s">
        <v>1034</v>
      </c>
      <c r="I5" t="s">
        <v>1233</v>
      </c>
      <c r="J5" t="s">
        <v>1414</v>
      </c>
      <c r="K5" t="s">
        <v>1419</v>
      </c>
    </row>
    <row r="6" spans="1:11" x14ac:dyDescent="0.25">
      <c r="A6" t="s">
        <v>1432</v>
      </c>
      <c r="B6" s="2">
        <v>45293</v>
      </c>
      <c r="C6" t="s">
        <v>548</v>
      </c>
      <c r="D6" t="s">
        <v>1015</v>
      </c>
      <c r="E6">
        <v>2</v>
      </c>
      <c r="F6">
        <v>10</v>
      </c>
      <c r="G6">
        <v>3.27</v>
      </c>
      <c r="H6" t="s">
        <v>1043</v>
      </c>
      <c r="I6" t="s">
        <v>1242</v>
      </c>
      <c r="J6" t="s">
        <v>1417</v>
      </c>
      <c r="K6" t="s">
        <v>1422</v>
      </c>
    </row>
    <row r="7" spans="1:11" x14ac:dyDescent="0.25">
      <c r="A7" t="s">
        <v>1433</v>
      </c>
      <c r="B7" s="2">
        <v>45293</v>
      </c>
      <c r="C7" t="s">
        <v>710</v>
      </c>
      <c r="D7" t="s">
        <v>1012</v>
      </c>
      <c r="E7">
        <v>8</v>
      </c>
      <c r="F7">
        <v>40</v>
      </c>
      <c r="G7">
        <v>14.7</v>
      </c>
      <c r="H7" t="s">
        <v>1067</v>
      </c>
      <c r="I7" t="s">
        <v>1266</v>
      </c>
      <c r="J7" t="s">
        <v>1415</v>
      </c>
      <c r="K7" t="s">
        <v>1423</v>
      </c>
    </row>
    <row r="8" spans="1:11" x14ac:dyDescent="0.25">
      <c r="A8" t="s">
        <v>1434</v>
      </c>
      <c r="B8" s="2">
        <v>45293</v>
      </c>
      <c r="C8" t="s">
        <v>730</v>
      </c>
      <c r="D8" t="s">
        <v>1014</v>
      </c>
      <c r="E8">
        <v>10</v>
      </c>
      <c r="F8">
        <v>15</v>
      </c>
      <c r="G8">
        <v>5.5</v>
      </c>
      <c r="H8" t="s">
        <v>1047</v>
      </c>
      <c r="I8" t="s">
        <v>1246</v>
      </c>
      <c r="J8" t="s">
        <v>1414</v>
      </c>
      <c r="K8" t="s">
        <v>1423</v>
      </c>
    </row>
    <row r="9" spans="1:11" x14ac:dyDescent="0.25">
      <c r="A9" t="s">
        <v>1435</v>
      </c>
      <c r="B9" s="2">
        <v>45293</v>
      </c>
      <c r="C9" t="s">
        <v>797</v>
      </c>
      <c r="D9" t="s">
        <v>1012</v>
      </c>
      <c r="E9">
        <v>6</v>
      </c>
      <c r="F9">
        <v>40</v>
      </c>
      <c r="G9">
        <v>8.8000000000000007</v>
      </c>
      <c r="H9" t="s">
        <v>1134</v>
      </c>
      <c r="I9" t="s">
        <v>1333</v>
      </c>
      <c r="J9" t="s">
        <v>1414</v>
      </c>
      <c r="K9" t="s">
        <v>1424</v>
      </c>
    </row>
    <row r="10" spans="1:11" x14ac:dyDescent="0.25">
      <c r="A10" t="s">
        <v>1436</v>
      </c>
      <c r="B10" s="2">
        <v>45293</v>
      </c>
      <c r="C10" t="s">
        <v>1008</v>
      </c>
      <c r="D10" t="s">
        <v>1013</v>
      </c>
      <c r="E10">
        <v>1</v>
      </c>
      <c r="F10">
        <v>25</v>
      </c>
      <c r="G10">
        <v>9.01</v>
      </c>
      <c r="H10" t="s">
        <v>1021</v>
      </c>
      <c r="I10" t="s">
        <v>1220</v>
      </c>
      <c r="J10" t="s">
        <v>1414</v>
      </c>
      <c r="K10" t="s">
        <v>1425</v>
      </c>
    </row>
    <row r="11" spans="1:11" x14ac:dyDescent="0.25">
      <c r="A11" t="s">
        <v>1437</v>
      </c>
      <c r="B11" s="2">
        <v>45294</v>
      </c>
      <c r="C11" t="s">
        <v>39</v>
      </c>
      <c r="D11" t="s">
        <v>1015</v>
      </c>
      <c r="E11">
        <v>2</v>
      </c>
      <c r="F11">
        <v>10</v>
      </c>
      <c r="G11">
        <v>2.89</v>
      </c>
      <c r="H11" t="s">
        <v>1016</v>
      </c>
      <c r="I11" t="s">
        <v>1215</v>
      </c>
      <c r="J11" t="s">
        <v>1414</v>
      </c>
      <c r="K11" t="s">
        <v>1420</v>
      </c>
    </row>
    <row r="12" spans="1:11" x14ac:dyDescent="0.25">
      <c r="A12" t="s">
        <v>1438</v>
      </c>
      <c r="B12" s="2">
        <v>45294</v>
      </c>
      <c r="C12" t="s">
        <v>247</v>
      </c>
      <c r="D12" t="s">
        <v>1012</v>
      </c>
      <c r="E12">
        <v>8</v>
      </c>
      <c r="F12">
        <v>40</v>
      </c>
      <c r="G12">
        <v>9.99</v>
      </c>
      <c r="H12" t="s">
        <v>1156</v>
      </c>
      <c r="I12" t="s">
        <v>1355</v>
      </c>
      <c r="J12" t="s">
        <v>1414</v>
      </c>
      <c r="K12" t="s">
        <v>1422</v>
      </c>
    </row>
    <row r="13" spans="1:11" x14ac:dyDescent="0.25">
      <c r="A13" t="s">
        <v>1439</v>
      </c>
      <c r="B13" s="2">
        <v>45294</v>
      </c>
      <c r="C13" t="s">
        <v>400</v>
      </c>
      <c r="D13" t="s">
        <v>1011</v>
      </c>
      <c r="E13">
        <v>3</v>
      </c>
      <c r="F13">
        <v>12</v>
      </c>
      <c r="G13">
        <v>2.88</v>
      </c>
      <c r="H13" t="s">
        <v>1139</v>
      </c>
      <c r="I13" t="s">
        <v>1338</v>
      </c>
      <c r="J13" t="s">
        <v>1414</v>
      </c>
      <c r="K13" t="s">
        <v>1421</v>
      </c>
    </row>
    <row r="14" spans="1:11" x14ac:dyDescent="0.25">
      <c r="A14" t="s">
        <v>1440</v>
      </c>
      <c r="B14" s="2">
        <v>45294</v>
      </c>
      <c r="C14" t="s">
        <v>813</v>
      </c>
      <c r="D14" t="s">
        <v>1015</v>
      </c>
      <c r="E14">
        <v>1</v>
      </c>
      <c r="F14">
        <v>10</v>
      </c>
      <c r="G14">
        <v>2.35</v>
      </c>
      <c r="H14" t="s">
        <v>1159</v>
      </c>
      <c r="I14" t="s">
        <v>1358</v>
      </c>
      <c r="J14" t="s">
        <v>1414</v>
      </c>
      <c r="K14" t="s">
        <v>1426</v>
      </c>
    </row>
    <row r="15" spans="1:11" x14ac:dyDescent="0.25">
      <c r="A15" t="s">
        <v>1441</v>
      </c>
      <c r="B15" s="2">
        <v>45295</v>
      </c>
      <c r="C15" t="s">
        <v>149</v>
      </c>
      <c r="D15" t="s">
        <v>1013</v>
      </c>
      <c r="E15">
        <v>1</v>
      </c>
      <c r="F15">
        <v>25</v>
      </c>
      <c r="G15">
        <v>8.85</v>
      </c>
      <c r="H15" t="s">
        <v>1120</v>
      </c>
      <c r="I15" t="s">
        <v>1319</v>
      </c>
      <c r="J15" t="s">
        <v>1414</v>
      </c>
      <c r="K15" t="s">
        <v>1423</v>
      </c>
    </row>
    <row r="16" spans="1:11" x14ac:dyDescent="0.25">
      <c r="A16" t="s">
        <v>1442</v>
      </c>
      <c r="B16" s="2">
        <v>45295</v>
      </c>
      <c r="C16" t="s">
        <v>492</v>
      </c>
      <c r="D16" t="s">
        <v>1012</v>
      </c>
      <c r="E16">
        <v>6</v>
      </c>
      <c r="F16">
        <v>40</v>
      </c>
      <c r="G16">
        <v>14.54</v>
      </c>
      <c r="H16" t="s">
        <v>1201</v>
      </c>
      <c r="I16" t="s">
        <v>1400</v>
      </c>
      <c r="J16" t="s">
        <v>1415</v>
      </c>
      <c r="K16" t="s">
        <v>1420</v>
      </c>
    </row>
    <row r="17" spans="1:11" x14ac:dyDescent="0.25">
      <c r="A17" t="s">
        <v>1443</v>
      </c>
      <c r="B17" s="2">
        <v>45295</v>
      </c>
      <c r="C17" t="s">
        <v>639</v>
      </c>
      <c r="D17" t="s">
        <v>1015</v>
      </c>
      <c r="E17">
        <v>10</v>
      </c>
      <c r="F17">
        <v>10</v>
      </c>
      <c r="G17">
        <v>2.36</v>
      </c>
      <c r="H17" t="s">
        <v>1035</v>
      </c>
      <c r="I17" t="s">
        <v>1234</v>
      </c>
      <c r="J17" t="s">
        <v>1416</v>
      </c>
      <c r="K17" t="s">
        <v>1421</v>
      </c>
    </row>
    <row r="18" spans="1:11" x14ac:dyDescent="0.25">
      <c r="A18" t="s">
        <v>1444</v>
      </c>
      <c r="B18" s="2">
        <v>45295</v>
      </c>
      <c r="C18" t="s">
        <v>952</v>
      </c>
      <c r="D18" t="s">
        <v>1015</v>
      </c>
      <c r="E18">
        <v>2</v>
      </c>
      <c r="F18">
        <v>10</v>
      </c>
      <c r="G18">
        <v>2.0699999999999998</v>
      </c>
      <c r="H18" t="s">
        <v>1039</v>
      </c>
      <c r="I18" t="s">
        <v>1238</v>
      </c>
      <c r="J18" t="s">
        <v>1414</v>
      </c>
      <c r="K18" t="s">
        <v>1423</v>
      </c>
    </row>
    <row r="19" spans="1:11" x14ac:dyDescent="0.25">
      <c r="A19" t="s">
        <v>1445</v>
      </c>
      <c r="B19" s="2">
        <v>45296</v>
      </c>
      <c r="C19" t="s">
        <v>224</v>
      </c>
      <c r="D19" t="s">
        <v>1013</v>
      </c>
      <c r="E19">
        <v>7</v>
      </c>
      <c r="F19">
        <v>25</v>
      </c>
      <c r="G19">
        <v>6.64</v>
      </c>
      <c r="H19" t="s">
        <v>1147</v>
      </c>
      <c r="I19" t="s">
        <v>1346</v>
      </c>
      <c r="J19" t="s">
        <v>1414</v>
      </c>
      <c r="K19" t="s">
        <v>1420</v>
      </c>
    </row>
    <row r="20" spans="1:11" x14ac:dyDescent="0.25">
      <c r="A20" t="s">
        <v>1446</v>
      </c>
      <c r="B20" s="2">
        <v>45296</v>
      </c>
      <c r="C20" t="s">
        <v>753</v>
      </c>
      <c r="D20" t="s">
        <v>1012</v>
      </c>
      <c r="E20">
        <v>5</v>
      </c>
      <c r="F20">
        <v>40</v>
      </c>
      <c r="G20">
        <v>15.48</v>
      </c>
      <c r="H20" t="s">
        <v>1168</v>
      </c>
      <c r="I20" t="s">
        <v>1367</v>
      </c>
      <c r="J20" t="s">
        <v>1414</v>
      </c>
      <c r="K20" t="s">
        <v>1424</v>
      </c>
    </row>
    <row r="21" spans="1:11" x14ac:dyDescent="0.25">
      <c r="A21" t="s">
        <v>1447</v>
      </c>
      <c r="B21" s="2">
        <v>45296</v>
      </c>
      <c r="C21" t="s">
        <v>888</v>
      </c>
      <c r="D21" t="s">
        <v>1015</v>
      </c>
      <c r="E21">
        <v>8</v>
      </c>
      <c r="F21">
        <v>10</v>
      </c>
      <c r="G21">
        <v>2.67</v>
      </c>
      <c r="H21" t="s">
        <v>1116</v>
      </c>
      <c r="I21" t="s">
        <v>1315</v>
      </c>
      <c r="J21" t="s">
        <v>1414</v>
      </c>
      <c r="K21" t="s">
        <v>1421</v>
      </c>
    </row>
    <row r="22" spans="1:11" x14ac:dyDescent="0.25">
      <c r="A22" t="s">
        <v>1448</v>
      </c>
      <c r="B22" s="2">
        <v>45296</v>
      </c>
      <c r="C22" t="s">
        <v>922</v>
      </c>
      <c r="D22" t="s">
        <v>1011</v>
      </c>
      <c r="E22">
        <v>3</v>
      </c>
      <c r="F22">
        <v>12</v>
      </c>
      <c r="G22">
        <v>3.23</v>
      </c>
      <c r="H22" t="s">
        <v>1025</v>
      </c>
      <c r="I22" t="s">
        <v>1224</v>
      </c>
      <c r="J22" t="s">
        <v>1414</v>
      </c>
      <c r="K22" t="s">
        <v>1425</v>
      </c>
    </row>
    <row r="23" spans="1:11" x14ac:dyDescent="0.25">
      <c r="A23" t="s">
        <v>1449</v>
      </c>
      <c r="B23" s="2">
        <v>45297</v>
      </c>
      <c r="C23" t="s">
        <v>72</v>
      </c>
      <c r="D23" t="s">
        <v>1012</v>
      </c>
      <c r="E23">
        <v>3</v>
      </c>
      <c r="F23">
        <v>40</v>
      </c>
      <c r="G23">
        <v>11.81</v>
      </c>
      <c r="H23" t="s">
        <v>1066</v>
      </c>
      <c r="I23" t="s">
        <v>1265</v>
      </c>
      <c r="J23" t="s">
        <v>1415</v>
      </c>
      <c r="K23" t="s">
        <v>1422</v>
      </c>
    </row>
    <row r="24" spans="1:11" x14ac:dyDescent="0.25">
      <c r="A24" t="s">
        <v>1450</v>
      </c>
      <c r="B24" s="2">
        <v>45297</v>
      </c>
      <c r="C24" t="s">
        <v>201</v>
      </c>
      <c r="D24" t="s">
        <v>1012</v>
      </c>
      <c r="E24">
        <v>6</v>
      </c>
      <c r="F24">
        <v>40</v>
      </c>
      <c r="G24">
        <v>12.11</v>
      </c>
      <c r="H24" t="s">
        <v>1050</v>
      </c>
      <c r="I24" t="s">
        <v>1249</v>
      </c>
      <c r="J24" t="s">
        <v>1414</v>
      </c>
      <c r="K24" t="s">
        <v>1422</v>
      </c>
    </row>
    <row r="25" spans="1:11" x14ac:dyDescent="0.25">
      <c r="A25" t="s">
        <v>1451</v>
      </c>
      <c r="B25" s="2">
        <v>45297</v>
      </c>
      <c r="C25" t="s">
        <v>808</v>
      </c>
      <c r="D25" t="s">
        <v>1013</v>
      </c>
      <c r="E25">
        <v>7</v>
      </c>
      <c r="F25">
        <v>25</v>
      </c>
      <c r="G25">
        <v>8.4499999999999993</v>
      </c>
      <c r="H25" t="s">
        <v>1107</v>
      </c>
      <c r="I25" t="s">
        <v>1306</v>
      </c>
      <c r="J25" t="s">
        <v>1414</v>
      </c>
      <c r="K25" t="s">
        <v>1424</v>
      </c>
    </row>
    <row r="26" spans="1:11" x14ac:dyDescent="0.25">
      <c r="A26" t="s">
        <v>1452</v>
      </c>
      <c r="B26" s="2">
        <v>45297</v>
      </c>
      <c r="C26" t="s">
        <v>819</v>
      </c>
      <c r="D26" t="s">
        <v>1015</v>
      </c>
      <c r="E26">
        <v>8</v>
      </c>
      <c r="G26">
        <v>3.8</v>
      </c>
      <c r="H26" t="s">
        <v>1185</v>
      </c>
      <c r="I26" t="s">
        <v>1384</v>
      </c>
      <c r="J26" t="s">
        <v>1417</v>
      </c>
      <c r="K26" t="s">
        <v>1421</v>
      </c>
    </row>
    <row r="27" spans="1:11" x14ac:dyDescent="0.25">
      <c r="A27" t="s">
        <v>1453</v>
      </c>
      <c r="B27" s="2">
        <v>45297</v>
      </c>
      <c r="C27" t="s">
        <v>828</v>
      </c>
      <c r="D27" t="s">
        <v>1014</v>
      </c>
      <c r="E27">
        <v>7</v>
      </c>
      <c r="F27">
        <v>15</v>
      </c>
      <c r="G27">
        <v>3.13</v>
      </c>
      <c r="H27" t="s">
        <v>1047</v>
      </c>
      <c r="I27" t="s">
        <v>1246</v>
      </c>
      <c r="J27" t="s">
        <v>1416</v>
      </c>
      <c r="K27" t="s">
        <v>1420</v>
      </c>
    </row>
    <row r="28" spans="1:11" x14ac:dyDescent="0.25">
      <c r="A28" t="s">
        <v>1454</v>
      </c>
      <c r="B28" s="2">
        <v>45297</v>
      </c>
      <c r="C28" t="s">
        <v>996</v>
      </c>
      <c r="D28" t="s">
        <v>1015</v>
      </c>
      <c r="E28">
        <v>6</v>
      </c>
      <c r="F28">
        <v>10</v>
      </c>
      <c r="G28">
        <v>3.18</v>
      </c>
      <c r="H28" t="s">
        <v>1154</v>
      </c>
      <c r="I28" t="s">
        <v>1353</v>
      </c>
      <c r="J28" t="s">
        <v>1414</v>
      </c>
      <c r="K28" t="s">
        <v>1418</v>
      </c>
    </row>
    <row r="29" spans="1:11" x14ac:dyDescent="0.25">
      <c r="A29" t="s">
        <v>1455</v>
      </c>
      <c r="B29" s="2">
        <v>45298</v>
      </c>
      <c r="C29" t="s">
        <v>33</v>
      </c>
      <c r="D29" t="s">
        <v>1011</v>
      </c>
      <c r="E29">
        <v>9</v>
      </c>
      <c r="F29">
        <v>12</v>
      </c>
      <c r="G29">
        <v>3.94</v>
      </c>
      <c r="H29" t="s">
        <v>1031</v>
      </c>
      <c r="I29" t="s">
        <v>1230</v>
      </c>
      <c r="J29" t="s">
        <v>1414</v>
      </c>
      <c r="K29" t="s">
        <v>1423</v>
      </c>
    </row>
    <row r="30" spans="1:11" x14ac:dyDescent="0.25">
      <c r="A30" t="s">
        <v>1456</v>
      </c>
      <c r="B30" s="2">
        <v>45298</v>
      </c>
      <c r="C30" t="s">
        <v>82</v>
      </c>
      <c r="D30" t="s">
        <v>1012</v>
      </c>
      <c r="E30">
        <v>3</v>
      </c>
      <c r="F30">
        <v>40</v>
      </c>
      <c r="G30">
        <v>10.79</v>
      </c>
      <c r="H30" t="s">
        <v>1056</v>
      </c>
      <c r="I30" t="s">
        <v>1255</v>
      </c>
      <c r="J30" t="s">
        <v>1414</v>
      </c>
      <c r="K30" t="s">
        <v>1420</v>
      </c>
    </row>
    <row r="31" spans="1:11" x14ac:dyDescent="0.25">
      <c r="A31" t="s">
        <v>1457</v>
      </c>
      <c r="B31" s="2">
        <v>45298</v>
      </c>
      <c r="C31" t="s">
        <v>499</v>
      </c>
      <c r="D31" t="s">
        <v>1013</v>
      </c>
      <c r="E31">
        <v>4</v>
      </c>
      <c r="F31">
        <v>25</v>
      </c>
      <c r="G31">
        <v>8.43</v>
      </c>
      <c r="H31" t="s">
        <v>1021</v>
      </c>
      <c r="I31" t="s">
        <v>1220</v>
      </c>
      <c r="J31" t="s">
        <v>1416</v>
      </c>
      <c r="K31" t="s">
        <v>1421</v>
      </c>
    </row>
    <row r="32" spans="1:11" x14ac:dyDescent="0.25">
      <c r="A32" t="s">
        <v>1458</v>
      </c>
      <c r="B32" s="2">
        <v>45299</v>
      </c>
      <c r="C32" t="s">
        <v>305</v>
      </c>
      <c r="D32" t="s">
        <v>1014</v>
      </c>
      <c r="E32">
        <v>5</v>
      </c>
      <c r="F32">
        <v>15</v>
      </c>
      <c r="G32">
        <v>3.55</v>
      </c>
      <c r="H32" t="s">
        <v>1170</v>
      </c>
      <c r="I32" t="s">
        <v>1369</v>
      </c>
      <c r="J32" t="s">
        <v>1414</v>
      </c>
      <c r="K32" t="s">
        <v>1419</v>
      </c>
    </row>
    <row r="33" spans="1:11" x14ac:dyDescent="0.25">
      <c r="A33" t="s">
        <v>1459</v>
      </c>
      <c r="B33" s="2">
        <v>45299</v>
      </c>
      <c r="C33" t="s">
        <v>479</v>
      </c>
      <c r="D33" t="s">
        <v>1014</v>
      </c>
      <c r="E33">
        <v>6</v>
      </c>
      <c r="F33">
        <v>15</v>
      </c>
      <c r="G33">
        <v>4.04</v>
      </c>
      <c r="H33" t="s">
        <v>1177</v>
      </c>
      <c r="I33" t="s">
        <v>1376</v>
      </c>
      <c r="J33" t="s">
        <v>1414</v>
      </c>
      <c r="K33" t="s">
        <v>1418</v>
      </c>
    </row>
    <row r="34" spans="1:11" x14ac:dyDescent="0.25">
      <c r="A34" t="s">
        <v>1460</v>
      </c>
      <c r="B34" s="2">
        <v>45300</v>
      </c>
      <c r="C34" t="s">
        <v>780</v>
      </c>
      <c r="D34" t="s">
        <v>1015</v>
      </c>
      <c r="E34">
        <v>8</v>
      </c>
      <c r="F34">
        <v>10</v>
      </c>
      <c r="G34">
        <v>2.6</v>
      </c>
      <c r="H34" t="s">
        <v>1112</v>
      </c>
      <c r="I34" t="s">
        <v>1311</v>
      </c>
      <c r="J34" t="s">
        <v>1415</v>
      </c>
      <c r="K34" t="s">
        <v>1421</v>
      </c>
    </row>
    <row r="35" spans="1:11" x14ac:dyDescent="0.25">
      <c r="A35" t="s">
        <v>1461</v>
      </c>
      <c r="B35" s="2">
        <v>45300</v>
      </c>
      <c r="C35" t="s">
        <v>829</v>
      </c>
      <c r="D35" t="s">
        <v>1011</v>
      </c>
      <c r="E35">
        <v>10</v>
      </c>
      <c r="F35">
        <v>12</v>
      </c>
      <c r="G35">
        <v>2.74</v>
      </c>
      <c r="H35" t="s">
        <v>1166</v>
      </c>
      <c r="I35" t="s">
        <v>1365</v>
      </c>
      <c r="J35" t="s">
        <v>1414</v>
      </c>
      <c r="K35" t="s">
        <v>1422</v>
      </c>
    </row>
    <row r="36" spans="1:11" x14ac:dyDescent="0.25">
      <c r="A36" t="s">
        <v>1462</v>
      </c>
      <c r="B36" s="2">
        <v>45301</v>
      </c>
      <c r="C36" t="s">
        <v>310</v>
      </c>
      <c r="D36" t="s">
        <v>1013</v>
      </c>
      <c r="E36">
        <v>10</v>
      </c>
      <c r="F36">
        <v>25</v>
      </c>
      <c r="G36">
        <v>9.86</v>
      </c>
      <c r="H36" t="s">
        <v>1035</v>
      </c>
      <c r="I36" t="s">
        <v>1234</v>
      </c>
      <c r="J36" t="s">
        <v>1414</v>
      </c>
      <c r="K36" t="s">
        <v>1422</v>
      </c>
    </row>
    <row r="37" spans="1:11" x14ac:dyDescent="0.25">
      <c r="A37" t="s">
        <v>1463</v>
      </c>
      <c r="B37" s="2">
        <v>45301</v>
      </c>
      <c r="C37" t="s">
        <v>363</v>
      </c>
      <c r="D37" t="s">
        <v>1011</v>
      </c>
      <c r="E37">
        <v>9</v>
      </c>
      <c r="F37">
        <v>12</v>
      </c>
      <c r="G37">
        <v>3.33</v>
      </c>
      <c r="H37" t="s">
        <v>1047</v>
      </c>
      <c r="I37" t="s">
        <v>1246</v>
      </c>
      <c r="J37" t="s">
        <v>1414</v>
      </c>
      <c r="K37" t="s">
        <v>1425</v>
      </c>
    </row>
    <row r="38" spans="1:11" x14ac:dyDescent="0.25">
      <c r="A38" t="s">
        <v>1464</v>
      </c>
      <c r="B38" s="2">
        <v>45301</v>
      </c>
      <c r="C38" t="s">
        <v>465</v>
      </c>
      <c r="D38" t="s">
        <v>1014</v>
      </c>
      <c r="E38">
        <v>6</v>
      </c>
      <c r="F38">
        <v>15</v>
      </c>
      <c r="G38">
        <v>3.13</v>
      </c>
      <c r="H38" t="s">
        <v>1071</v>
      </c>
      <c r="I38" t="s">
        <v>1270</v>
      </c>
      <c r="J38" t="s">
        <v>1414</v>
      </c>
      <c r="K38" t="s">
        <v>1427</v>
      </c>
    </row>
    <row r="39" spans="1:11" x14ac:dyDescent="0.25">
      <c r="A39" t="s">
        <v>1465</v>
      </c>
      <c r="B39" s="2">
        <v>45302</v>
      </c>
      <c r="C39" t="s">
        <v>973</v>
      </c>
      <c r="D39" t="s">
        <v>1011</v>
      </c>
      <c r="E39">
        <v>4</v>
      </c>
      <c r="F39">
        <v>12</v>
      </c>
      <c r="G39">
        <v>4.74</v>
      </c>
      <c r="H39" t="s">
        <v>1090</v>
      </c>
      <c r="I39" t="s">
        <v>1289</v>
      </c>
      <c r="J39" t="s">
        <v>1415</v>
      </c>
      <c r="K39" t="s">
        <v>1425</v>
      </c>
    </row>
    <row r="40" spans="1:11" x14ac:dyDescent="0.25">
      <c r="A40" t="s">
        <v>1466</v>
      </c>
      <c r="B40" s="2">
        <v>45303</v>
      </c>
      <c r="C40" t="s">
        <v>301</v>
      </c>
      <c r="D40" t="s">
        <v>1011</v>
      </c>
      <c r="E40">
        <v>9</v>
      </c>
      <c r="F40">
        <v>12</v>
      </c>
      <c r="G40">
        <v>4.33</v>
      </c>
      <c r="H40" t="s">
        <v>1126</v>
      </c>
      <c r="I40" t="s">
        <v>1325</v>
      </c>
      <c r="J40" t="s">
        <v>1414</v>
      </c>
      <c r="K40" t="s">
        <v>1424</v>
      </c>
    </row>
    <row r="41" spans="1:11" x14ac:dyDescent="0.25">
      <c r="A41" t="s">
        <v>1467</v>
      </c>
      <c r="B41" s="2">
        <v>45303</v>
      </c>
      <c r="C41" t="s">
        <v>456</v>
      </c>
      <c r="D41" t="s">
        <v>1013</v>
      </c>
      <c r="E41">
        <v>3</v>
      </c>
      <c r="F41">
        <v>25</v>
      </c>
      <c r="G41">
        <v>8.17</v>
      </c>
      <c r="H41" t="s">
        <v>1061</v>
      </c>
      <c r="I41" t="s">
        <v>1260</v>
      </c>
      <c r="J41" t="s">
        <v>1416</v>
      </c>
      <c r="K41" t="s">
        <v>1419</v>
      </c>
    </row>
    <row r="42" spans="1:11" x14ac:dyDescent="0.25">
      <c r="A42" t="s">
        <v>1468</v>
      </c>
      <c r="B42" s="2">
        <v>45303</v>
      </c>
      <c r="C42" t="s">
        <v>742</v>
      </c>
      <c r="D42" t="s">
        <v>1013</v>
      </c>
      <c r="E42">
        <v>6</v>
      </c>
      <c r="F42">
        <v>25</v>
      </c>
      <c r="G42">
        <v>6.37</v>
      </c>
      <c r="H42" t="s">
        <v>1183</v>
      </c>
      <c r="I42" t="s">
        <v>1382</v>
      </c>
      <c r="J42" t="s">
        <v>1414</v>
      </c>
      <c r="K42" t="s">
        <v>1424</v>
      </c>
    </row>
    <row r="43" spans="1:11" x14ac:dyDescent="0.25">
      <c r="A43" t="s">
        <v>1469</v>
      </c>
      <c r="B43" s="2">
        <v>45304</v>
      </c>
      <c r="C43" t="s">
        <v>643</v>
      </c>
      <c r="D43" t="s">
        <v>1013</v>
      </c>
      <c r="E43">
        <v>7</v>
      </c>
      <c r="F43">
        <v>25</v>
      </c>
      <c r="G43">
        <v>6.03</v>
      </c>
      <c r="H43" t="s">
        <v>1188</v>
      </c>
      <c r="I43" t="s">
        <v>1387</v>
      </c>
      <c r="J43" t="s">
        <v>1414</v>
      </c>
      <c r="K43" t="s">
        <v>1421</v>
      </c>
    </row>
    <row r="44" spans="1:11" x14ac:dyDescent="0.25">
      <c r="A44" t="s">
        <v>1470</v>
      </c>
      <c r="B44" s="2">
        <v>45304</v>
      </c>
      <c r="C44" t="s">
        <v>712</v>
      </c>
      <c r="D44" t="s">
        <v>1012</v>
      </c>
      <c r="E44">
        <v>7</v>
      </c>
      <c r="F44">
        <v>40</v>
      </c>
      <c r="G44">
        <v>11.98</v>
      </c>
      <c r="H44" t="s">
        <v>1172</v>
      </c>
      <c r="I44" t="s">
        <v>1371</v>
      </c>
      <c r="J44" t="s">
        <v>1416</v>
      </c>
      <c r="K44" t="s">
        <v>1424</v>
      </c>
    </row>
    <row r="45" spans="1:11" x14ac:dyDescent="0.25">
      <c r="A45" t="s">
        <v>1471</v>
      </c>
      <c r="B45" s="2">
        <v>45304</v>
      </c>
      <c r="C45" t="s">
        <v>843</v>
      </c>
      <c r="D45" t="s">
        <v>1015</v>
      </c>
      <c r="E45">
        <v>2</v>
      </c>
      <c r="F45">
        <v>10</v>
      </c>
      <c r="G45">
        <v>2.46</v>
      </c>
      <c r="H45" t="s">
        <v>1099</v>
      </c>
      <c r="I45" t="s">
        <v>1298</v>
      </c>
      <c r="J45" t="s">
        <v>1414</v>
      </c>
      <c r="K45" t="s">
        <v>1426</v>
      </c>
    </row>
    <row r="46" spans="1:11" x14ac:dyDescent="0.25">
      <c r="A46" t="s">
        <v>1472</v>
      </c>
      <c r="B46" s="2">
        <v>45304</v>
      </c>
      <c r="C46" t="s">
        <v>960</v>
      </c>
      <c r="D46" t="s">
        <v>1011</v>
      </c>
      <c r="E46">
        <v>5</v>
      </c>
      <c r="F46">
        <v>12</v>
      </c>
      <c r="G46">
        <v>4.2</v>
      </c>
      <c r="H46" t="s">
        <v>1186</v>
      </c>
      <c r="I46" t="s">
        <v>1385</v>
      </c>
      <c r="J46" t="s">
        <v>1417</v>
      </c>
      <c r="K46" t="s">
        <v>1426</v>
      </c>
    </row>
    <row r="47" spans="1:11" x14ac:dyDescent="0.25">
      <c r="A47" t="s">
        <v>1473</v>
      </c>
      <c r="B47" s="2">
        <v>45305</v>
      </c>
      <c r="C47" t="s">
        <v>18</v>
      </c>
      <c r="D47" t="s">
        <v>1013</v>
      </c>
      <c r="E47">
        <v>5</v>
      </c>
      <c r="F47">
        <v>25</v>
      </c>
      <c r="G47">
        <v>6.32</v>
      </c>
      <c r="H47" t="s">
        <v>1023</v>
      </c>
      <c r="I47" t="s">
        <v>1222</v>
      </c>
      <c r="J47" t="s">
        <v>1414</v>
      </c>
      <c r="K47" t="s">
        <v>1424</v>
      </c>
    </row>
    <row r="48" spans="1:11" x14ac:dyDescent="0.25">
      <c r="A48" t="s">
        <v>1474</v>
      </c>
      <c r="B48" s="2">
        <v>45305</v>
      </c>
      <c r="C48" t="s">
        <v>96</v>
      </c>
      <c r="D48" t="s">
        <v>1015</v>
      </c>
      <c r="E48">
        <v>7</v>
      </c>
      <c r="F48">
        <v>10</v>
      </c>
      <c r="G48">
        <v>2.88</v>
      </c>
      <c r="H48" t="s">
        <v>1060</v>
      </c>
      <c r="I48" t="s">
        <v>1259</v>
      </c>
      <c r="J48" t="s">
        <v>1416</v>
      </c>
      <c r="K48" t="s">
        <v>1420</v>
      </c>
    </row>
    <row r="49" spans="1:11" x14ac:dyDescent="0.25">
      <c r="A49" t="s">
        <v>1475</v>
      </c>
      <c r="B49" s="2">
        <v>45305</v>
      </c>
      <c r="C49" t="s">
        <v>140</v>
      </c>
      <c r="D49" t="s">
        <v>1015</v>
      </c>
      <c r="E49">
        <v>3</v>
      </c>
      <c r="F49">
        <v>10</v>
      </c>
      <c r="G49">
        <v>3.54</v>
      </c>
      <c r="H49" t="s">
        <v>1034</v>
      </c>
      <c r="I49" t="s">
        <v>1233</v>
      </c>
      <c r="J49" t="s">
        <v>1416</v>
      </c>
      <c r="K49" t="s">
        <v>1419</v>
      </c>
    </row>
    <row r="50" spans="1:11" x14ac:dyDescent="0.25">
      <c r="A50" t="s">
        <v>1476</v>
      </c>
      <c r="B50" s="2">
        <v>45305</v>
      </c>
      <c r="C50" t="s">
        <v>232</v>
      </c>
      <c r="D50" t="s">
        <v>1012</v>
      </c>
      <c r="E50">
        <v>1</v>
      </c>
      <c r="F50">
        <v>40</v>
      </c>
      <c r="G50">
        <v>15.48</v>
      </c>
      <c r="H50" t="s">
        <v>1111</v>
      </c>
      <c r="I50" t="s">
        <v>1310</v>
      </c>
      <c r="J50" t="s">
        <v>1415</v>
      </c>
      <c r="K50" t="s">
        <v>1420</v>
      </c>
    </row>
    <row r="51" spans="1:11" x14ac:dyDescent="0.25">
      <c r="A51" t="s">
        <v>1477</v>
      </c>
      <c r="B51" s="2">
        <v>45305</v>
      </c>
      <c r="C51" t="s">
        <v>249</v>
      </c>
      <c r="D51" t="s">
        <v>1012</v>
      </c>
      <c r="E51">
        <v>5</v>
      </c>
      <c r="F51">
        <v>40</v>
      </c>
      <c r="G51">
        <v>13.2</v>
      </c>
      <c r="H51" t="s">
        <v>1149</v>
      </c>
      <c r="I51" t="s">
        <v>1348</v>
      </c>
      <c r="J51" t="s">
        <v>1414</v>
      </c>
      <c r="K51" t="s">
        <v>1425</v>
      </c>
    </row>
    <row r="52" spans="1:11" x14ac:dyDescent="0.25">
      <c r="A52" t="s">
        <v>1478</v>
      </c>
      <c r="B52" s="2">
        <v>45305</v>
      </c>
      <c r="C52" t="s">
        <v>259</v>
      </c>
      <c r="D52" t="s">
        <v>1013</v>
      </c>
      <c r="E52">
        <v>4</v>
      </c>
      <c r="F52">
        <v>25</v>
      </c>
      <c r="G52">
        <v>7.94</v>
      </c>
      <c r="H52" t="s">
        <v>1123</v>
      </c>
      <c r="I52" t="s">
        <v>1322</v>
      </c>
      <c r="J52" t="s">
        <v>1414</v>
      </c>
      <c r="K52" t="s">
        <v>1418</v>
      </c>
    </row>
    <row r="53" spans="1:11" x14ac:dyDescent="0.25">
      <c r="A53" t="s">
        <v>1479</v>
      </c>
      <c r="B53" s="2">
        <v>45305</v>
      </c>
      <c r="C53" t="s">
        <v>319</v>
      </c>
      <c r="D53" t="s">
        <v>1015</v>
      </c>
      <c r="E53">
        <v>6</v>
      </c>
      <c r="F53">
        <v>10</v>
      </c>
      <c r="G53">
        <v>2.73</v>
      </c>
      <c r="H53" t="s">
        <v>1074</v>
      </c>
      <c r="I53" t="s">
        <v>1273</v>
      </c>
      <c r="J53" t="s">
        <v>1414</v>
      </c>
      <c r="K53" t="s">
        <v>1423</v>
      </c>
    </row>
    <row r="54" spans="1:11" x14ac:dyDescent="0.25">
      <c r="A54" t="s">
        <v>1480</v>
      </c>
      <c r="B54" s="2">
        <v>45305</v>
      </c>
      <c r="C54" t="s">
        <v>462</v>
      </c>
      <c r="D54" t="s">
        <v>1012</v>
      </c>
      <c r="E54">
        <v>2</v>
      </c>
      <c r="F54">
        <v>40</v>
      </c>
      <c r="G54">
        <v>13.63</v>
      </c>
      <c r="H54" t="s">
        <v>1157</v>
      </c>
      <c r="I54" t="s">
        <v>1356</v>
      </c>
      <c r="J54" t="s">
        <v>1416</v>
      </c>
      <c r="K54" t="s">
        <v>1418</v>
      </c>
    </row>
    <row r="55" spans="1:11" x14ac:dyDescent="0.25">
      <c r="A55" t="s">
        <v>1481</v>
      </c>
      <c r="B55" s="2">
        <v>45305</v>
      </c>
      <c r="C55" t="s">
        <v>691</v>
      </c>
      <c r="D55" t="s">
        <v>1012</v>
      </c>
      <c r="E55">
        <v>1</v>
      </c>
      <c r="F55">
        <v>40</v>
      </c>
      <c r="G55">
        <v>11.98</v>
      </c>
      <c r="H55" t="s">
        <v>1206</v>
      </c>
      <c r="I55" t="s">
        <v>1405</v>
      </c>
      <c r="J55" t="s">
        <v>1414</v>
      </c>
      <c r="K55" t="s">
        <v>1422</v>
      </c>
    </row>
    <row r="56" spans="1:11" x14ac:dyDescent="0.25">
      <c r="A56" t="s">
        <v>1482</v>
      </c>
      <c r="B56" s="2">
        <v>45306</v>
      </c>
      <c r="C56" t="s">
        <v>220</v>
      </c>
      <c r="D56" t="s">
        <v>1013</v>
      </c>
      <c r="E56">
        <v>5</v>
      </c>
      <c r="G56">
        <v>6.78</v>
      </c>
      <c r="H56" t="s">
        <v>1104</v>
      </c>
      <c r="I56" t="s">
        <v>1303</v>
      </c>
      <c r="J56" t="s">
        <v>1417</v>
      </c>
      <c r="K56" t="s">
        <v>1418</v>
      </c>
    </row>
    <row r="57" spans="1:11" x14ac:dyDescent="0.25">
      <c r="A57" t="s">
        <v>1483</v>
      </c>
      <c r="B57" s="2">
        <v>45307</v>
      </c>
      <c r="C57" t="s">
        <v>787</v>
      </c>
      <c r="D57" t="s">
        <v>1014</v>
      </c>
      <c r="E57">
        <v>5</v>
      </c>
      <c r="G57">
        <v>5.35</v>
      </c>
      <c r="H57" t="s">
        <v>1127</v>
      </c>
      <c r="I57" t="s">
        <v>1326</v>
      </c>
      <c r="J57" t="s">
        <v>1414</v>
      </c>
      <c r="K57" t="s">
        <v>1425</v>
      </c>
    </row>
    <row r="58" spans="1:11" x14ac:dyDescent="0.25">
      <c r="A58" t="s">
        <v>1484</v>
      </c>
      <c r="B58" s="2">
        <v>45308</v>
      </c>
      <c r="C58" t="s">
        <v>38</v>
      </c>
      <c r="D58" t="s">
        <v>1015</v>
      </c>
      <c r="E58">
        <v>1</v>
      </c>
      <c r="F58">
        <v>10</v>
      </c>
      <c r="G58">
        <v>3.11</v>
      </c>
      <c r="H58" t="s">
        <v>1040</v>
      </c>
      <c r="I58" t="s">
        <v>1239</v>
      </c>
      <c r="J58" t="s">
        <v>1416</v>
      </c>
      <c r="K58" t="s">
        <v>1425</v>
      </c>
    </row>
    <row r="59" spans="1:11" x14ac:dyDescent="0.25">
      <c r="A59" t="s">
        <v>1485</v>
      </c>
      <c r="B59" s="2">
        <v>45308</v>
      </c>
      <c r="C59" t="s">
        <v>482</v>
      </c>
      <c r="D59" t="s">
        <v>1012</v>
      </c>
      <c r="E59">
        <v>7</v>
      </c>
      <c r="F59">
        <v>40</v>
      </c>
      <c r="G59">
        <v>9.3800000000000008</v>
      </c>
      <c r="H59" t="s">
        <v>1190</v>
      </c>
      <c r="I59" t="s">
        <v>1389</v>
      </c>
      <c r="J59" t="s">
        <v>1416</v>
      </c>
      <c r="K59" t="s">
        <v>1421</v>
      </c>
    </row>
    <row r="60" spans="1:11" x14ac:dyDescent="0.25">
      <c r="A60" t="s">
        <v>1486</v>
      </c>
      <c r="B60" s="2">
        <v>45309</v>
      </c>
      <c r="C60" t="s">
        <v>289</v>
      </c>
      <c r="D60" t="s">
        <v>1015</v>
      </c>
      <c r="E60">
        <v>1</v>
      </c>
      <c r="F60">
        <v>10</v>
      </c>
      <c r="G60">
        <v>3.75</v>
      </c>
      <c r="H60" t="s">
        <v>1100</v>
      </c>
      <c r="I60" t="s">
        <v>1299</v>
      </c>
      <c r="J60" t="s">
        <v>1417</v>
      </c>
      <c r="K60" t="s">
        <v>1418</v>
      </c>
    </row>
    <row r="61" spans="1:11" x14ac:dyDescent="0.25">
      <c r="A61" t="s">
        <v>1487</v>
      </c>
      <c r="B61" s="2">
        <v>45309</v>
      </c>
      <c r="C61" t="s">
        <v>512</v>
      </c>
      <c r="D61" t="s">
        <v>1013</v>
      </c>
      <c r="E61">
        <v>6</v>
      </c>
      <c r="F61">
        <v>25</v>
      </c>
      <c r="G61">
        <v>7.18</v>
      </c>
      <c r="H61" t="s">
        <v>1044</v>
      </c>
      <c r="I61" t="s">
        <v>1243</v>
      </c>
      <c r="J61" t="s">
        <v>1414</v>
      </c>
      <c r="K61" t="s">
        <v>1425</v>
      </c>
    </row>
    <row r="62" spans="1:11" x14ac:dyDescent="0.25">
      <c r="A62" t="s">
        <v>1488</v>
      </c>
      <c r="B62" s="2">
        <v>45309</v>
      </c>
      <c r="C62" t="s">
        <v>883</v>
      </c>
      <c r="D62" t="s">
        <v>1011</v>
      </c>
      <c r="E62">
        <v>3</v>
      </c>
      <c r="F62">
        <v>12</v>
      </c>
      <c r="G62">
        <v>4.53</v>
      </c>
      <c r="H62" t="s">
        <v>1167</v>
      </c>
      <c r="I62" t="s">
        <v>1366</v>
      </c>
      <c r="J62" t="s">
        <v>1414</v>
      </c>
      <c r="K62" t="s">
        <v>1420</v>
      </c>
    </row>
    <row r="63" spans="1:11" x14ac:dyDescent="0.25">
      <c r="A63" t="s">
        <v>1489</v>
      </c>
      <c r="B63" s="2">
        <v>45310</v>
      </c>
      <c r="C63" t="s">
        <v>778</v>
      </c>
      <c r="D63" t="s">
        <v>1015</v>
      </c>
      <c r="E63">
        <v>2</v>
      </c>
      <c r="F63">
        <v>10</v>
      </c>
      <c r="G63">
        <v>3.53</v>
      </c>
      <c r="H63" t="s">
        <v>1161</v>
      </c>
      <c r="I63" t="s">
        <v>1360</v>
      </c>
      <c r="J63" t="s">
        <v>1414</v>
      </c>
      <c r="K63" t="s">
        <v>1427</v>
      </c>
    </row>
    <row r="64" spans="1:11" x14ac:dyDescent="0.25">
      <c r="A64" t="s">
        <v>1490</v>
      </c>
      <c r="B64" s="2">
        <v>45310</v>
      </c>
      <c r="C64" t="s">
        <v>810</v>
      </c>
      <c r="D64" t="s">
        <v>1015</v>
      </c>
      <c r="E64">
        <v>6</v>
      </c>
      <c r="F64">
        <v>10</v>
      </c>
      <c r="G64">
        <v>2.13</v>
      </c>
      <c r="H64" t="s">
        <v>1110</v>
      </c>
      <c r="I64" t="s">
        <v>1309</v>
      </c>
      <c r="J64" t="s">
        <v>1414</v>
      </c>
      <c r="K64" t="s">
        <v>1422</v>
      </c>
    </row>
    <row r="65" spans="1:11" x14ac:dyDescent="0.25">
      <c r="A65" t="s">
        <v>1491</v>
      </c>
      <c r="B65" s="2">
        <v>45310</v>
      </c>
      <c r="C65" t="s">
        <v>873</v>
      </c>
      <c r="D65" t="s">
        <v>1014</v>
      </c>
      <c r="E65">
        <v>3</v>
      </c>
      <c r="F65">
        <v>15</v>
      </c>
      <c r="G65">
        <v>3.45</v>
      </c>
      <c r="H65" t="s">
        <v>1070</v>
      </c>
      <c r="I65" t="s">
        <v>1269</v>
      </c>
      <c r="J65" t="s">
        <v>1414</v>
      </c>
      <c r="K65" t="s">
        <v>1427</v>
      </c>
    </row>
    <row r="66" spans="1:11" x14ac:dyDescent="0.25">
      <c r="A66" t="s">
        <v>1492</v>
      </c>
      <c r="B66" s="2">
        <v>45311</v>
      </c>
      <c r="C66" t="s">
        <v>728</v>
      </c>
      <c r="D66" t="s">
        <v>1014</v>
      </c>
      <c r="E66">
        <v>10</v>
      </c>
      <c r="F66">
        <v>15</v>
      </c>
      <c r="G66">
        <v>4.71</v>
      </c>
      <c r="H66" t="s">
        <v>1103</v>
      </c>
      <c r="I66" t="s">
        <v>1302</v>
      </c>
      <c r="J66" t="s">
        <v>1414</v>
      </c>
      <c r="K66" t="s">
        <v>1418</v>
      </c>
    </row>
    <row r="67" spans="1:11" x14ac:dyDescent="0.25">
      <c r="A67" t="s">
        <v>1493</v>
      </c>
      <c r="B67" s="2">
        <v>45311</v>
      </c>
      <c r="C67" t="s">
        <v>748</v>
      </c>
      <c r="D67" t="s">
        <v>1013</v>
      </c>
      <c r="E67">
        <v>3</v>
      </c>
      <c r="F67">
        <v>25</v>
      </c>
      <c r="G67">
        <v>5.42</v>
      </c>
      <c r="H67" t="s">
        <v>1050</v>
      </c>
      <c r="I67" t="s">
        <v>1249</v>
      </c>
      <c r="J67" t="s">
        <v>1414</v>
      </c>
      <c r="K67" t="s">
        <v>1426</v>
      </c>
    </row>
    <row r="68" spans="1:11" x14ac:dyDescent="0.25">
      <c r="A68" t="s">
        <v>1494</v>
      </c>
      <c r="B68" s="2">
        <v>45311</v>
      </c>
      <c r="C68" t="s">
        <v>794</v>
      </c>
      <c r="D68" t="s">
        <v>1014</v>
      </c>
      <c r="E68">
        <v>6</v>
      </c>
      <c r="F68">
        <v>15</v>
      </c>
      <c r="G68">
        <v>4.32</v>
      </c>
      <c r="H68" t="s">
        <v>1211</v>
      </c>
      <c r="I68" t="s">
        <v>1410</v>
      </c>
      <c r="J68" t="s">
        <v>1414</v>
      </c>
      <c r="K68" t="s">
        <v>1418</v>
      </c>
    </row>
    <row r="69" spans="1:11" x14ac:dyDescent="0.25">
      <c r="A69" t="s">
        <v>1495</v>
      </c>
      <c r="B69" s="2">
        <v>45312</v>
      </c>
      <c r="C69" t="s">
        <v>139</v>
      </c>
      <c r="D69" t="s">
        <v>1012</v>
      </c>
      <c r="E69">
        <v>7</v>
      </c>
      <c r="F69">
        <v>40</v>
      </c>
      <c r="G69">
        <v>9.9700000000000006</v>
      </c>
      <c r="H69" t="s">
        <v>1114</v>
      </c>
      <c r="I69" t="s">
        <v>1313</v>
      </c>
      <c r="J69" t="s">
        <v>1414</v>
      </c>
      <c r="K69" t="s">
        <v>1421</v>
      </c>
    </row>
    <row r="70" spans="1:11" x14ac:dyDescent="0.25">
      <c r="A70" t="s">
        <v>1496</v>
      </c>
      <c r="B70" s="2">
        <v>45312</v>
      </c>
      <c r="C70" t="s">
        <v>154</v>
      </c>
      <c r="D70" t="s">
        <v>1011</v>
      </c>
      <c r="E70">
        <v>1</v>
      </c>
      <c r="F70">
        <v>12</v>
      </c>
      <c r="G70">
        <v>3.78</v>
      </c>
      <c r="H70" t="s">
        <v>1044</v>
      </c>
      <c r="I70" t="s">
        <v>1243</v>
      </c>
      <c r="J70" t="s">
        <v>1414</v>
      </c>
      <c r="K70" t="s">
        <v>1421</v>
      </c>
    </row>
    <row r="71" spans="1:11" x14ac:dyDescent="0.25">
      <c r="A71" t="s">
        <v>1497</v>
      </c>
      <c r="B71" s="2">
        <v>45313</v>
      </c>
      <c r="C71" t="s">
        <v>463</v>
      </c>
      <c r="D71" t="s">
        <v>1012</v>
      </c>
      <c r="E71">
        <v>2</v>
      </c>
      <c r="F71">
        <v>40</v>
      </c>
      <c r="G71">
        <v>8.1999999999999993</v>
      </c>
      <c r="H71" t="s">
        <v>1044</v>
      </c>
      <c r="I71" t="s">
        <v>1243</v>
      </c>
      <c r="J71" t="s">
        <v>1414</v>
      </c>
      <c r="K71" t="s">
        <v>1421</v>
      </c>
    </row>
    <row r="72" spans="1:11" x14ac:dyDescent="0.25">
      <c r="A72" t="s">
        <v>1498</v>
      </c>
      <c r="B72" s="2">
        <v>45313</v>
      </c>
      <c r="C72" t="s">
        <v>544</v>
      </c>
      <c r="D72" t="s">
        <v>1012</v>
      </c>
      <c r="E72">
        <v>2</v>
      </c>
      <c r="F72">
        <v>40</v>
      </c>
      <c r="G72">
        <v>9.2100000000000009</v>
      </c>
      <c r="H72" t="s">
        <v>1087</v>
      </c>
      <c r="I72" t="s">
        <v>1286</v>
      </c>
      <c r="J72" t="s">
        <v>1414</v>
      </c>
      <c r="K72" t="s">
        <v>1421</v>
      </c>
    </row>
    <row r="73" spans="1:11" x14ac:dyDescent="0.25">
      <c r="A73" t="s">
        <v>1499</v>
      </c>
      <c r="B73" s="2">
        <v>45313</v>
      </c>
      <c r="C73" t="s">
        <v>714</v>
      </c>
      <c r="D73" t="s">
        <v>1014</v>
      </c>
      <c r="E73">
        <v>7</v>
      </c>
      <c r="F73">
        <v>15</v>
      </c>
      <c r="G73">
        <v>5.93</v>
      </c>
      <c r="H73" t="s">
        <v>1197</v>
      </c>
      <c r="I73" t="s">
        <v>1396</v>
      </c>
      <c r="J73" t="s">
        <v>1414</v>
      </c>
      <c r="K73" t="s">
        <v>1418</v>
      </c>
    </row>
    <row r="74" spans="1:11" x14ac:dyDescent="0.25">
      <c r="A74" t="s">
        <v>1500</v>
      </c>
      <c r="B74" s="2">
        <v>45313</v>
      </c>
      <c r="C74" t="s">
        <v>738</v>
      </c>
      <c r="D74" t="s">
        <v>1014</v>
      </c>
      <c r="E74">
        <v>7</v>
      </c>
      <c r="F74">
        <v>15</v>
      </c>
      <c r="G74">
        <v>4.4800000000000004</v>
      </c>
      <c r="H74" t="s">
        <v>1206</v>
      </c>
      <c r="I74" t="s">
        <v>1405</v>
      </c>
      <c r="J74" t="s">
        <v>1414</v>
      </c>
      <c r="K74" t="s">
        <v>1425</v>
      </c>
    </row>
    <row r="75" spans="1:11" x14ac:dyDescent="0.25">
      <c r="A75" t="s">
        <v>1501</v>
      </c>
      <c r="B75" s="2">
        <v>45313</v>
      </c>
      <c r="C75" t="s">
        <v>834</v>
      </c>
      <c r="D75" t="s">
        <v>1015</v>
      </c>
      <c r="E75">
        <v>1</v>
      </c>
      <c r="F75">
        <v>10</v>
      </c>
      <c r="G75">
        <v>3.95</v>
      </c>
      <c r="H75" t="s">
        <v>1189</v>
      </c>
      <c r="I75" t="s">
        <v>1388</v>
      </c>
      <c r="J75" t="s">
        <v>1414</v>
      </c>
      <c r="K75" t="s">
        <v>1422</v>
      </c>
    </row>
    <row r="76" spans="1:11" x14ac:dyDescent="0.25">
      <c r="A76" t="s">
        <v>1502</v>
      </c>
      <c r="B76" s="2">
        <v>45313</v>
      </c>
      <c r="C76" t="s">
        <v>941</v>
      </c>
      <c r="D76" t="s">
        <v>1011</v>
      </c>
      <c r="E76">
        <v>1</v>
      </c>
      <c r="F76">
        <v>12</v>
      </c>
      <c r="G76">
        <v>4.5999999999999996</v>
      </c>
      <c r="H76" t="s">
        <v>1136</v>
      </c>
      <c r="I76" t="s">
        <v>1335</v>
      </c>
      <c r="J76" t="s">
        <v>1414</v>
      </c>
      <c r="K76" t="s">
        <v>1421</v>
      </c>
    </row>
    <row r="77" spans="1:11" x14ac:dyDescent="0.25">
      <c r="A77" t="s">
        <v>1503</v>
      </c>
      <c r="B77" s="2">
        <v>45314</v>
      </c>
      <c r="C77" t="s">
        <v>74</v>
      </c>
      <c r="D77" t="s">
        <v>1013</v>
      </c>
      <c r="E77">
        <v>4</v>
      </c>
      <c r="F77">
        <v>25</v>
      </c>
      <c r="G77">
        <v>8.75</v>
      </c>
      <c r="H77" t="s">
        <v>1068</v>
      </c>
      <c r="I77" t="s">
        <v>1267</v>
      </c>
      <c r="J77" t="s">
        <v>1414</v>
      </c>
      <c r="K77" t="s">
        <v>1424</v>
      </c>
    </row>
    <row r="78" spans="1:11" x14ac:dyDescent="0.25">
      <c r="A78" t="s">
        <v>1504</v>
      </c>
      <c r="B78" s="2">
        <v>45315</v>
      </c>
      <c r="C78" t="s">
        <v>85</v>
      </c>
      <c r="D78" t="s">
        <v>1015</v>
      </c>
      <c r="E78">
        <v>8</v>
      </c>
      <c r="F78">
        <v>10</v>
      </c>
      <c r="G78">
        <v>2.83</v>
      </c>
      <c r="H78" t="s">
        <v>1066</v>
      </c>
      <c r="I78" t="s">
        <v>1265</v>
      </c>
      <c r="J78" t="s">
        <v>1415</v>
      </c>
      <c r="K78" t="s">
        <v>1418</v>
      </c>
    </row>
    <row r="79" spans="1:11" x14ac:dyDescent="0.25">
      <c r="A79" t="s">
        <v>1505</v>
      </c>
      <c r="B79" s="2">
        <v>45315</v>
      </c>
      <c r="C79" t="s">
        <v>415</v>
      </c>
      <c r="D79" t="s">
        <v>1013</v>
      </c>
      <c r="E79">
        <v>8</v>
      </c>
      <c r="F79">
        <v>25</v>
      </c>
      <c r="G79">
        <v>5.86</v>
      </c>
      <c r="H79" t="s">
        <v>1128</v>
      </c>
      <c r="I79" t="s">
        <v>1327</v>
      </c>
      <c r="J79" t="s">
        <v>1414</v>
      </c>
      <c r="K79" t="s">
        <v>1422</v>
      </c>
    </row>
    <row r="80" spans="1:11" x14ac:dyDescent="0.25">
      <c r="A80" t="s">
        <v>1506</v>
      </c>
      <c r="B80" s="2">
        <v>45315</v>
      </c>
      <c r="C80" t="s">
        <v>954</v>
      </c>
      <c r="D80" t="s">
        <v>1013</v>
      </c>
      <c r="E80">
        <v>4</v>
      </c>
      <c r="F80">
        <v>25</v>
      </c>
      <c r="G80">
        <v>9.89</v>
      </c>
      <c r="H80" t="s">
        <v>1095</v>
      </c>
      <c r="I80" t="s">
        <v>1294</v>
      </c>
      <c r="J80" t="s">
        <v>1414</v>
      </c>
      <c r="K80" t="s">
        <v>1426</v>
      </c>
    </row>
    <row r="81" spans="1:11" x14ac:dyDescent="0.25">
      <c r="A81" t="s">
        <v>1507</v>
      </c>
      <c r="B81" s="2">
        <v>45316</v>
      </c>
      <c r="C81" t="s">
        <v>480</v>
      </c>
      <c r="D81" t="s">
        <v>1012</v>
      </c>
      <c r="E81">
        <v>5</v>
      </c>
      <c r="F81">
        <v>40</v>
      </c>
      <c r="G81">
        <v>10.28</v>
      </c>
      <c r="H81" t="s">
        <v>1076</v>
      </c>
      <c r="I81" t="s">
        <v>1275</v>
      </c>
      <c r="J81" t="s">
        <v>1414</v>
      </c>
      <c r="K81" t="s">
        <v>1424</v>
      </c>
    </row>
    <row r="82" spans="1:11" x14ac:dyDescent="0.25">
      <c r="A82" t="s">
        <v>1508</v>
      </c>
      <c r="B82" s="2">
        <v>45317</v>
      </c>
      <c r="C82" t="s">
        <v>491</v>
      </c>
      <c r="D82" t="s">
        <v>1014</v>
      </c>
      <c r="E82">
        <v>7</v>
      </c>
      <c r="F82">
        <v>15</v>
      </c>
      <c r="G82">
        <v>5.82</v>
      </c>
      <c r="H82" t="s">
        <v>1070</v>
      </c>
      <c r="I82" t="s">
        <v>1269</v>
      </c>
      <c r="J82" t="s">
        <v>1417</v>
      </c>
      <c r="K82" t="s">
        <v>1421</v>
      </c>
    </row>
    <row r="83" spans="1:11" x14ac:dyDescent="0.25">
      <c r="A83" t="s">
        <v>1509</v>
      </c>
      <c r="B83" s="2">
        <v>45317</v>
      </c>
      <c r="C83" t="s">
        <v>623</v>
      </c>
      <c r="D83" t="s">
        <v>1015</v>
      </c>
      <c r="E83">
        <v>9</v>
      </c>
      <c r="F83">
        <v>10</v>
      </c>
      <c r="G83">
        <v>3.04</v>
      </c>
      <c r="H83" t="s">
        <v>1133</v>
      </c>
      <c r="I83" t="s">
        <v>1332</v>
      </c>
      <c r="J83" t="s">
        <v>1414</v>
      </c>
      <c r="K83" t="s">
        <v>1427</v>
      </c>
    </row>
    <row r="84" spans="1:11" x14ac:dyDescent="0.25">
      <c r="A84" t="s">
        <v>1510</v>
      </c>
      <c r="B84" s="2">
        <v>45317</v>
      </c>
      <c r="C84" t="s">
        <v>635</v>
      </c>
      <c r="D84" t="s">
        <v>1015</v>
      </c>
      <c r="E84">
        <v>7</v>
      </c>
      <c r="G84">
        <v>2.2400000000000002</v>
      </c>
      <c r="H84" t="s">
        <v>1190</v>
      </c>
      <c r="I84" t="s">
        <v>1389</v>
      </c>
      <c r="J84" t="s">
        <v>1414</v>
      </c>
      <c r="K84" t="s">
        <v>1427</v>
      </c>
    </row>
    <row r="85" spans="1:11" x14ac:dyDescent="0.25">
      <c r="A85" t="s">
        <v>1511</v>
      </c>
      <c r="B85" s="2">
        <v>45318</v>
      </c>
      <c r="C85" t="s">
        <v>65</v>
      </c>
      <c r="D85" t="s">
        <v>1013</v>
      </c>
      <c r="E85">
        <v>2</v>
      </c>
      <c r="F85">
        <v>25</v>
      </c>
      <c r="G85">
        <v>6.69</v>
      </c>
      <c r="H85" t="s">
        <v>1048</v>
      </c>
      <c r="I85" t="s">
        <v>1247</v>
      </c>
      <c r="J85" t="s">
        <v>1414</v>
      </c>
      <c r="K85" t="s">
        <v>1427</v>
      </c>
    </row>
    <row r="86" spans="1:11" x14ac:dyDescent="0.25">
      <c r="A86" t="s">
        <v>1512</v>
      </c>
      <c r="B86" s="2">
        <v>45318</v>
      </c>
      <c r="C86" t="s">
        <v>111</v>
      </c>
      <c r="D86" t="s">
        <v>1014</v>
      </c>
      <c r="E86">
        <v>9</v>
      </c>
      <c r="F86">
        <v>15</v>
      </c>
      <c r="G86">
        <v>3.37</v>
      </c>
      <c r="H86" t="s">
        <v>1093</v>
      </c>
      <c r="I86" t="s">
        <v>1292</v>
      </c>
      <c r="J86" t="s">
        <v>1414</v>
      </c>
      <c r="K86" t="s">
        <v>1418</v>
      </c>
    </row>
    <row r="87" spans="1:11" x14ac:dyDescent="0.25">
      <c r="A87" t="s">
        <v>1513</v>
      </c>
      <c r="B87" s="2">
        <v>45318</v>
      </c>
      <c r="C87" t="s">
        <v>182</v>
      </c>
      <c r="D87" t="s">
        <v>1013</v>
      </c>
      <c r="E87">
        <v>4</v>
      </c>
      <c r="F87">
        <v>25</v>
      </c>
      <c r="G87">
        <v>8.91</v>
      </c>
      <c r="H87" t="s">
        <v>1132</v>
      </c>
      <c r="I87" t="s">
        <v>1331</v>
      </c>
      <c r="J87" t="s">
        <v>1417</v>
      </c>
      <c r="K87" t="s">
        <v>1421</v>
      </c>
    </row>
    <row r="88" spans="1:11" x14ac:dyDescent="0.25">
      <c r="A88" t="s">
        <v>1514</v>
      </c>
      <c r="B88" s="2">
        <v>45318</v>
      </c>
      <c r="C88" t="s">
        <v>391</v>
      </c>
      <c r="D88" t="s">
        <v>1011</v>
      </c>
      <c r="E88">
        <v>1</v>
      </c>
      <c r="F88">
        <v>12</v>
      </c>
      <c r="G88">
        <v>2.87</v>
      </c>
      <c r="H88" t="s">
        <v>1089</v>
      </c>
      <c r="I88" t="s">
        <v>1288</v>
      </c>
      <c r="J88" t="s">
        <v>1416</v>
      </c>
      <c r="K88" t="s">
        <v>1424</v>
      </c>
    </row>
    <row r="89" spans="1:11" x14ac:dyDescent="0.25">
      <c r="A89" t="s">
        <v>1515</v>
      </c>
      <c r="B89" s="2">
        <v>45318</v>
      </c>
      <c r="C89" t="s">
        <v>428</v>
      </c>
      <c r="D89" t="s">
        <v>1012</v>
      </c>
      <c r="E89">
        <v>6</v>
      </c>
      <c r="F89">
        <v>40</v>
      </c>
      <c r="G89">
        <v>11.82</v>
      </c>
      <c r="H89" t="s">
        <v>1150</v>
      </c>
      <c r="I89" t="s">
        <v>1349</v>
      </c>
      <c r="J89" t="s">
        <v>1414</v>
      </c>
      <c r="K89" t="s">
        <v>1418</v>
      </c>
    </row>
    <row r="90" spans="1:11" x14ac:dyDescent="0.25">
      <c r="A90" t="s">
        <v>1516</v>
      </c>
      <c r="B90" s="2">
        <v>45318</v>
      </c>
      <c r="C90" t="s">
        <v>964</v>
      </c>
      <c r="D90" t="s">
        <v>1013</v>
      </c>
      <c r="E90">
        <v>6</v>
      </c>
      <c r="F90">
        <v>25</v>
      </c>
      <c r="G90">
        <v>9.0500000000000007</v>
      </c>
      <c r="H90" t="s">
        <v>1211</v>
      </c>
      <c r="I90" t="s">
        <v>1410</v>
      </c>
      <c r="J90" t="s">
        <v>1416</v>
      </c>
      <c r="K90" t="s">
        <v>1426</v>
      </c>
    </row>
    <row r="91" spans="1:11" x14ac:dyDescent="0.25">
      <c r="A91" t="s">
        <v>1517</v>
      </c>
      <c r="B91" s="2">
        <v>45319</v>
      </c>
      <c r="C91" t="s">
        <v>43</v>
      </c>
      <c r="D91" t="s">
        <v>1011</v>
      </c>
      <c r="E91">
        <v>10</v>
      </c>
      <c r="F91">
        <v>12</v>
      </c>
      <c r="G91">
        <v>4.34</v>
      </c>
      <c r="H91" t="s">
        <v>1030</v>
      </c>
      <c r="I91" t="s">
        <v>1229</v>
      </c>
      <c r="J91" t="s">
        <v>1416</v>
      </c>
      <c r="K91" t="s">
        <v>1421</v>
      </c>
    </row>
    <row r="92" spans="1:11" x14ac:dyDescent="0.25">
      <c r="A92" t="s">
        <v>1518</v>
      </c>
      <c r="B92" s="2">
        <v>45319</v>
      </c>
      <c r="C92" t="s">
        <v>417</v>
      </c>
      <c r="D92" t="s">
        <v>1013</v>
      </c>
      <c r="E92">
        <v>3</v>
      </c>
      <c r="G92">
        <v>7.45</v>
      </c>
      <c r="H92" t="s">
        <v>1188</v>
      </c>
      <c r="I92" t="s">
        <v>1387</v>
      </c>
      <c r="J92" t="s">
        <v>1416</v>
      </c>
      <c r="K92" t="s">
        <v>1419</v>
      </c>
    </row>
    <row r="93" spans="1:11" x14ac:dyDescent="0.25">
      <c r="A93" t="s">
        <v>1519</v>
      </c>
      <c r="B93" s="2">
        <v>45319</v>
      </c>
      <c r="C93" t="s">
        <v>478</v>
      </c>
      <c r="D93" t="s">
        <v>1014</v>
      </c>
      <c r="E93">
        <v>9</v>
      </c>
      <c r="F93">
        <v>15</v>
      </c>
      <c r="G93">
        <v>4.92</v>
      </c>
      <c r="H93" t="s">
        <v>1199</v>
      </c>
      <c r="I93" t="s">
        <v>1398</v>
      </c>
      <c r="J93" t="s">
        <v>1415</v>
      </c>
      <c r="K93" t="s">
        <v>1418</v>
      </c>
    </row>
    <row r="94" spans="1:11" x14ac:dyDescent="0.25">
      <c r="A94" t="s">
        <v>1520</v>
      </c>
      <c r="B94" s="2">
        <v>45319</v>
      </c>
      <c r="C94" t="s">
        <v>591</v>
      </c>
      <c r="D94" t="s">
        <v>1015</v>
      </c>
      <c r="E94">
        <v>7</v>
      </c>
      <c r="F94">
        <v>10</v>
      </c>
      <c r="G94">
        <v>2.4500000000000002</v>
      </c>
      <c r="H94" t="s">
        <v>1156</v>
      </c>
      <c r="I94" t="s">
        <v>1355</v>
      </c>
      <c r="J94" t="s">
        <v>1414</v>
      </c>
      <c r="K94" t="s">
        <v>1425</v>
      </c>
    </row>
    <row r="95" spans="1:11" x14ac:dyDescent="0.25">
      <c r="A95" t="s">
        <v>1521</v>
      </c>
      <c r="B95" s="2">
        <v>45319</v>
      </c>
      <c r="C95" t="s">
        <v>629</v>
      </c>
      <c r="D95" t="s">
        <v>1013</v>
      </c>
      <c r="E95">
        <v>1</v>
      </c>
      <c r="F95">
        <v>25</v>
      </c>
      <c r="G95">
        <v>7.24</v>
      </c>
      <c r="H95" t="s">
        <v>1035</v>
      </c>
      <c r="I95" t="s">
        <v>1234</v>
      </c>
      <c r="J95" t="s">
        <v>1416</v>
      </c>
      <c r="K95" t="s">
        <v>1427</v>
      </c>
    </row>
    <row r="96" spans="1:11" x14ac:dyDescent="0.25">
      <c r="A96" t="s">
        <v>1522</v>
      </c>
      <c r="B96" s="2">
        <v>45319</v>
      </c>
      <c r="C96" t="s">
        <v>847</v>
      </c>
      <c r="D96" t="s">
        <v>1012</v>
      </c>
      <c r="E96">
        <v>2</v>
      </c>
      <c r="F96">
        <v>40</v>
      </c>
      <c r="G96">
        <v>14.07</v>
      </c>
      <c r="H96" t="s">
        <v>1050</v>
      </c>
      <c r="I96" t="s">
        <v>1249</v>
      </c>
      <c r="J96" t="s">
        <v>1417</v>
      </c>
      <c r="K96" t="s">
        <v>1425</v>
      </c>
    </row>
    <row r="97" spans="1:11" x14ac:dyDescent="0.25">
      <c r="A97" t="s">
        <v>1523</v>
      </c>
      <c r="B97" s="2">
        <v>45319</v>
      </c>
      <c r="C97" t="s">
        <v>932</v>
      </c>
      <c r="D97" t="s">
        <v>1013</v>
      </c>
      <c r="E97">
        <v>10</v>
      </c>
      <c r="F97">
        <v>25</v>
      </c>
      <c r="G97">
        <v>9.9</v>
      </c>
      <c r="H97" t="s">
        <v>1030</v>
      </c>
      <c r="I97" t="s">
        <v>1229</v>
      </c>
      <c r="J97" t="s">
        <v>1414</v>
      </c>
      <c r="K97" t="s">
        <v>1427</v>
      </c>
    </row>
    <row r="98" spans="1:11" x14ac:dyDescent="0.25">
      <c r="A98" t="s">
        <v>1524</v>
      </c>
      <c r="B98" s="2">
        <v>45320</v>
      </c>
      <c r="C98" t="s">
        <v>431</v>
      </c>
      <c r="D98" t="s">
        <v>1012</v>
      </c>
      <c r="E98">
        <v>9</v>
      </c>
      <c r="F98">
        <v>40</v>
      </c>
      <c r="G98">
        <v>15.18</v>
      </c>
      <c r="H98" t="s">
        <v>1115</v>
      </c>
      <c r="I98" t="s">
        <v>1314</v>
      </c>
      <c r="J98" t="s">
        <v>1415</v>
      </c>
      <c r="K98" t="s">
        <v>1425</v>
      </c>
    </row>
    <row r="99" spans="1:11" x14ac:dyDescent="0.25">
      <c r="A99" t="s">
        <v>1525</v>
      </c>
      <c r="B99" s="2">
        <v>45320</v>
      </c>
      <c r="C99" t="s">
        <v>587</v>
      </c>
      <c r="D99" t="s">
        <v>1015</v>
      </c>
      <c r="E99">
        <v>4</v>
      </c>
      <c r="F99">
        <v>10</v>
      </c>
      <c r="G99">
        <v>3.54</v>
      </c>
      <c r="H99" t="s">
        <v>1061</v>
      </c>
      <c r="I99" t="s">
        <v>1260</v>
      </c>
      <c r="J99" t="s">
        <v>1414</v>
      </c>
      <c r="K99" t="s">
        <v>1425</v>
      </c>
    </row>
    <row r="100" spans="1:11" x14ac:dyDescent="0.25">
      <c r="A100" t="s">
        <v>1526</v>
      </c>
      <c r="B100" s="2">
        <v>45320</v>
      </c>
      <c r="C100" t="s">
        <v>670</v>
      </c>
      <c r="D100" t="s">
        <v>1011</v>
      </c>
      <c r="E100">
        <v>10</v>
      </c>
      <c r="F100">
        <v>12</v>
      </c>
      <c r="G100">
        <v>3.79</v>
      </c>
      <c r="H100" t="s">
        <v>1204</v>
      </c>
      <c r="I100" t="s">
        <v>1403</v>
      </c>
      <c r="J100" t="s">
        <v>1414</v>
      </c>
      <c r="K100" t="s">
        <v>1420</v>
      </c>
    </row>
    <row r="101" spans="1:11" x14ac:dyDescent="0.25">
      <c r="A101" t="s">
        <v>1527</v>
      </c>
      <c r="B101" s="2">
        <v>45320</v>
      </c>
      <c r="C101" t="s">
        <v>750</v>
      </c>
      <c r="D101" t="s">
        <v>1015</v>
      </c>
      <c r="E101">
        <v>8</v>
      </c>
      <c r="F101">
        <v>10</v>
      </c>
      <c r="G101">
        <v>2.6</v>
      </c>
      <c r="H101" t="s">
        <v>1125</v>
      </c>
      <c r="I101" t="s">
        <v>1324</v>
      </c>
      <c r="J101" t="s">
        <v>1414</v>
      </c>
      <c r="K101" t="s">
        <v>1424</v>
      </c>
    </row>
    <row r="102" spans="1:11" x14ac:dyDescent="0.25">
      <c r="A102" t="s">
        <v>1528</v>
      </c>
      <c r="B102" s="2">
        <v>45320</v>
      </c>
      <c r="C102" t="s">
        <v>783</v>
      </c>
      <c r="D102" t="s">
        <v>1013</v>
      </c>
      <c r="E102">
        <v>8</v>
      </c>
      <c r="F102">
        <v>25</v>
      </c>
      <c r="G102">
        <v>6.48</v>
      </c>
      <c r="H102" t="s">
        <v>1020</v>
      </c>
      <c r="I102" t="s">
        <v>1219</v>
      </c>
      <c r="J102" t="s">
        <v>1416</v>
      </c>
      <c r="K102" t="s">
        <v>1422</v>
      </c>
    </row>
    <row r="103" spans="1:11" x14ac:dyDescent="0.25">
      <c r="A103" t="s">
        <v>1529</v>
      </c>
      <c r="B103" s="2">
        <v>45320</v>
      </c>
      <c r="C103" t="s">
        <v>822</v>
      </c>
      <c r="D103" t="s">
        <v>1015</v>
      </c>
      <c r="E103">
        <v>9</v>
      </c>
      <c r="F103">
        <v>10</v>
      </c>
      <c r="G103">
        <v>3.07</v>
      </c>
      <c r="H103" t="s">
        <v>1016</v>
      </c>
      <c r="I103" t="s">
        <v>1215</v>
      </c>
      <c r="J103" t="s">
        <v>1415</v>
      </c>
      <c r="K103" t="s">
        <v>1427</v>
      </c>
    </row>
    <row r="104" spans="1:11" x14ac:dyDescent="0.25">
      <c r="A104" t="s">
        <v>1530</v>
      </c>
      <c r="B104" s="2">
        <v>45321</v>
      </c>
      <c r="C104" t="s">
        <v>344</v>
      </c>
      <c r="D104" t="s">
        <v>1012</v>
      </c>
      <c r="E104">
        <v>8</v>
      </c>
      <c r="F104">
        <v>40</v>
      </c>
      <c r="G104">
        <v>10.88</v>
      </c>
      <c r="H104" t="s">
        <v>1144</v>
      </c>
      <c r="I104" t="s">
        <v>1343</v>
      </c>
      <c r="J104" t="s">
        <v>1416</v>
      </c>
      <c r="K104" t="s">
        <v>1424</v>
      </c>
    </row>
    <row r="105" spans="1:11" x14ac:dyDescent="0.25">
      <c r="A105" t="s">
        <v>1531</v>
      </c>
      <c r="B105" s="2">
        <v>45321</v>
      </c>
      <c r="C105" t="s">
        <v>731</v>
      </c>
      <c r="D105" t="s">
        <v>1014</v>
      </c>
      <c r="E105">
        <v>7</v>
      </c>
      <c r="F105">
        <v>15</v>
      </c>
      <c r="G105">
        <v>5.75</v>
      </c>
      <c r="H105" t="s">
        <v>1129</v>
      </c>
      <c r="I105" t="s">
        <v>1328</v>
      </c>
      <c r="J105" t="s">
        <v>1414</v>
      </c>
      <c r="K105" t="s">
        <v>1423</v>
      </c>
    </row>
    <row r="106" spans="1:11" x14ac:dyDescent="0.25">
      <c r="A106" t="s">
        <v>1532</v>
      </c>
      <c r="B106" s="2">
        <v>45322</v>
      </c>
      <c r="C106" t="s">
        <v>193</v>
      </c>
      <c r="D106" t="s">
        <v>1015</v>
      </c>
      <c r="E106">
        <v>3</v>
      </c>
      <c r="F106">
        <v>10</v>
      </c>
      <c r="G106">
        <v>2.88</v>
      </c>
      <c r="H106" t="s">
        <v>1137</v>
      </c>
      <c r="I106" t="s">
        <v>1336</v>
      </c>
      <c r="J106" t="s">
        <v>1416</v>
      </c>
      <c r="K106" t="s">
        <v>1424</v>
      </c>
    </row>
    <row r="107" spans="1:11" x14ac:dyDescent="0.25">
      <c r="A107" t="s">
        <v>1533</v>
      </c>
      <c r="B107" s="2">
        <v>45322</v>
      </c>
      <c r="C107" t="s">
        <v>262</v>
      </c>
      <c r="D107" t="s">
        <v>1015</v>
      </c>
      <c r="E107">
        <v>9</v>
      </c>
      <c r="F107">
        <v>10</v>
      </c>
      <c r="G107">
        <v>3.15</v>
      </c>
      <c r="H107" t="s">
        <v>1089</v>
      </c>
      <c r="I107" t="s">
        <v>1288</v>
      </c>
      <c r="J107" t="s">
        <v>1414</v>
      </c>
      <c r="K107" t="s">
        <v>1425</v>
      </c>
    </row>
    <row r="108" spans="1:11" x14ac:dyDescent="0.25">
      <c r="A108" t="s">
        <v>1534</v>
      </c>
      <c r="B108" s="2">
        <v>45322</v>
      </c>
      <c r="C108" t="s">
        <v>460</v>
      </c>
      <c r="D108" t="s">
        <v>1013</v>
      </c>
      <c r="E108">
        <v>1</v>
      </c>
      <c r="F108">
        <v>25</v>
      </c>
      <c r="G108">
        <v>5.62</v>
      </c>
      <c r="H108" t="s">
        <v>1074</v>
      </c>
      <c r="I108" t="s">
        <v>1273</v>
      </c>
      <c r="J108" t="s">
        <v>1414</v>
      </c>
      <c r="K108" t="s">
        <v>1422</v>
      </c>
    </row>
    <row r="109" spans="1:11" x14ac:dyDescent="0.25">
      <c r="A109" t="s">
        <v>1535</v>
      </c>
      <c r="B109" s="2">
        <v>45322</v>
      </c>
      <c r="C109" t="s">
        <v>648</v>
      </c>
      <c r="D109" t="s">
        <v>1013</v>
      </c>
      <c r="E109">
        <v>10</v>
      </c>
      <c r="F109">
        <v>25</v>
      </c>
      <c r="G109">
        <v>7.15</v>
      </c>
      <c r="H109" t="s">
        <v>1208</v>
      </c>
      <c r="I109" t="s">
        <v>1407</v>
      </c>
      <c r="J109" t="s">
        <v>1414</v>
      </c>
      <c r="K109" t="s">
        <v>1426</v>
      </c>
    </row>
    <row r="110" spans="1:11" x14ac:dyDescent="0.25">
      <c r="A110" t="s">
        <v>1536</v>
      </c>
      <c r="B110" s="2">
        <v>45322</v>
      </c>
      <c r="C110" t="s">
        <v>692</v>
      </c>
      <c r="D110" t="s">
        <v>1012</v>
      </c>
      <c r="E110">
        <v>10</v>
      </c>
      <c r="F110">
        <v>40</v>
      </c>
      <c r="G110">
        <v>14.26</v>
      </c>
      <c r="H110" t="s">
        <v>1067</v>
      </c>
      <c r="I110" t="s">
        <v>1266</v>
      </c>
      <c r="J110" t="s">
        <v>1414</v>
      </c>
      <c r="K110" t="s">
        <v>1421</v>
      </c>
    </row>
    <row r="111" spans="1:11" x14ac:dyDescent="0.25">
      <c r="A111" t="s">
        <v>1537</v>
      </c>
      <c r="B111" s="2">
        <v>45322</v>
      </c>
      <c r="C111" t="s">
        <v>777</v>
      </c>
      <c r="D111" t="s">
        <v>1011</v>
      </c>
      <c r="E111">
        <v>3</v>
      </c>
      <c r="F111">
        <v>12</v>
      </c>
      <c r="G111">
        <v>3.43</v>
      </c>
      <c r="H111" t="s">
        <v>1128</v>
      </c>
      <c r="I111" t="s">
        <v>1327</v>
      </c>
      <c r="J111" t="s">
        <v>1414</v>
      </c>
      <c r="K111" t="s">
        <v>1427</v>
      </c>
    </row>
    <row r="112" spans="1:11" x14ac:dyDescent="0.25">
      <c r="A112" t="s">
        <v>1538</v>
      </c>
      <c r="B112" s="2">
        <v>45323</v>
      </c>
      <c r="C112" t="s">
        <v>531</v>
      </c>
      <c r="D112" t="s">
        <v>1013</v>
      </c>
      <c r="E112">
        <v>5</v>
      </c>
      <c r="F112">
        <v>25</v>
      </c>
      <c r="G112">
        <v>7.16</v>
      </c>
      <c r="H112" t="s">
        <v>1075</v>
      </c>
      <c r="I112" t="s">
        <v>1274</v>
      </c>
      <c r="J112" t="s">
        <v>1414</v>
      </c>
      <c r="K112" t="s">
        <v>1423</v>
      </c>
    </row>
    <row r="113" spans="1:11" x14ac:dyDescent="0.25">
      <c r="A113" t="s">
        <v>1539</v>
      </c>
      <c r="B113" s="2">
        <v>45323</v>
      </c>
      <c r="C113" t="s">
        <v>902</v>
      </c>
      <c r="D113" t="s">
        <v>1012</v>
      </c>
      <c r="E113">
        <v>1</v>
      </c>
      <c r="F113">
        <v>40</v>
      </c>
      <c r="G113">
        <v>13.32</v>
      </c>
      <c r="H113" t="s">
        <v>1025</v>
      </c>
      <c r="I113" t="s">
        <v>1224</v>
      </c>
      <c r="J113" t="s">
        <v>1414</v>
      </c>
      <c r="K113" t="s">
        <v>1420</v>
      </c>
    </row>
    <row r="114" spans="1:11" x14ac:dyDescent="0.25">
      <c r="A114" t="s">
        <v>1540</v>
      </c>
      <c r="B114" s="2">
        <v>45324</v>
      </c>
      <c r="C114" t="s">
        <v>163</v>
      </c>
      <c r="D114" t="s">
        <v>1014</v>
      </c>
      <c r="E114">
        <v>8</v>
      </c>
      <c r="F114">
        <v>15</v>
      </c>
      <c r="G114">
        <v>4.83</v>
      </c>
      <c r="H114" t="s">
        <v>1124</v>
      </c>
      <c r="I114" t="s">
        <v>1323</v>
      </c>
      <c r="J114" t="s">
        <v>1415</v>
      </c>
      <c r="K114" t="s">
        <v>1427</v>
      </c>
    </row>
    <row r="115" spans="1:11" x14ac:dyDescent="0.25">
      <c r="A115" t="s">
        <v>1541</v>
      </c>
      <c r="B115" s="2">
        <v>45325</v>
      </c>
      <c r="C115" t="s">
        <v>286</v>
      </c>
      <c r="D115" t="s">
        <v>1013</v>
      </c>
      <c r="E115">
        <v>2</v>
      </c>
      <c r="F115">
        <v>25</v>
      </c>
      <c r="G115">
        <v>5.45</v>
      </c>
      <c r="H115" t="s">
        <v>1024</v>
      </c>
      <c r="I115" t="s">
        <v>1223</v>
      </c>
      <c r="J115" t="s">
        <v>1416</v>
      </c>
      <c r="K115" t="s">
        <v>1421</v>
      </c>
    </row>
    <row r="116" spans="1:11" x14ac:dyDescent="0.25">
      <c r="A116" t="s">
        <v>1542</v>
      </c>
      <c r="B116" s="2">
        <v>45326</v>
      </c>
      <c r="C116" t="s">
        <v>257</v>
      </c>
      <c r="D116" t="s">
        <v>1013</v>
      </c>
      <c r="E116">
        <v>9</v>
      </c>
      <c r="F116">
        <v>25</v>
      </c>
      <c r="G116">
        <v>6.65</v>
      </c>
      <c r="H116" t="s">
        <v>1115</v>
      </c>
      <c r="I116" t="s">
        <v>1314</v>
      </c>
      <c r="J116" t="s">
        <v>1414</v>
      </c>
      <c r="K116" t="s">
        <v>1427</v>
      </c>
    </row>
    <row r="117" spans="1:11" x14ac:dyDescent="0.25">
      <c r="A117" t="s">
        <v>1543</v>
      </c>
      <c r="B117" s="2">
        <v>45327</v>
      </c>
      <c r="C117" t="s">
        <v>705</v>
      </c>
      <c r="D117" t="s">
        <v>1015</v>
      </c>
      <c r="E117">
        <v>1</v>
      </c>
      <c r="F117">
        <v>10</v>
      </c>
      <c r="G117">
        <v>2.91</v>
      </c>
      <c r="H117" t="s">
        <v>1112</v>
      </c>
      <c r="I117" t="s">
        <v>1311</v>
      </c>
      <c r="J117" t="s">
        <v>1414</v>
      </c>
      <c r="K117" t="s">
        <v>1421</v>
      </c>
    </row>
    <row r="118" spans="1:11" x14ac:dyDescent="0.25">
      <c r="A118" t="s">
        <v>1544</v>
      </c>
      <c r="B118" s="2">
        <v>45328</v>
      </c>
      <c r="C118" t="s">
        <v>292</v>
      </c>
      <c r="D118" t="s">
        <v>1015</v>
      </c>
      <c r="E118">
        <v>8</v>
      </c>
      <c r="G118">
        <v>3.92</v>
      </c>
      <c r="H118" t="s">
        <v>1168</v>
      </c>
      <c r="I118" t="s">
        <v>1367</v>
      </c>
      <c r="J118" t="s">
        <v>1416</v>
      </c>
      <c r="K118" t="s">
        <v>1422</v>
      </c>
    </row>
    <row r="119" spans="1:11" x14ac:dyDescent="0.25">
      <c r="A119" t="s">
        <v>1545</v>
      </c>
      <c r="B119" s="2">
        <v>45328</v>
      </c>
      <c r="C119" t="s">
        <v>426</v>
      </c>
      <c r="D119" t="s">
        <v>1014</v>
      </c>
      <c r="E119">
        <v>5</v>
      </c>
      <c r="F119">
        <v>15</v>
      </c>
      <c r="G119">
        <v>4.6100000000000003</v>
      </c>
      <c r="H119" t="s">
        <v>1181</v>
      </c>
      <c r="I119" t="s">
        <v>1380</v>
      </c>
      <c r="J119" t="s">
        <v>1415</v>
      </c>
      <c r="K119" t="s">
        <v>1421</v>
      </c>
    </row>
    <row r="120" spans="1:11" x14ac:dyDescent="0.25">
      <c r="A120" t="s">
        <v>1546</v>
      </c>
      <c r="B120" s="2">
        <v>45328</v>
      </c>
      <c r="C120" t="s">
        <v>681</v>
      </c>
      <c r="D120" t="s">
        <v>1015</v>
      </c>
      <c r="E120">
        <v>4</v>
      </c>
      <c r="F120">
        <v>10</v>
      </c>
      <c r="G120">
        <v>3.17</v>
      </c>
      <c r="H120" t="s">
        <v>1143</v>
      </c>
      <c r="I120" t="s">
        <v>1342</v>
      </c>
      <c r="J120" t="s">
        <v>1414</v>
      </c>
      <c r="K120" t="s">
        <v>1422</v>
      </c>
    </row>
    <row r="121" spans="1:11" x14ac:dyDescent="0.25">
      <c r="A121" t="s">
        <v>1547</v>
      </c>
      <c r="B121" s="2">
        <v>45328</v>
      </c>
      <c r="C121" t="s">
        <v>756</v>
      </c>
      <c r="D121" t="s">
        <v>1012</v>
      </c>
      <c r="E121">
        <v>5</v>
      </c>
      <c r="F121">
        <v>40</v>
      </c>
      <c r="G121">
        <v>11.02</v>
      </c>
      <c r="H121" t="s">
        <v>1044</v>
      </c>
      <c r="I121" t="s">
        <v>1243</v>
      </c>
      <c r="J121" t="s">
        <v>1414</v>
      </c>
      <c r="K121" t="s">
        <v>1418</v>
      </c>
    </row>
    <row r="122" spans="1:11" x14ac:dyDescent="0.25">
      <c r="A122" t="s">
        <v>1548</v>
      </c>
      <c r="B122" s="2">
        <v>45328</v>
      </c>
      <c r="C122" t="s">
        <v>870</v>
      </c>
      <c r="D122" t="s">
        <v>1012</v>
      </c>
      <c r="E122">
        <v>1</v>
      </c>
      <c r="F122">
        <v>40</v>
      </c>
      <c r="G122">
        <v>12.28</v>
      </c>
      <c r="H122" t="s">
        <v>1136</v>
      </c>
      <c r="I122" t="s">
        <v>1335</v>
      </c>
      <c r="J122" t="s">
        <v>1414</v>
      </c>
      <c r="K122" t="s">
        <v>1424</v>
      </c>
    </row>
    <row r="123" spans="1:11" x14ac:dyDescent="0.25">
      <c r="A123" t="s">
        <v>1549</v>
      </c>
      <c r="B123" s="2">
        <v>45329</v>
      </c>
      <c r="C123" t="s">
        <v>440</v>
      </c>
      <c r="D123" t="s">
        <v>1011</v>
      </c>
      <c r="E123">
        <v>10</v>
      </c>
      <c r="F123">
        <v>12</v>
      </c>
      <c r="G123">
        <v>3.91</v>
      </c>
      <c r="H123" t="s">
        <v>1138</v>
      </c>
      <c r="I123" t="s">
        <v>1337</v>
      </c>
      <c r="J123" t="s">
        <v>1416</v>
      </c>
      <c r="K123" t="s">
        <v>1421</v>
      </c>
    </row>
    <row r="124" spans="1:11" x14ac:dyDescent="0.25">
      <c r="A124" t="s">
        <v>1550</v>
      </c>
      <c r="B124" s="2">
        <v>45329</v>
      </c>
      <c r="C124" t="s">
        <v>942</v>
      </c>
      <c r="D124" t="s">
        <v>1012</v>
      </c>
      <c r="E124">
        <v>6</v>
      </c>
      <c r="F124">
        <v>40</v>
      </c>
      <c r="G124">
        <v>15</v>
      </c>
      <c r="H124" t="s">
        <v>1078</v>
      </c>
      <c r="I124" t="s">
        <v>1277</v>
      </c>
      <c r="J124" t="s">
        <v>1414</v>
      </c>
      <c r="K124" t="s">
        <v>1420</v>
      </c>
    </row>
    <row r="125" spans="1:11" x14ac:dyDescent="0.25">
      <c r="A125" t="s">
        <v>1551</v>
      </c>
      <c r="B125" s="2">
        <v>45330</v>
      </c>
      <c r="C125" t="s">
        <v>445</v>
      </c>
      <c r="D125" t="s">
        <v>1014</v>
      </c>
      <c r="E125">
        <v>7</v>
      </c>
      <c r="F125">
        <v>15</v>
      </c>
      <c r="G125">
        <v>5.54</v>
      </c>
      <c r="H125" t="s">
        <v>1193</v>
      </c>
      <c r="I125" t="s">
        <v>1392</v>
      </c>
      <c r="J125" t="s">
        <v>1416</v>
      </c>
      <c r="K125" t="s">
        <v>1422</v>
      </c>
    </row>
    <row r="126" spans="1:11" x14ac:dyDescent="0.25">
      <c r="A126" t="s">
        <v>1552</v>
      </c>
      <c r="B126" s="2">
        <v>45330</v>
      </c>
      <c r="C126" t="s">
        <v>618</v>
      </c>
      <c r="D126" t="s">
        <v>1014</v>
      </c>
      <c r="E126">
        <v>7</v>
      </c>
      <c r="F126">
        <v>15</v>
      </c>
      <c r="G126">
        <v>3.16</v>
      </c>
      <c r="H126" t="s">
        <v>1113</v>
      </c>
      <c r="I126" t="s">
        <v>1312</v>
      </c>
      <c r="J126" t="s">
        <v>1414</v>
      </c>
      <c r="K126" t="s">
        <v>1422</v>
      </c>
    </row>
    <row r="127" spans="1:11" x14ac:dyDescent="0.25">
      <c r="A127" t="s">
        <v>1553</v>
      </c>
      <c r="B127" s="2">
        <v>45330</v>
      </c>
      <c r="C127" t="s">
        <v>687</v>
      </c>
      <c r="D127" t="s">
        <v>1014</v>
      </c>
      <c r="E127">
        <v>5</v>
      </c>
      <c r="F127">
        <v>15</v>
      </c>
      <c r="G127">
        <v>4.28</v>
      </c>
      <c r="H127" t="s">
        <v>1176</v>
      </c>
      <c r="I127" t="s">
        <v>1375</v>
      </c>
      <c r="J127" t="s">
        <v>1416</v>
      </c>
      <c r="K127" t="s">
        <v>1420</v>
      </c>
    </row>
    <row r="128" spans="1:11" x14ac:dyDescent="0.25">
      <c r="A128" t="s">
        <v>1554</v>
      </c>
      <c r="B128" s="2">
        <v>45331</v>
      </c>
      <c r="C128" t="s">
        <v>390</v>
      </c>
      <c r="D128" t="s">
        <v>1011</v>
      </c>
      <c r="E128">
        <v>6</v>
      </c>
      <c r="F128">
        <v>12</v>
      </c>
      <c r="G128">
        <v>3.5</v>
      </c>
      <c r="H128" t="s">
        <v>1185</v>
      </c>
      <c r="I128" t="s">
        <v>1384</v>
      </c>
      <c r="J128" t="s">
        <v>1414</v>
      </c>
      <c r="K128" t="s">
        <v>1421</v>
      </c>
    </row>
    <row r="129" spans="1:11" x14ac:dyDescent="0.25">
      <c r="A129" t="s">
        <v>1555</v>
      </c>
      <c r="B129" s="2">
        <v>45332</v>
      </c>
      <c r="C129" t="s">
        <v>95</v>
      </c>
      <c r="D129" t="s">
        <v>1011</v>
      </c>
      <c r="E129">
        <v>10</v>
      </c>
      <c r="F129">
        <v>12</v>
      </c>
      <c r="G129">
        <v>2.52</v>
      </c>
      <c r="H129" t="s">
        <v>1081</v>
      </c>
      <c r="I129" t="s">
        <v>1280</v>
      </c>
      <c r="J129" t="s">
        <v>1414</v>
      </c>
      <c r="K129" t="s">
        <v>1420</v>
      </c>
    </row>
    <row r="130" spans="1:11" x14ac:dyDescent="0.25">
      <c r="A130" t="s">
        <v>1556</v>
      </c>
      <c r="B130" s="2">
        <v>45334</v>
      </c>
      <c r="C130" t="s">
        <v>226</v>
      </c>
      <c r="D130" t="s">
        <v>1013</v>
      </c>
      <c r="E130">
        <v>8</v>
      </c>
      <c r="F130">
        <v>25</v>
      </c>
      <c r="G130">
        <v>8.44</v>
      </c>
      <c r="H130" t="s">
        <v>1118</v>
      </c>
      <c r="I130" t="s">
        <v>1317</v>
      </c>
      <c r="J130" t="s">
        <v>1417</v>
      </c>
      <c r="K130" t="s">
        <v>1422</v>
      </c>
    </row>
    <row r="131" spans="1:11" x14ac:dyDescent="0.25">
      <c r="A131" t="s">
        <v>1557</v>
      </c>
      <c r="B131" s="2">
        <v>45335</v>
      </c>
      <c r="C131" t="s">
        <v>150</v>
      </c>
      <c r="D131" t="s">
        <v>1015</v>
      </c>
      <c r="E131">
        <v>9</v>
      </c>
      <c r="F131">
        <v>10</v>
      </c>
      <c r="G131">
        <v>3.45</v>
      </c>
      <c r="H131" t="s">
        <v>1121</v>
      </c>
      <c r="I131" t="s">
        <v>1320</v>
      </c>
      <c r="J131" t="s">
        <v>1414</v>
      </c>
      <c r="K131" t="s">
        <v>1418</v>
      </c>
    </row>
    <row r="132" spans="1:11" x14ac:dyDescent="0.25">
      <c r="A132" t="s">
        <v>1558</v>
      </c>
      <c r="B132" s="2">
        <v>45335</v>
      </c>
      <c r="C132" t="s">
        <v>197</v>
      </c>
      <c r="D132" t="s">
        <v>1014</v>
      </c>
      <c r="E132">
        <v>3</v>
      </c>
      <c r="F132">
        <v>15</v>
      </c>
      <c r="G132">
        <v>4.2699999999999996</v>
      </c>
      <c r="H132" t="s">
        <v>1068</v>
      </c>
      <c r="I132" t="s">
        <v>1267</v>
      </c>
      <c r="J132" t="s">
        <v>1416</v>
      </c>
      <c r="K132" t="s">
        <v>1422</v>
      </c>
    </row>
    <row r="133" spans="1:11" x14ac:dyDescent="0.25">
      <c r="A133" t="s">
        <v>1559</v>
      </c>
      <c r="B133" s="2">
        <v>45335</v>
      </c>
      <c r="C133" t="s">
        <v>857</v>
      </c>
      <c r="D133" t="s">
        <v>1015</v>
      </c>
      <c r="E133">
        <v>9</v>
      </c>
      <c r="F133">
        <v>10</v>
      </c>
      <c r="G133">
        <v>3.07</v>
      </c>
      <c r="H133" t="s">
        <v>1176</v>
      </c>
      <c r="I133" t="s">
        <v>1375</v>
      </c>
      <c r="J133" t="s">
        <v>1416</v>
      </c>
      <c r="K133" t="s">
        <v>1421</v>
      </c>
    </row>
    <row r="134" spans="1:11" x14ac:dyDescent="0.25">
      <c r="A134" t="s">
        <v>1560</v>
      </c>
      <c r="B134" s="2">
        <v>45336</v>
      </c>
      <c r="C134" t="s">
        <v>20</v>
      </c>
      <c r="D134" t="s">
        <v>1012</v>
      </c>
      <c r="E134">
        <v>7</v>
      </c>
      <c r="F134">
        <v>40</v>
      </c>
      <c r="G134">
        <v>12.58</v>
      </c>
      <c r="H134" t="s">
        <v>1025</v>
      </c>
      <c r="I134" t="s">
        <v>1224</v>
      </c>
      <c r="J134" t="s">
        <v>1415</v>
      </c>
      <c r="K134" t="s">
        <v>1425</v>
      </c>
    </row>
    <row r="135" spans="1:11" x14ac:dyDescent="0.25">
      <c r="A135" t="s">
        <v>1561</v>
      </c>
      <c r="B135" s="2">
        <v>45336</v>
      </c>
      <c r="C135" t="s">
        <v>84</v>
      </c>
      <c r="D135" t="s">
        <v>1012</v>
      </c>
      <c r="E135">
        <v>2</v>
      </c>
      <c r="F135">
        <v>40</v>
      </c>
      <c r="G135">
        <v>9.66</v>
      </c>
      <c r="H135" t="s">
        <v>1074</v>
      </c>
      <c r="I135" t="s">
        <v>1273</v>
      </c>
      <c r="J135" t="s">
        <v>1417</v>
      </c>
      <c r="K135" t="s">
        <v>1422</v>
      </c>
    </row>
    <row r="136" spans="1:11" x14ac:dyDescent="0.25">
      <c r="A136" t="s">
        <v>1562</v>
      </c>
      <c r="B136" s="2">
        <v>45336</v>
      </c>
      <c r="C136" t="s">
        <v>880</v>
      </c>
      <c r="D136" t="s">
        <v>1013</v>
      </c>
      <c r="E136">
        <v>2</v>
      </c>
      <c r="F136">
        <v>25</v>
      </c>
      <c r="G136">
        <v>9.7100000000000009</v>
      </c>
      <c r="H136" t="s">
        <v>1128</v>
      </c>
      <c r="I136" t="s">
        <v>1327</v>
      </c>
      <c r="J136" t="s">
        <v>1414</v>
      </c>
      <c r="K136" t="s">
        <v>1422</v>
      </c>
    </row>
    <row r="137" spans="1:11" x14ac:dyDescent="0.25">
      <c r="A137" t="s">
        <v>1563</v>
      </c>
      <c r="B137" s="2">
        <v>45337</v>
      </c>
      <c r="C137" t="s">
        <v>508</v>
      </c>
      <c r="D137" t="s">
        <v>1012</v>
      </c>
      <c r="E137">
        <v>10</v>
      </c>
      <c r="F137">
        <v>40</v>
      </c>
      <c r="G137">
        <v>14.95</v>
      </c>
      <c r="H137" t="s">
        <v>1122</v>
      </c>
      <c r="I137" t="s">
        <v>1321</v>
      </c>
      <c r="J137" t="s">
        <v>1414</v>
      </c>
      <c r="K137" t="s">
        <v>1427</v>
      </c>
    </row>
    <row r="138" spans="1:11" x14ac:dyDescent="0.25">
      <c r="A138" t="s">
        <v>1564</v>
      </c>
      <c r="B138" s="2">
        <v>45337</v>
      </c>
      <c r="C138" t="s">
        <v>672</v>
      </c>
      <c r="D138" t="s">
        <v>1011</v>
      </c>
      <c r="E138">
        <v>5</v>
      </c>
      <c r="F138">
        <v>12</v>
      </c>
      <c r="G138">
        <v>3.63</v>
      </c>
      <c r="H138" t="s">
        <v>1113</v>
      </c>
      <c r="I138" t="s">
        <v>1312</v>
      </c>
      <c r="J138" t="s">
        <v>1414</v>
      </c>
      <c r="K138" t="s">
        <v>1420</v>
      </c>
    </row>
    <row r="139" spans="1:11" x14ac:dyDescent="0.25">
      <c r="A139" t="s">
        <v>1565</v>
      </c>
      <c r="B139" s="2">
        <v>45337</v>
      </c>
      <c r="C139" t="s">
        <v>784</v>
      </c>
      <c r="D139" t="s">
        <v>1013</v>
      </c>
      <c r="E139">
        <v>2</v>
      </c>
      <c r="F139">
        <v>25</v>
      </c>
      <c r="G139">
        <v>8.08</v>
      </c>
      <c r="H139" t="s">
        <v>1121</v>
      </c>
      <c r="I139" t="s">
        <v>1320</v>
      </c>
      <c r="J139" t="s">
        <v>1414</v>
      </c>
      <c r="K139" t="s">
        <v>1420</v>
      </c>
    </row>
    <row r="140" spans="1:11" x14ac:dyDescent="0.25">
      <c r="A140" t="s">
        <v>1566</v>
      </c>
      <c r="B140" s="2">
        <v>45337</v>
      </c>
      <c r="C140" t="s">
        <v>823</v>
      </c>
      <c r="D140" t="s">
        <v>1015</v>
      </c>
      <c r="E140">
        <v>9</v>
      </c>
      <c r="F140">
        <v>10</v>
      </c>
      <c r="G140">
        <v>3.45</v>
      </c>
      <c r="H140" t="s">
        <v>1119</v>
      </c>
      <c r="I140" t="s">
        <v>1318</v>
      </c>
      <c r="J140" t="s">
        <v>1416</v>
      </c>
      <c r="K140" t="s">
        <v>1419</v>
      </c>
    </row>
    <row r="141" spans="1:11" x14ac:dyDescent="0.25">
      <c r="A141" t="s">
        <v>1567</v>
      </c>
      <c r="B141" s="2">
        <v>45337</v>
      </c>
      <c r="C141" t="s">
        <v>913</v>
      </c>
      <c r="D141" t="s">
        <v>1011</v>
      </c>
      <c r="E141">
        <v>5</v>
      </c>
      <c r="F141">
        <v>12</v>
      </c>
      <c r="G141">
        <v>4.0199999999999996</v>
      </c>
      <c r="H141" t="s">
        <v>1043</v>
      </c>
      <c r="I141" t="s">
        <v>1242</v>
      </c>
      <c r="J141" t="s">
        <v>1414</v>
      </c>
      <c r="K141" t="s">
        <v>1425</v>
      </c>
    </row>
    <row r="142" spans="1:11" x14ac:dyDescent="0.25">
      <c r="A142" t="s">
        <v>1568</v>
      </c>
      <c r="B142" s="2">
        <v>45338</v>
      </c>
      <c r="C142" t="s">
        <v>52</v>
      </c>
      <c r="D142" t="s">
        <v>1013</v>
      </c>
      <c r="E142">
        <v>4</v>
      </c>
      <c r="G142">
        <v>8</v>
      </c>
      <c r="H142" t="s">
        <v>1051</v>
      </c>
      <c r="I142" t="s">
        <v>1250</v>
      </c>
      <c r="J142" t="s">
        <v>1414</v>
      </c>
      <c r="K142" t="s">
        <v>1420</v>
      </c>
    </row>
    <row r="143" spans="1:11" x14ac:dyDescent="0.25">
      <c r="A143" t="s">
        <v>1569</v>
      </c>
      <c r="B143" s="2">
        <v>45338</v>
      </c>
      <c r="C143" t="s">
        <v>583</v>
      </c>
      <c r="D143" t="s">
        <v>1014</v>
      </c>
      <c r="E143">
        <v>1</v>
      </c>
      <c r="F143">
        <v>15</v>
      </c>
      <c r="G143">
        <v>5.45</v>
      </c>
      <c r="H143" t="s">
        <v>1177</v>
      </c>
      <c r="I143" t="s">
        <v>1376</v>
      </c>
      <c r="J143" t="s">
        <v>1414</v>
      </c>
      <c r="K143" t="s">
        <v>1419</v>
      </c>
    </row>
    <row r="144" spans="1:11" x14ac:dyDescent="0.25">
      <c r="A144" t="s">
        <v>1570</v>
      </c>
      <c r="B144" s="2">
        <v>45338</v>
      </c>
      <c r="C144" t="s">
        <v>695</v>
      </c>
      <c r="D144" t="s">
        <v>1014</v>
      </c>
      <c r="E144">
        <v>1</v>
      </c>
      <c r="F144">
        <v>15</v>
      </c>
      <c r="G144">
        <v>3.59</v>
      </c>
      <c r="H144" t="s">
        <v>1152</v>
      </c>
      <c r="I144" t="s">
        <v>1351</v>
      </c>
      <c r="J144" t="s">
        <v>1415</v>
      </c>
      <c r="K144" t="s">
        <v>1426</v>
      </c>
    </row>
    <row r="145" spans="1:11" x14ac:dyDescent="0.25">
      <c r="A145" t="s">
        <v>1571</v>
      </c>
      <c r="B145" s="2">
        <v>45339</v>
      </c>
      <c r="C145" t="s">
        <v>507</v>
      </c>
      <c r="D145" t="s">
        <v>1012</v>
      </c>
      <c r="E145">
        <v>3</v>
      </c>
      <c r="F145">
        <v>40</v>
      </c>
      <c r="G145">
        <v>13.47</v>
      </c>
      <c r="H145" t="s">
        <v>1170</v>
      </c>
      <c r="I145" t="s">
        <v>1369</v>
      </c>
      <c r="J145" t="s">
        <v>1416</v>
      </c>
      <c r="K145" t="s">
        <v>1420</v>
      </c>
    </row>
    <row r="146" spans="1:11" x14ac:dyDescent="0.25">
      <c r="A146" t="s">
        <v>1572</v>
      </c>
      <c r="B146" s="2">
        <v>45339</v>
      </c>
      <c r="C146" t="s">
        <v>516</v>
      </c>
      <c r="D146" t="s">
        <v>1011</v>
      </c>
      <c r="E146">
        <v>8</v>
      </c>
      <c r="F146">
        <v>12</v>
      </c>
      <c r="G146">
        <v>2.72</v>
      </c>
      <c r="H146" t="s">
        <v>1124</v>
      </c>
      <c r="I146" t="s">
        <v>1323</v>
      </c>
      <c r="J146" t="s">
        <v>1414</v>
      </c>
      <c r="K146" t="s">
        <v>1421</v>
      </c>
    </row>
    <row r="147" spans="1:11" x14ac:dyDescent="0.25">
      <c r="A147" t="s">
        <v>1573</v>
      </c>
      <c r="B147" s="2">
        <v>45339</v>
      </c>
      <c r="C147" t="s">
        <v>577</v>
      </c>
      <c r="D147" t="s">
        <v>1014</v>
      </c>
      <c r="E147">
        <v>1</v>
      </c>
      <c r="F147">
        <v>15</v>
      </c>
      <c r="G147">
        <v>3.43</v>
      </c>
      <c r="H147" t="s">
        <v>1036</v>
      </c>
      <c r="I147" t="s">
        <v>1235</v>
      </c>
      <c r="J147" t="s">
        <v>1414</v>
      </c>
      <c r="K147" t="s">
        <v>1425</v>
      </c>
    </row>
    <row r="148" spans="1:11" x14ac:dyDescent="0.25">
      <c r="A148" t="s">
        <v>1574</v>
      </c>
      <c r="B148" s="2">
        <v>45340</v>
      </c>
      <c r="C148" t="s">
        <v>614</v>
      </c>
      <c r="D148" t="s">
        <v>1015</v>
      </c>
      <c r="E148">
        <v>1</v>
      </c>
      <c r="F148">
        <v>10</v>
      </c>
      <c r="G148">
        <v>3.27</v>
      </c>
      <c r="H148" t="s">
        <v>1171</v>
      </c>
      <c r="I148" t="s">
        <v>1370</v>
      </c>
      <c r="J148" t="s">
        <v>1416</v>
      </c>
      <c r="K148" t="s">
        <v>1419</v>
      </c>
    </row>
    <row r="149" spans="1:11" x14ac:dyDescent="0.25">
      <c r="A149" t="s">
        <v>1575</v>
      </c>
      <c r="B149" s="2">
        <v>45340</v>
      </c>
      <c r="C149" t="s">
        <v>703</v>
      </c>
      <c r="D149" t="s">
        <v>1015</v>
      </c>
      <c r="E149">
        <v>6</v>
      </c>
      <c r="F149">
        <v>10</v>
      </c>
      <c r="G149">
        <v>3.92</v>
      </c>
      <c r="H149" t="s">
        <v>1098</v>
      </c>
      <c r="I149" t="s">
        <v>1297</v>
      </c>
      <c r="J149" t="s">
        <v>1414</v>
      </c>
      <c r="K149" t="s">
        <v>1420</v>
      </c>
    </row>
    <row r="150" spans="1:11" x14ac:dyDescent="0.25">
      <c r="A150" t="s">
        <v>1576</v>
      </c>
      <c r="B150" s="2">
        <v>45340</v>
      </c>
      <c r="C150" t="s">
        <v>809</v>
      </c>
      <c r="D150" t="s">
        <v>1012</v>
      </c>
      <c r="E150">
        <v>10</v>
      </c>
      <c r="F150">
        <v>40</v>
      </c>
      <c r="G150">
        <v>10.39</v>
      </c>
      <c r="H150" t="s">
        <v>1177</v>
      </c>
      <c r="I150" t="s">
        <v>1376</v>
      </c>
      <c r="J150" t="s">
        <v>1414</v>
      </c>
      <c r="K150" t="s">
        <v>1422</v>
      </c>
    </row>
    <row r="151" spans="1:11" x14ac:dyDescent="0.25">
      <c r="A151" t="s">
        <v>1577</v>
      </c>
      <c r="B151" s="2">
        <v>45341</v>
      </c>
      <c r="C151" t="s">
        <v>933</v>
      </c>
      <c r="D151" t="s">
        <v>1011</v>
      </c>
      <c r="E151">
        <v>1</v>
      </c>
      <c r="F151">
        <v>12</v>
      </c>
      <c r="G151">
        <v>3.88</v>
      </c>
      <c r="H151" t="s">
        <v>1140</v>
      </c>
      <c r="I151" t="s">
        <v>1339</v>
      </c>
      <c r="J151" t="s">
        <v>1414</v>
      </c>
      <c r="K151" t="s">
        <v>1426</v>
      </c>
    </row>
    <row r="152" spans="1:11" x14ac:dyDescent="0.25">
      <c r="A152" t="s">
        <v>1578</v>
      </c>
      <c r="B152" s="2">
        <v>45341</v>
      </c>
      <c r="C152" t="s">
        <v>934</v>
      </c>
      <c r="D152" t="s">
        <v>1012</v>
      </c>
      <c r="E152">
        <v>9</v>
      </c>
      <c r="F152">
        <v>40</v>
      </c>
      <c r="G152">
        <v>13.95</v>
      </c>
      <c r="H152" t="s">
        <v>1069</v>
      </c>
      <c r="I152" t="s">
        <v>1268</v>
      </c>
      <c r="J152" t="s">
        <v>1414</v>
      </c>
      <c r="K152" t="s">
        <v>1418</v>
      </c>
    </row>
    <row r="153" spans="1:11" x14ac:dyDescent="0.25">
      <c r="A153" t="s">
        <v>1579</v>
      </c>
      <c r="B153" s="2">
        <v>45342</v>
      </c>
      <c r="C153" t="s">
        <v>50</v>
      </c>
      <c r="D153" t="s">
        <v>1012</v>
      </c>
      <c r="E153">
        <v>6</v>
      </c>
      <c r="F153">
        <v>40</v>
      </c>
      <c r="G153">
        <v>11.41</v>
      </c>
      <c r="H153" t="s">
        <v>1049</v>
      </c>
      <c r="I153" t="s">
        <v>1248</v>
      </c>
      <c r="J153" t="s">
        <v>1416</v>
      </c>
      <c r="K153" t="s">
        <v>1418</v>
      </c>
    </row>
    <row r="154" spans="1:11" x14ac:dyDescent="0.25">
      <c r="A154" t="s">
        <v>1580</v>
      </c>
      <c r="B154" s="2">
        <v>45343</v>
      </c>
      <c r="C154" t="s">
        <v>207</v>
      </c>
      <c r="D154" t="s">
        <v>1012</v>
      </c>
      <c r="E154">
        <v>10</v>
      </c>
      <c r="F154">
        <v>40</v>
      </c>
      <c r="G154">
        <v>15.1</v>
      </c>
      <c r="H154" t="s">
        <v>1040</v>
      </c>
      <c r="I154" t="s">
        <v>1239</v>
      </c>
      <c r="J154" t="s">
        <v>1414</v>
      </c>
      <c r="K154" t="s">
        <v>1420</v>
      </c>
    </row>
    <row r="155" spans="1:11" x14ac:dyDescent="0.25">
      <c r="A155" t="s">
        <v>1581</v>
      </c>
      <c r="B155" s="2">
        <v>45343</v>
      </c>
      <c r="C155" t="s">
        <v>574</v>
      </c>
      <c r="D155" t="s">
        <v>1011</v>
      </c>
      <c r="E155">
        <v>3</v>
      </c>
      <c r="F155">
        <v>12</v>
      </c>
      <c r="G155">
        <v>4.78</v>
      </c>
      <c r="H155" t="s">
        <v>1127</v>
      </c>
      <c r="I155" t="s">
        <v>1326</v>
      </c>
      <c r="J155" t="s">
        <v>1414</v>
      </c>
      <c r="K155" t="s">
        <v>1424</v>
      </c>
    </row>
    <row r="156" spans="1:11" x14ac:dyDescent="0.25">
      <c r="A156" t="s">
        <v>1582</v>
      </c>
      <c r="B156" s="2">
        <v>45343</v>
      </c>
      <c r="C156" t="s">
        <v>645</v>
      </c>
      <c r="D156" t="s">
        <v>1014</v>
      </c>
      <c r="E156">
        <v>5</v>
      </c>
      <c r="F156">
        <v>15</v>
      </c>
      <c r="G156">
        <v>5.09</v>
      </c>
      <c r="H156" t="s">
        <v>1092</v>
      </c>
      <c r="I156" t="s">
        <v>1291</v>
      </c>
      <c r="J156" t="s">
        <v>1414</v>
      </c>
      <c r="K156" t="s">
        <v>1424</v>
      </c>
    </row>
    <row r="157" spans="1:11" x14ac:dyDescent="0.25">
      <c r="A157" t="s">
        <v>1583</v>
      </c>
      <c r="B157" s="2">
        <v>45344</v>
      </c>
      <c r="C157" t="s">
        <v>233</v>
      </c>
      <c r="D157" t="s">
        <v>1014</v>
      </c>
      <c r="E157">
        <v>5</v>
      </c>
      <c r="G157">
        <v>3.54</v>
      </c>
      <c r="H157" t="s">
        <v>1089</v>
      </c>
      <c r="I157" t="s">
        <v>1288</v>
      </c>
      <c r="J157" t="s">
        <v>1414</v>
      </c>
      <c r="K157" t="s">
        <v>1427</v>
      </c>
    </row>
    <row r="158" spans="1:11" x14ac:dyDescent="0.25">
      <c r="A158" t="s">
        <v>1584</v>
      </c>
      <c r="B158" s="2">
        <v>45345</v>
      </c>
      <c r="C158" t="s">
        <v>251</v>
      </c>
      <c r="D158" t="s">
        <v>1012</v>
      </c>
      <c r="E158">
        <v>3</v>
      </c>
      <c r="F158">
        <v>40</v>
      </c>
      <c r="G158">
        <v>13.26</v>
      </c>
      <c r="H158" t="s">
        <v>1094</v>
      </c>
      <c r="I158" t="s">
        <v>1293</v>
      </c>
      <c r="J158" t="s">
        <v>1414</v>
      </c>
      <c r="K158" t="s">
        <v>1418</v>
      </c>
    </row>
    <row r="159" spans="1:11" x14ac:dyDescent="0.25">
      <c r="A159" t="s">
        <v>1585</v>
      </c>
      <c r="B159" s="2">
        <v>45345</v>
      </c>
      <c r="C159" t="s">
        <v>280</v>
      </c>
      <c r="D159" t="s">
        <v>1012</v>
      </c>
      <c r="E159">
        <v>7</v>
      </c>
      <c r="G159">
        <v>8.94</v>
      </c>
      <c r="H159" t="s">
        <v>1039</v>
      </c>
      <c r="I159" t="s">
        <v>1238</v>
      </c>
      <c r="J159" t="s">
        <v>1414</v>
      </c>
      <c r="K159" t="s">
        <v>1425</v>
      </c>
    </row>
    <row r="160" spans="1:11" x14ac:dyDescent="0.25">
      <c r="A160" t="s">
        <v>1586</v>
      </c>
      <c r="B160" s="2">
        <v>45345</v>
      </c>
      <c r="C160" t="s">
        <v>659</v>
      </c>
      <c r="D160" t="s">
        <v>1011</v>
      </c>
      <c r="E160">
        <v>2</v>
      </c>
      <c r="F160">
        <v>12</v>
      </c>
      <c r="G160">
        <v>2.78</v>
      </c>
      <c r="H160" t="s">
        <v>1068</v>
      </c>
      <c r="I160" t="s">
        <v>1267</v>
      </c>
      <c r="J160" t="s">
        <v>1414</v>
      </c>
      <c r="K160" t="s">
        <v>1418</v>
      </c>
    </row>
    <row r="161" spans="1:11" x14ac:dyDescent="0.25">
      <c r="A161" t="s">
        <v>1587</v>
      </c>
      <c r="B161" s="2">
        <v>45345</v>
      </c>
      <c r="C161" t="s">
        <v>876</v>
      </c>
      <c r="D161" t="s">
        <v>1012</v>
      </c>
      <c r="E161">
        <v>10</v>
      </c>
      <c r="F161">
        <v>40</v>
      </c>
      <c r="G161">
        <v>9.31</v>
      </c>
      <c r="H161" t="s">
        <v>1052</v>
      </c>
      <c r="I161" t="s">
        <v>1251</v>
      </c>
      <c r="J161" t="s">
        <v>1414</v>
      </c>
      <c r="K161" t="s">
        <v>1423</v>
      </c>
    </row>
    <row r="162" spans="1:11" x14ac:dyDescent="0.25">
      <c r="A162" t="s">
        <v>1588</v>
      </c>
      <c r="B162" s="2">
        <v>45346</v>
      </c>
      <c r="C162" t="s">
        <v>596</v>
      </c>
      <c r="D162" t="s">
        <v>1014</v>
      </c>
      <c r="E162">
        <v>1</v>
      </c>
      <c r="F162">
        <v>15</v>
      </c>
      <c r="G162">
        <v>4.33</v>
      </c>
      <c r="H162" t="s">
        <v>1108</v>
      </c>
      <c r="I162" t="s">
        <v>1307</v>
      </c>
      <c r="J162" t="s">
        <v>1414</v>
      </c>
      <c r="K162" t="s">
        <v>1422</v>
      </c>
    </row>
    <row r="163" spans="1:11" x14ac:dyDescent="0.25">
      <c r="A163" t="s">
        <v>1589</v>
      </c>
      <c r="B163" s="2">
        <v>45346</v>
      </c>
      <c r="C163" t="s">
        <v>598</v>
      </c>
      <c r="D163" t="s">
        <v>1012</v>
      </c>
      <c r="E163">
        <v>10</v>
      </c>
      <c r="F163">
        <v>40</v>
      </c>
      <c r="G163">
        <v>9.86</v>
      </c>
      <c r="H163" t="s">
        <v>1068</v>
      </c>
      <c r="I163" t="s">
        <v>1267</v>
      </c>
      <c r="J163" t="s">
        <v>1416</v>
      </c>
      <c r="K163" t="s">
        <v>1427</v>
      </c>
    </row>
    <row r="164" spans="1:11" x14ac:dyDescent="0.25">
      <c r="A164" t="s">
        <v>1590</v>
      </c>
      <c r="B164" s="2">
        <v>45346</v>
      </c>
      <c r="C164" t="s">
        <v>709</v>
      </c>
      <c r="D164" t="s">
        <v>1011</v>
      </c>
      <c r="E164">
        <v>8</v>
      </c>
      <c r="F164">
        <v>12</v>
      </c>
      <c r="G164">
        <v>4.18</v>
      </c>
      <c r="H164" t="s">
        <v>1119</v>
      </c>
      <c r="I164" t="s">
        <v>1318</v>
      </c>
      <c r="J164" t="s">
        <v>1417</v>
      </c>
      <c r="K164" t="s">
        <v>1425</v>
      </c>
    </row>
    <row r="165" spans="1:11" x14ac:dyDescent="0.25">
      <c r="A165" t="s">
        <v>1591</v>
      </c>
      <c r="B165" s="2">
        <v>45347</v>
      </c>
      <c r="C165" t="s">
        <v>290</v>
      </c>
      <c r="D165" t="s">
        <v>1012</v>
      </c>
      <c r="E165">
        <v>7</v>
      </c>
      <c r="F165">
        <v>40</v>
      </c>
      <c r="G165">
        <v>8.01</v>
      </c>
      <c r="H165" t="s">
        <v>1056</v>
      </c>
      <c r="I165" t="s">
        <v>1255</v>
      </c>
      <c r="J165" t="s">
        <v>1416</v>
      </c>
      <c r="K165" t="s">
        <v>1424</v>
      </c>
    </row>
    <row r="166" spans="1:11" x14ac:dyDescent="0.25">
      <c r="A166" t="s">
        <v>1592</v>
      </c>
      <c r="B166" s="2">
        <v>45347</v>
      </c>
      <c r="C166" t="s">
        <v>396</v>
      </c>
      <c r="D166" t="s">
        <v>1015</v>
      </c>
      <c r="E166">
        <v>8</v>
      </c>
      <c r="F166">
        <v>10</v>
      </c>
      <c r="G166">
        <v>2.31</v>
      </c>
      <c r="H166" t="s">
        <v>1132</v>
      </c>
      <c r="I166" t="s">
        <v>1331</v>
      </c>
      <c r="J166" t="s">
        <v>1415</v>
      </c>
      <c r="K166" t="s">
        <v>1423</v>
      </c>
    </row>
    <row r="167" spans="1:11" x14ac:dyDescent="0.25">
      <c r="A167" t="s">
        <v>1593</v>
      </c>
      <c r="B167" s="2">
        <v>45347</v>
      </c>
      <c r="C167" t="s">
        <v>416</v>
      </c>
      <c r="D167" t="s">
        <v>1014</v>
      </c>
      <c r="E167">
        <v>9</v>
      </c>
      <c r="F167">
        <v>15</v>
      </c>
      <c r="G167">
        <v>3.27</v>
      </c>
      <c r="H167" t="s">
        <v>1159</v>
      </c>
      <c r="I167" t="s">
        <v>1358</v>
      </c>
      <c r="J167" t="s">
        <v>1416</v>
      </c>
      <c r="K167" t="s">
        <v>1424</v>
      </c>
    </row>
    <row r="168" spans="1:11" x14ac:dyDescent="0.25">
      <c r="A168" t="s">
        <v>1594</v>
      </c>
      <c r="B168" s="2">
        <v>45347</v>
      </c>
      <c r="C168" t="s">
        <v>436</v>
      </c>
      <c r="D168" t="s">
        <v>1012</v>
      </c>
      <c r="E168">
        <v>8</v>
      </c>
      <c r="F168">
        <v>40</v>
      </c>
      <c r="G168">
        <v>15.81</v>
      </c>
      <c r="H168" t="s">
        <v>1162</v>
      </c>
      <c r="I168" t="s">
        <v>1361</v>
      </c>
      <c r="J168" t="s">
        <v>1416</v>
      </c>
      <c r="K168" t="s">
        <v>1419</v>
      </c>
    </row>
    <row r="169" spans="1:11" x14ac:dyDescent="0.25">
      <c r="A169" t="s">
        <v>1595</v>
      </c>
      <c r="B169" s="2">
        <v>45348</v>
      </c>
      <c r="C169" t="s">
        <v>108</v>
      </c>
      <c r="D169" t="s">
        <v>1012</v>
      </c>
      <c r="E169">
        <v>7</v>
      </c>
      <c r="F169">
        <v>40</v>
      </c>
      <c r="G169">
        <v>9.9700000000000006</v>
      </c>
      <c r="H169" t="s">
        <v>1090</v>
      </c>
      <c r="I169" t="s">
        <v>1289</v>
      </c>
      <c r="J169" t="s">
        <v>1414</v>
      </c>
      <c r="K169" t="s">
        <v>1419</v>
      </c>
    </row>
    <row r="170" spans="1:11" x14ac:dyDescent="0.25">
      <c r="A170" t="s">
        <v>1596</v>
      </c>
      <c r="B170" s="2">
        <v>45348</v>
      </c>
      <c r="C170" t="s">
        <v>204</v>
      </c>
      <c r="D170" t="s">
        <v>1013</v>
      </c>
      <c r="E170">
        <v>3</v>
      </c>
      <c r="F170">
        <v>25</v>
      </c>
      <c r="G170">
        <v>5.54</v>
      </c>
      <c r="H170" t="s">
        <v>1140</v>
      </c>
      <c r="I170" t="s">
        <v>1339</v>
      </c>
      <c r="J170" t="s">
        <v>1416</v>
      </c>
      <c r="K170" t="s">
        <v>1421</v>
      </c>
    </row>
    <row r="171" spans="1:11" x14ac:dyDescent="0.25">
      <c r="A171" t="s">
        <v>1597</v>
      </c>
      <c r="B171" s="2">
        <v>45348</v>
      </c>
      <c r="C171" t="s">
        <v>701</v>
      </c>
      <c r="D171" t="s">
        <v>1014</v>
      </c>
      <c r="E171">
        <v>6</v>
      </c>
      <c r="F171">
        <v>15</v>
      </c>
      <c r="G171">
        <v>3.31</v>
      </c>
      <c r="H171" t="s">
        <v>1052</v>
      </c>
      <c r="I171" t="s">
        <v>1251</v>
      </c>
      <c r="J171" t="s">
        <v>1417</v>
      </c>
      <c r="K171" t="s">
        <v>1421</v>
      </c>
    </row>
    <row r="172" spans="1:11" x14ac:dyDescent="0.25">
      <c r="A172" t="s">
        <v>1598</v>
      </c>
      <c r="B172" s="2">
        <v>45348</v>
      </c>
      <c r="C172" t="s">
        <v>759</v>
      </c>
      <c r="D172" t="s">
        <v>1015</v>
      </c>
      <c r="E172">
        <v>10</v>
      </c>
      <c r="F172">
        <v>10</v>
      </c>
      <c r="G172">
        <v>2.98</v>
      </c>
      <c r="H172" t="s">
        <v>1019</v>
      </c>
      <c r="I172" t="s">
        <v>1218</v>
      </c>
      <c r="J172" t="s">
        <v>1414</v>
      </c>
      <c r="K172" t="s">
        <v>1423</v>
      </c>
    </row>
    <row r="173" spans="1:11" x14ac:dyDescent="0.25">
      <c r="A173" t="s">
        <v>1599</v>
      </c>
      <c r="B173" s="2">
        <v>45349</v>
      </c>
      <c r="C173" t="s">
        <v>294</v>
      </c>
      <c r="D173" t="s">
        <v>1013</v>
      </c>
      <c r="E173">
        <v>10</v>
      </c>
      <c r="F173">
        <v>25</v>
      </c>
      <c r="G173">
        <v>6.26</v>
      </c>
      <c r="H173" t="s">
        <v>1160</v>
      </c>
      <c r="I173" t="s">
        <v>1359</v>
      </c>
      <c r="J173" t="s">
        <v>1414</v>
      </c>
      <c r="K173" t="s">
        <v>1427</v>
      </c>
    </row>
    <row r="174" spans="1:11" x14ac:dyDescent="0.25">
      <c r="A174" t="s">
        <v>1600</v>
      </c>
      <c r="B174" s="2">
        <v>45349</v>
      </c>
      <c r="C174" t="s">
        <v>317</v>
      </c>
      <c r="D174" t="s">
        <v>1012</v>
      </c>
      <c r="E174">
        <v>5</v>
      </c>
      <c r="F174">
        <v>40</v>
      </c>
      <c r="G174">
        <v>15.18</v>
      </c>
      <c r="H174" t="s">
        <v>1035</v>
      </c>
      <c r="I174" t="s">
        <v>1234</v>
      </c>
      <c r="J174" t="s">
        <v>1416</v>
      </c>
      <c r="K174" t="s">
        <v>1419</v>
      </c>
    </row>
    <row r="175" spans="1:11" x14ac:dyDescent="0.25">
      <c r="A175" t="s">
        <v>1601</v>
      </c>
      <c r="B175" s="2">
        <v>45349</v>
      </c>
      <c r="C175" t="s">
        <v>553</v>
      </c>
      <c r="D175" t="s">
        <v>1012</v>
      </c>
      <c r="E175">
        <v>1</v>
      </c>
      <c r="F175">
        <v>40</v>
      </c>
      <c r="G175">
        <v>9.3699999999999992</v>
      </c>
      <c r="H175" t="s">
        <v>1128</v>
      </c>
      <c r="I175" t="s">
        <v>1327</v>
      </c>
      <c r="J175" t="s">
        <v>1416</v>
      </c>
      <c r="K175" t="s">
        <v>1424</v>
      </c>
    </row>
    <row r="176" spans="1:11" x14ac:dyDescent="0.25">
      <c r="A176" t="s">
        <v>1602</v>
      </c>
      <c r="B176" s="2">
        <v>45349</v>
      </c>
      <c r="C176" t="s">
        <v>556</v>
      </c>
      <c r="D176" t="s">
        <v>1013</v>
      </c>
      <c r="E176">
        <v>5</v>
      </c>
      <c r="F176">
        <v>25</v>
      </c>
      <c r="G176">
        <v>6.89</v>
      </c>
      <c r="H176" t="s">
        <v>1080</v>
      </c>
      <c r="I176" t="s">
        <v>1279</v>
      </c>
      <c r="J176" t="s">
        <v>1416</v>
      </c>
      <c r="K176" t="s">
        <v>1421</v>
      </c>
    </row>
    <row r="177" spans="1:11" x14ac:dyDescent="0.25">
      <c r="A177" t="s">
        <v>1603</v>
      </c>
      <c r="B177" s="2">
        <v>45349</v>
      </c>
      <c r="C177" t="s">
        <v>607</v>
      </c>
      <c r="D177" t="s">
        <v>1012</v>
      </c>
      <c r="E177">
        <v>10</v>
      </c>
      <c r="F177">
        <v>40</v>
      </c>
      <c r="G177">
        <v>11.7</v>
      </c>
      <c r="H177" t="s">
        <v>1165</v>
      </c>
      <c r="I177" t="s">
        <v>1364</v>
      </c>
      <c r="J177" t="s">
        <v>1417</v>
      </c>
      <c r="K177" t="s">
        <v>1426</v>
      </c>
    </row>
    <row r="178" spans="1:11" x14ac:dyDescent="0.25">
      <c r="A178" t="s">
        <v>1604</v>
      </c>
      <c r="B178" s="2">
        <v>45351</v>
      </c>
      <c r="C178" t="s">
        <v>594</v>
      </c>
      <c r="D178" t="s">
        <v>1013</v>
      </c>
      <c r="E178">
        <v>2</v>
      </c>
      <c r="F178">
        <v>25</v>
      </c>
      <c r="G178">
        <v>7.19</v>
      </c>
      <c r="H178" t="s">
        <v>1036</v>
      </c>
      <c r="I178" t="s">
        <v>1235</v>
      </c>
      <c r="J178" t="s">
        <v>1414</v>
      </c>
      <c r="K178" t="s">
        <v>1424</v>
      </c>
    </row>
    <row r="179" spans="1:11" x14ac:dyDescent="0.25">
      <c r="A179" t="s">
        <v>1605</v>
      </c>
      <c r="B179" s="2">
        <v>45352</v>
      </c>
      <c r="C179" t="s">
        <v>234</v>
      </c>
      <c r="D179" t="s">
        <v>1015</v>
      </c>
      <c r="E179">
        <v>8</v>
      </c>
      <c r="F179">
        <v>10</v>
      </c>
      <c r="G179">
        <v>3.89</v>
      </c>
      <c r="H179" t="s">
        <v>1042</v>
      </c>
      <c r="I179" t="s">
        <v>1241</v>
      </c>
      <c r="J179" t="s">
        <v>1416</v>
      </c>
      <c r="K179" t="s">
        <v>1419</v>
      </c>
    </row>
    <row r="180" spans="1:11" x14ac:dyDescent="0.25">
      <c r="A180" t="s">
        <v>1606</v>
      </c>
      <c r="B180" s="2">
        <v>45352</v>
      </c>
      <c r="C180" t="s">
        <v>459</v>
      </c>
      <c r="D180" t="s">
        <v>1013</v>
      </c>
      <c r="E180">
        <v>2</v>
      </c>
      <c r="F180">
        <v>25</v>
      </c>
      <c r="G180">
        <v>5.81</v>
      </c>
      <c r="H180" t="s">
        <v>1187</v>
      </c>
      <c r="I180" t="s">
        <v>1386</v>
      </c>
      <c r="J180" t="s">
        <v>1414</v>
      </c>
      <c r="K180" t="s">
        <v>1425</v>
      </c>
    </row>
    <row r="181" spans="1:11" x14ac:dyDescent="0.25">
      <c r="A181" t="s">
        <v>1607</v>
      </c>
      <c r="B181" s="2">
        <v>45353</v>
      </c>
      <c r="C181" t="s">
        <v>208</v>
      </c>
      <c r="D181" t="s">
        <v>1014</v>
      </c>
      <c r="E181">
        <v>5</v>
      </c>
      <c r="G181">
        <v>4.7</v>
      </c>
      <c r="H181" t="s">
        <v>1142</v>
      </c>
      <c r="I181" t="s">
        <v>1341</v>
      </c>
      <c r="J181" t="s">
        <v>1416</v>
      </c>
      <c r="K181" t="s">
        <v>1422</v>
      </c>
    </row>
    <row r="182" spans="1:11" x14ac:dyDescent="0.25">
      <c r="A182" t="s">
        <v>1608</v>
      </c>
      <c r="B182" s="2">
        <v>45353</v>
      </c>
      <c r="C182" t="s">
        <v>518</v>
      </c>
      <c r="D182" t="s">
        <v>1012</v>
      </c>
      <c r="E182">
        <v>9</v>
      </c>
      <c r="F182">
        <v>40</v>
      </c>
      <c r="G182">
        <v>9.41</v>
      </c>
      <c r="H182" t="s">
        <v>1079</v>
      </c>
      <c r="I182" t="s">
        <v>1278</v>
      </c>
      <c r="J182" t="s">
        <v>1415</v>
      </c>
      <c r="K182" t="s">
        <v>1424</v>
      </c>
    </row>
    <row r="183" spans="1:11" x14ac:dyDescent="0.25">
      <c r="A183" t="s">
        <v>1609</v>
      </c>
      <c r="B183" s="2">
        <v>45353</v>
      </c>
      <c r="C183" t="s">
        <v>572</v>
      </c>
      <c r="D183" t="s">
        <v>1014</v>
      </c>
      <c r="E183">
        <v>4</v>
      </c>
      <c r="F183">
        <v>15</v>
      </c>
      <c r="G183">
        <v>4.91</v>
      </c>
      <c r="H183" t="s">
        <v>1168</v>
      </c>
      <c r="I183" t="s">
        <v>1367</v>
      </c>
      <c r="J183" t="s">
        <v>1417</v>
      </c>
      <c r="K183" t="s">
        <v>1424</v>
      </c>
    </row>
    <row r="184" spans="1:11" x14ac:dyDescent="0.25">
      <c r="A184" t="s">
        <v>1610</v>
      </c>
      <c r="B184" s="2">
        <v>45353</v>
      </c>
      <c r="C184" t="s">
        <v>662</v>
      </c>
      <c r="D184" t="s">
        <v>1014</v>
      </c>
      <c r="E184">
        <v>8</v>
      </c>
      <c r="F184">
        <v>15</v>
      </c>
      <c r="G184">
        <v>3.02</v>
      </c>
      <c r="H184" t="s">
        <v>1050</v>
      </c>
      <c r="I184" t="s">
        <v>1249</v>
      </c>
      <c r="J184" t="s">
        <v>1414</v>
      </c>
      <c r="K184" t="s">
        <v>1426</v>
      </c>
    </row>
    <row r="185" spans="1:11" x14ac:dyDescent="0.25">
      <c r="A185" t="s">
        <v>1611</v>
      </c>
      <c r="B185" s="2">
        <v>45353</v>
      </c>
      <c r="C185" t="s">
        <v>966</v>
      </c>
      <c r="D185" t="s">
        <v>1013</v>
      </c>
      <c r="E185">
        <v>1</v>
      </c>
      <c r="F185">
        <v>25</v>
      </c>
      <c r="G185">
        <v>5.23</v>
      </c>
      <c r="H185" t="s">
        <v>1017</v>
      </c>
      <c r="I185" t="s">
        <v>1216</v>
      </c>
      <c r="J185" t="s">
        <v>1414</v>
      </c>
      <c r="K185" t="s">
        <v>1422</v>
      </c>
    </row>
    <row r="186" spans="1:11" x14ac:dyDescent="0.25">
      <c r="A186" t="s">
        <v>1612</v>
      </c>
      <c r="B186" s="2">
        <v>45354</v>
      </c>
      <c r="C186" t="s">
        <v>611</v>
      </c>
      <c r="D186" t="s">
        <v>1013</v>
      </c>
      <c r="E186">
        <v>8</v>
      </c>
      <c r="F186">
        <v>25</v>
      </c>
      <c r="G186">
        <v>6.86</v>
      </c>
      <c r="H186" t="s">
        <v>1165</v>
      </c>
      <c r="I186" t="s">
        <v>1364</v>
      </c>
      <c r="J186" t="s">
        <v>1415</v>
      </c>
      <c r="K186" t="s">
        <v>1427</v>
      </c>
    </row>
    <row r="187" spans="1:11" x14ac:dyDescent="0.25">
      <c r="A187" t="s">
        <v>1613</v>
      </c>
      <c r="B187" s="2">
        <v>45354</v>
      </c>
      <c r="C187" t="s">
        <v>812</v>
      </c>
      <c r="D187" t="s">
        <v>1014</v>
      </c>
      <c r="E187">
        <v>1</v>
      </c>
      <c r="F187">
        <v>15</v>
      </c>
      <c r="G187">
        <v>3.91</v>
      </c>
      <c r="H187" t="s">
        <v>1040</v>
      </c>
      <c r="I187" t="s">
        <v>1239</v>
      </c>
      <c r="J187" t="s">
        <v>1416</v>
      </c>
      <c r="K187" t="s">
        <v>1422</v>
      </c>
    </row>
    <row r="188" spans="1:11" x14ac:dyDescent="0.25">
      <c r="A188" t="s">
        <v>1614</v>
      </c>
      <c r="B188" s="2">
        <v>45354</v>
      </c>
      <c r="C188" t="s">
        <v>851</v>
      </c>
      <c r="D188" t="s">
        <v>1012</v>
      </c>
      <c r="E188">
        <v>8</v>
      </c>
      <c r="G188">
        <v>14.99</v>
      </c>
      <c r="H188" t="s">
        <v>1022</v>
      </c>
      <c r="I188" t="s">
        <v>1221</v>
      </c>
      <c r="J188" t="s">
        <v>1414</v>
      </c>
      <c r="K188" t="s">
        <v>1425</v>
      </c>
    </row>
    <row r="189" spans="1:11" x14ac:dyDescent="0.25">
      <c r="A189" t="s">
        <v>1615</v>
      </c>
      <c r="B189" s="2">
        <v>45355</v>
      </c>
      <c r="C189" t="s">
        <v>303</v>
      </c>
      <c r="D189" t="s">
        <v>1014</v>
      </c>
      <c r="E189">
        <v>3</v>
      </c>
      <c r="F189">
        <v>15</v>
      </c>
      <c r="G189">
        <v>3.87</v>
      </c>
      <c r="H189" t="s">
        <v>1095</v>
      </c>
      <c r="I189" t="s">
        <v>1294</v>
      </c>
      <c r="J189" t="s">
        <v>1414</v>
      </c>
      <c r="K189" t="s">
        <v>1420</v>
      </c>
    </row>
    <row r="190" spans="1:11" x14ac:dyDescent="0.25">
      <c r="A190" t="s">
        <v>1616</v>
      </c>
      <c r="B190" s="2">
        <v>45355</v>
      </c>
      <c r="C190" t="s">
        <v>421</v>
      </c>
      <c r="D190" t="s">
        <v>1011</v>
      </c>
      <c r="E190">
        <v>5</v>
      </c>
      <c r="F190">
        <v>12</v>
      </c>
      <c r="G190">
        <v>2.98</v>
      </c>
      <c r="H190" t="s">
        <v>1168</v>
      </c>
      <c r="I190" t="s">
        <v>1367</v>
      </c>
      <c r="J190" t="s">
        <v>1414</v>
      </c>
      <c r="K190" t="s">
        <v>1424</v>
      </c>
    </row>
    <row r="191" spans="1:11" x14ac:dyDescent="0.25">
      <c r="A191" t="s">
        <v>1617</v>
      </c>
      <c r="B191" s="2">
        <v>45355</v>
      </c>
      <c r="C191" t="s">
        <v>653</v>
      </c>
      <c r="D191" t="s">
        <v>1011</v>
      </c>
      <c r="E191">
        <v>1</v>
      </c>
      <c r="F191">
        <v>12</v>
      </c>
      <c r="G191">
        <v>3.44</v>
      </c>
      <c r="H191" t="s">
        <v>1211</v>
      </c>
      <c r="I191" t="s">
        <v>1410</v>
      </c>
      <c r="J191" t="s">
        <v>1416</v>
      </c>
      <c r="K191" t="s">
        <v>1424</v>
      </c>
    </row>
    <row r="192" spans="1:11" x14ac:dyDescent="0.25">
      <c r="A192" t="s">
        <v>1618</v>
      </c>
      <c r="B192" s="2">
        <v>45356</v>
      </c>
      <c r="C192" t="s">
        <v>489</v>
      </c>
      <c r="D192" t="s">
        <v>1014</v>
      </c>
      <c r="E192">
        <v>7</v>
      </c>
      <c r="F192">
        <v>15</v>
      </c>
      <c r="G192">
        <v>5.35</v>
      </c>
      <c r="H192" t="s">
        <v>1057</v>
      </c>
      <c r="I192" t="s">
        <v>1256</v>
      </c>
      <c r="J192" t="s">
        <v>1414</v>
      </c>
      <c r="K192" t="s">
        <v>1418</v>
      </c>
    </row>
    <row r="193" spans="1:11" x14ac:dyDescent="0.25">
      <c r="A193" t="s">
        <v>1619</v>
      </c>
      <c r="B193" s="2">
        <v>45357</v>
      </c>
      <c r="C193" t="s">
        <v>56</v>
      </c>
      <c r="D193" t="s">
        <v>1014</v>
      </c>
      <c r="E193">
        <v>7</v>
      </c>
      <c r="F193">
        <v>15</v>
      </c>
      <c r="G193">
        <v>5.0999999999999996</v>
      </c>
      <c r="H193" t="s">
        <v>1054</v>
      </c>
      <c r="I193" t="s">
        <v>1253</v>
      </c>
      <c r="J193" t="s">
        <v>1414</v>
      </c>
      <c r="K193" t="s">
        <v>1422</v>
      </c>
    </row>
    <row r="194" spans="1:11" x14ac:dyDescent="0.25">
      <c r="A194" t="s">
        <v>1620</v>
      </c>
      <c r="B194" s="2">
        <v>45357</v>
      </c>
      <c r="C194" t="s">
        <v>91</v>
      </c>
      <c r="D194" t="s">
        <v>1011</v>
      </c>
      <c r="E194">
        <v>2</v>
      </c>
      <c r="F194">
        <v>12</v>
      </c>
      <c r="G194">
        <v>4.1100000000000003</v>
      </c>
      <c r="H194" t="s">
        <v>1055</v>
      </c>
      <c r="I194" t="s">
        <v>1254</v>
      </c>
      <c r="J194" t="s">
        <v>1416</v>
      </c>
      <c r="K194" t="s">
        <v>1420</v>
      </c>
    </row>
    <row r="195" spans="1:11" x14ac:dyDescent="0.25">
      <c r="A195" t="s">
        <v>1621</v>
      </c>
      <c r="B195" s="2">
        <v>45357</v>
      </c>
      <c r="C195" t="s">
        <v>173</v>
      </c>
      <c r="D195" t="s">
        <v>1015</v>
      </c>
      <c r="E195">
        <v>3</v>
      </c>
      <c r="F195">
        <v>10</v>
      </c>
      <c r="G195">
        <v>3.11</v>
      </c>
      <c r="H195" t="s">
        <v>1128</v>
      </c>
      <c r="I195" t="s">
        <v>1327</v>
      </c>
      <c r="J195" t="s">
        <v>1414</v>
      </c>
      <c r="K195" t="s">
        <v>1420</v>
      </c>
    </row>
    <row r="196" spans="1:11" x14ac:dyDescent="0.25">
      <c r="A196" t="s">
        <v>1622</v>
      </c>
      <c r="B196" s="2">
        <v>45357</v>
      </c>
      <c r="C196" t="s">
        <v>685</v>
      </c>
      <c r="D196" t="s">
        <v>1015</v>
      </c>
      <c r="E196">
        <v>5</v>
      </c>
      <c r="F196">
        <v>10</v>
      </c>
      <c r="G196">
        <v>2.19</v>
      </c>
      <c r="H196" t="s">
        <v>1180</v>
      </c>
      <c r="I196" t="s">
        <v>1379</v>
      </c>
      <c r="J196" t="s">
        <v>1415</v>
      </c>
      <c r="K196" t="s">
        <v>1422</v>
      </c>
    </row>
    <row r="197" spans="1:11" x14ac:dyDescent="0.25">
      <c r="A197" t="s">
        <v>1623</v>
      </c>
      <c r="B197" s="2">
        <v>45357</v>
      </c>
      <c r="C197" t="s">
        <v>690</v>
      </c>
      <c r="D197" t="s">
        <v>1011</v>
      </c>
      <c r="E197">
        <v>7</v>
      </c>
      <c r="F197">
        <v>12</v>
      </c>
      <c r="G197">
        <v>3.6</v>
      </c>
      <c r="H197" t="s">
        <v>1030</v>
      </c>
      <c r="I197" t="s">
        <v>1229</v>
      </c>
      <c r="J197" t="s">
        <v>1416</v>
      </c>
      <c r="K197" t="s">
        <v>1420</v>
      </c>
    </row>
    <row r="198" spans="1:11" x14ac:dyDescent="0.25">
      <c r="A198" t="s">
        <v>1624</v>
      </c>
      <c r="B198" s="2">
        <v>45357</v>
      </c>
      <c r="C198" t="s">
        <v>827</v>
      </c>
      <c r="D198" t="s">
        <v>1015</v>
      </c>
      <c r="E198">
        <v>2</v>
      </c>
      <c r="F198">
        <v>10</v>
      </c>
      <c r="G198">
        <v>3.92</v>
      </c>
      <c r="H198" t="s">
        <v>1126</v>
      </c>
      <c r="I198" t="s">
        <v>1325</v>
      </c>
      <c r="J198" t="s">
        <v>1414</v>
      </c>
      <c r="K198" t="s">
        <v>1427</v>
      </c>
    </row>
    <row r="199" spans="1:11" x14ac:dyDescent="0.25">
      <c r="A199" t="s">
        <v>1625</v>
      </c>
      <c r="B199" s="2">
        <v>45357</v>
      </c>
      <c r="C199" t="s">
        <v>974</v>
      </c>
      <c r="D199" t="s">
        <v>1013</v>
      </c>
      <c r="E199">
        <v>10</v>
      </c>
      <c r="F199">
        <v>25</v>
      </c>
      <c r="G199">
        <v>6.02</v>
      </c>
      <c r="H199" t="s">
        <v>1193</v>
      </c>
      <c r="I199" t="s">
        <v>1392</v>
      </c>
      <c r="J199" t="s">
        <v>1417</v>
      </c>
      <c r="K199" t="s">
        <v>1424</v>
      </c>
    </row>
    <row r="200" spans="1:11" x14ac:dyDescent="0.25">
      <c r="A200" t="s">
        <v>1626</v>
      </c>
      <c r="B200" s="2">
        <v>45358</v>
      </c>
      <c r="C200" t="s">
        <v>520</v>
      </c>
      <c r="D200" t="s">
        <v>1013</v>
      </c>
      <c r="E200">
        <v>2</v>
      </c>
      <c r="G200">
        <v>5.62</v>
      </c>
      <c r="H200" t="s">
        <v>1028</v>
      </c>
      <c r="I200" t="s">
        <v>1227</v>
      </c>
      <c r="J200" t="s">
        <v>1416</v>
      </c>
      <c r="K200" t="s">
        <v>1418</v>
      </c>
    </row>
    <row r="201" spans="1:11" x14ac:dyDescent="0.25">
      <c r="A201" t="s">
        <v>1627</v>
      </c>
      <c r="B201" s="2">
        <v>45358</v>
      </c>
      <c r="C201" t="s">
        <v>817</v>
      </c>
      <c r="D201" t="s">
        <v>1011</v>
      </c>
      <c r="E201">
        <v>7</v>
      </c>
      <c r="F201">
        <v>12</v>
      </c>
      <c r="G201">
        <v>4.74</v>
      </c>
      <c r="H201" t="s">
        <v>1093</v>
      </c>
      <c r="I201" t="s">
        <v>1292</v>
      </c>
      <c r="J201" t="s">
        <v>1416</v>
      </c>
      <c r="K201" t="s">
        <v>1427</v>
      </c>
    </row>
    <row r="202" spans="1:11" x14ac:dyDescent="0.25">
      <c r="A202" t="s">
        <v>1628</v>
      </c>
      <c r="B202" s="2">
        <v>45359</v>
      </c>
      <c r="C202" t="s">
        <v>29</v>
      </c>
      <c r="D202" t="s">
        <v>1013</v>
      </c>
      <c r="E202">
        <v>3</v>
      </c>
      <c r="F202">
        <v>25</v>
      </c>
      <c r="G202">
        <v>8.43</v>
      </c>
      <c r="H202" t="s">
        <v>1032</v>
      </c>
      <c r="I202" t="s">
        <v>1231</v>
      </c>
      <c r="J202" t="s">
        <v>1416</v>
      </c>
      <c r="K202" t="s">
        <v>1423</v>
      </c>
    </row>
    <row r="203" spans="1:11" x14ac:dyDescent="0.25">
      <c r="A203" t="s">
        <v>1629</v>
      </c>
      <c r="B203" s="2">
        <v>45359</v>
      </c>
      <c r="C203" t="s">
        <v>113</v>
      </c>
      <c r="D203" t="s">
        <v>1012</v>
      </c>
      <c r="E203">
        <v>10</v>
      </c>
      <c r="F203">
        <v>40</v>
      </c>
      <c r="G203">
        <v>14.31</v>
      </c>
      <c r="H203" t="s">
        <v>1094</v>
      </c>
      <c r="I203" t="s">
        <v>1293</v>
      </c>
      <c r="J203" t="s">
        <v>1414</v>
      </c>
      <c r="K203" t="s">
        <v>1419</v>
      </c>
    </row>
    <row r="204" spans="1:11" x14ac:dyDescent="0.25">
      <c r="A204" t="s">
        <v>1630</v>
      </c>
      <c r="B204" s="2">
        <v>45359</v>
      </c>
      <c r="C204" t="s">
        <v>321</v>
      </c>
      <c r="D204" t="s">
        <v>1015</v>
      </c>
      <c r="E204">
        <v>9</v>
      </c>
      <c r="F204">
        <v>10</v>
      </c>
      <c r="G204">
        <v>2.67</v>
      </c>
      <c r="H204" t="s">
        <v>1097</v>
      </c>
      <c r="I204" t="s">
        <v>1296</v>
      </c>
      <c r="J204" t="s">
        <v>1416</v>
      </c>
      <c r="K204" t="s">
        <v>1426</v>
      </c>
    </row>
    <row r="205" spans="1:11" x14ac:dyDescent="0.25">
      <c r="A205" t="s">
        <v>1631</v>
      </c>
      <c r="B205" s="2">
        <v>45359</v>
      </c>
      <c r="C205" t="s">
        <v>506</v>
      </c>
      <c r="D205" t="s">
        <v>1011</v>
      </c>
      <c r="E205">
        <v>4</v>
      </c>
      <c r="F205">
        <v>12</v>
      </c>
      <c r="G205">
        <v>2.87</v>
      </c>
      <c r="H205" t="s">
        <v>1154</v>
      </c>
      <c r="I205" t="s">
        <v>1353</v>
      </c>
      <c r="J205" t="s">
        <v>1414</v>
      </c>
      <c r="K205" t="s">
        <v>1418</v>
      </c>
    </row>
    <row r="206" spans="1:11" x14ac:dyDescent="0.25">
      <c r="A206" t="s">
        <v>1632</v>
      </c>
      <c r="B206" s="2">
        <v>45359</v>
      </c>
      <c r="C206" t="s">
        <v>578</v>
      </c>
      <c r="D206" t="s">
        <v>1013</v>
      </c>
      <c r="E206">
        <v>10</v>
      </c>
      <c r="G206">
        <v>8.3699999999999992</v>
      </c>
      <c r="H206" t="s">
        <v>1168</v>
      </c>
      <c r="I206" t="s">
        <v>1367</v>
      </c>
      <c r="J206" t="s">
        <v>1414</v>
      </c>
      <c r="K206" t="s">
        <v>1421</v>
      </c>
    </row>
    <row r="207" spans="1:11" x14ac:dyDescent="0.25">
      <c r="A207" t="s">
        <v>1633</v>
      </c>
      <c r="B207" s="2">
        <v>45359</v>
      </c>
      <c r="C207" t="s">
        <v>747</v>
      </c>
      <c r="D207" t="s">
        <v>1012</v>
      </c>
      <c r="E207">
        <v>4</v>
      </c>
      <c r="F207">
        <v>40</v>
      </c>
      <c r="G207">
        <v>12.92</v>
      </c>
      <c r="H207" t="s">
        <v>1036</v>
      </c>
      <c r="I207" t="s">
        <v>1235</v>
      </c>
      <c r="J207" t="s">
        <v>1414</v>
      </c>
      <c r="K207" t="s">
        <v>1423</v>
      </c>
    </row>
    <row r="208" spans="1:11" x14ac:dyDescent="0.25">
      <c r="A208" t="s">
        <v>1634</v>
      </c>
      <c r="B208" s="2">
        <v>45360</v>
      </c>
      <c r="C208" t="s">
        <v>210</v>
      </c>
      <c r="D208" t="s">
        <v>1015</v>
      </c>
      <c r="E208">
        <v>6</v>
      </c>
      <c r="F208">
        <v>10</v>
      </c>
      <c r="G208">
        <v>3.16</v>
      </c>
      <c r="H208" t="s">
        <v>1143</v>
      </c>
      <c r="I208" t="s">
        <v>1342</v>
      </c>
      <c r="J208" t="s">
        <v>1414</v>
      </c>
      <c r="K208" t="s">
        <v>1426</v>
      </c>
    </row>
    <row r="209" spans="1:11" x14ac:dyDescent="0.25">
      <c r="A209" t="s">
        <v>1635</v>
      </c>
      <c r="B209" s="2">
        <v>45360</v>
      </c>
      <c r="C209" t="s">
        <v>398</v>
      </c>
      <c r="D209" t="s">
        <v>1015</v>
      </c>
      <c r="E209">
        <v>9</v>
      </c>
      <c r="F209">
        <v>10</v>
      </c>
      <c r="G209">
        <v>2.2999999999999998</v>
      </c>
      <c r="H209" t="s">
        <v>1108</v>
      </c>
      <c r="I209" t="s">
        <v>1307</v>
      </c>
      <c r="J209" t="s">
        <v>1414</v>
      </c>
      <c r="K209" t="s">
        <v>1418</v>
      </c>
    </row>
    <row r="210" spans="1:11" x14ac:dyDescent="0.25">
      <c r="A210" t="s">
        <v>1636</v>
      </c>
      <c r="B210" s="2">
        <v>45360</v>
      </c>
      <c r="C210" t="s">
        <v>450</v>
      </c>
      <c r="D210" t="s">
        <v>1013</v>
      </c>
      <c r="E210">
        <v>1</v>
      </c>
      <c r="F210">
        <v>25</v>
      </c>
      <c r="G210">
        <v>8.83</v>
      </c>
      <c r="H210" t="s">
        <v>1031</v>
      </c>
      <c r="I210" t="s">
        <v>1230</v>
      </c>
      <c r="J210" t="s">
        <v>1414</v>
      </c>
      <c r="K210" t="s">
        <v>1423</v>
      </c>
    </row>
    <row r="211" spans="1:11" x14ac:dyDescent="0.25">
      <c r="A211" t="s">
        <v>1637</v>
      </c>
      <c r="B211" s="2">
        <v>45361</v>
      </c>
      <c r="C211" t="s">
        <v>94</v>
      </c>
      <c r="D211" t="s">
        <v>1014</v>
      </c>
      <c r="E211">
        <v>9</v>
      </c>
      <c r="F211">
        <v>15</v>
      </c>
      <c r="G211">
        <v>5.95</v>
      </c>
      <c r="H211" t="s">
        <v>1080</v>
      </c>
      <c r="I211" t="s">
        <v>1279</v>
      </c>
      <c r="J211" t="s">
        <v>1416</v>
      </c>
      <c r="K211" t="s">
        <v>1418</v>
      </c>
    </row>
    <row r="212" spans="1:11" x14ac:dyDescent="0.25">
      <c r="A212" t="s">
        <v>1638</v>
      </c>
      <c r="B212" s="2">
        <v>45361</v>
      </c>
      <c r="C212" t="s">
        <v>184</v>
      </c>
      <c r="D212" t="s">
        <v>1012</v>
      </c>
      <c r="E212">
        <v>2</v>
      </c>
      <c r="F212">
        <v>40</v>
      </c>
      <c r="G212">
        <v>12.52</v>
      </c>
      <c r="H212" t="s">
        <v>1042</v>
      </c>
      <c r="I212" t="s">
        <v>1241</v>
      </c>
      <c r="J212" t="s">
        <v>1414</v>
      </c>
      <c r="K212" t="s">
        <v>1425</v>
      </c>
    </row>
    <row r="213" spans="1:11" x14ac:dyDescent="0.25">
      <c r="A213" t="s">
        <v>1639</v>
      </c>
      <c r="B213" s="2">
        <v>45361</v>
      </c>
      <c r="C213" t="s">
        <v>429</v>
      </c>
      <c r="D213" t="s">
        <v>1012</v>
      </c>
      <c r="E213">
        <v>8</v>
      </c>
      <c r="F213">
        <v>40</v>
      </c>
      <c r="G213">
        <v>12.66</v>
      </c>
      <c r="H213" t="s">
        <v>1183</v>
      </c>
      <c r="I213" t="s">
        <v>1382</v>
      </c>
      <c r="J213" t="s">
        <v>1414</v>
      </c>
      <c r="K213" t="s">
        <v>1420</v>
      </c>
    </row>
    <row r="214" spans="1:11" x14ac:dyDescent="0.25">
      <c r="A214" t="s">
        <v>1640</v>
      </c>
      <c r="B214" s="2">
        <v>45361</v>
      </c>
      <c r="C214" t="s">
        <v>493</v>
      </c>
      <c r="D214" t="s">
        <v>1013</v>
      </c>
      <c r="E214">
        <v>7</v>
      </c>
      <c r="F214">
        <v>25</v>
      </c>
      <c r="G214">
        <v>7.98</v>
      </c>
      <c r="H214" t="s">
        <v>1053</v>
      </c>
      <c r="I214" t="s">
        <v>1252</v>
      </c>
      <c r="J214" t="s">
        <v>1417</v>
      </c>
      <c r="K214" t="s">
        <v>1423</v>
      </c>
    </row>
    <row r="215" spans="1:11" x14ac:dyDescent="0.25">
      <c r="A215" t="s">
        <v>1641</v>
      </c>
      <c r="B215" s="2">
        <v>45361</v>
      </c>
      <c r="C215" t="s">
        <v>744</v>
      </c>
      <c r="D215" t="s">
        <v>1012</v>
      </c>
      <c r="E215">
        <v>7</v>
      </c>
      <c r="F215">
        <v>40</v>
      </c>
      <c r="G215">
        <v>8.81</v>
      </c>
      <c r="H215" t="s">
        <v>1143</v>
      </c>
      <c r="I215" t="s">
        <v>1342</v>
      </c>
      <c r="J215" t="s">
        <v>1414</v>
      </c>
      <c r="K215" t="s">
        <v>1418</v>
      </c>
    </row>
    <row r="216" spans="1:11" x14ac:dyDescent="0.25">
      <c r="A216" t="s">
        <v>1642</v>
      </c>
      <c r="B216" s="2">
        <v>45361</v>
      </c>
      <c r="C216" t="s">
        <v>943</v>
      </c>
      <c r="D216" t="s">
        <v>1014</v>
      </c>
      <c r="E216">
        <v>5</v>
      </c>
      <c r="F216">
        <v>15</v>
      </c>
      <c r="G216">
        <v>5.82</v>
      </c>
      <c r="H216" t="s">
        <v>1200</v>
      </c>
      <c r="I216" t="s">
        <v>1399</v>
      </c>
      <c r="J216" t="s">
        <v>1414</v>
      </c>
      <c r="K216" t="s">
        <v>1425</v>
      </c>
    </row>
    <row r="217" spans="1:11" x14ac:dyDescent="0.25">
      <c r="A217" t="s">
        <v>1643</v>
      </c>
      <c r="B217" s="2">
        <v>45362</v>
      </c>
      <c r="C217" t="s">
        <v>181</v>
      </c>
      <c r="D217" t="s">
        <v>1015</v>
      </c>
      <c r="E217">
        <v>8</v>
      </c>
      <c r="F217">
        <v>10</v>
      </c>
      <c r="G217">
        <v>2.13</v>
      </c>
      <c r="H217" t="s">
        <v>1109</v>
      </c>
      <c r="I217" t="s">
        <v>1308</v>
      </c>
      <c r="J217" t="s">
        <v>1415</v>
      </c>
      <c r="K217" t="s">
        <v>1419</v>
      </c>
    </row>
    <row r="218" spans="1:11" x14ac:dyDescent="0.25">
      <c r="A218" t="s">
        <v>1644</v>
      </c>
      <c r="B218" s="2">
        <v>45362</v>
      </c>
      <c r="C218" t="s">
        <v>239</v>
      </c>
      <c r="D218" t="s">
        <v>1011</v>
      </c>
      <c r="E218">
        <v>2</v>
      </c>
      <c r="F218">
        <v>12</v>
      </c>
      <c r="G218">
        <v>3.59</v>
      </c>
      <c r="H218" t="s">
        <v>1027</v>
      </c>
      <c r="I218" t="s">
        <v>1226</v>
      </c>
      <c r="J218" t="s">
        <v>1415</v>
      </c>
      <c r="K218" t="s">
        <v>1419</v>
      </c>
    </row>
    <row r="219" spans="1:11" x14ac:dyDescent="0.25">
      <c r="A219" t="s">
        <v>1645</v>
      </c>
      <c r="B219" s="2">
        <v>45362</v>
      </c>
      <c r="C219" t="s">
        <v>811</v>
      </c>
      <c r="D219" t="s">
        <v>1015</v>
      </c>
      <c r="E219">
        <v>5</v>
      </c>
      <c r="F219">
        <v>10</v>
      </c>
      <c r="G219">
        <v>2.5099999999999998</v>
      </c>
      <c r="H219" t="s">
        <v>1046</v>
      </c>
      <c r="I219" t="s">
        <v>1245</v>
      </c>
      <c r="J219" t="s">
        <v>1416</v>
      </c>
      <c r="K219" t="s">
        <v>1421</v>
      </c>
    </row>
    <row r="220" spans="1:11" x14ac:dyDescent="0.25">
      <c r="A220" t="s">
        <v>1646</v>
      </c>
      <c r="B220" s="2">
        <v>45363</v>
      </c>
      <c r="C220" t="s">
        <v>732</v>
      </c>
      <c r="D220" t="s">
        <v>1013</v>
      </c>
      <c r="E220">
        <v>4</v>
      </c>
      <c r="F220">
        <v>25</v>
      </c>
      <c r="G220">
        <v>8.09</v>
      </c>
      <c r="H220" t="s">
        <v>1081</v>
      </c>
      <c r="I220" t="s">
        <v>1280</v>
      </c>
      <c r="J220" t="s">
        <v>1417</v>
      </c>
      <c r="K220" t="s">
        <v>1423</v>
      </c>
    </row>
    <row r="221" spans="1:11" x14ac:dyDescent="0.25">
      <c r="A221" t="s">
        <v>1647</v>
      </c>
      <c r="B221" s="2">
        <v>45364</v>
      </c>
      <c r="C221" t="s">
        <v>737</v>
      </c>
      <c r="D221" t="s">
        <v>1011</v>
      </c>
      <c r="E221">
        <v>10</v>
      </c>
      <c r="F221">
        <v>12</v>
      </c>
      <c r="G221">
        <v>2.69</v>
      </c>
      <c r="H221" t="s">
        <v>1019</v>
      </c>
      <c r="I221" t="s">
        <v>1218</v>
      </c>
      <c r="J221" t="s">
        <v>1415</v>
      </c>
      <c r="K221" t="s">
        <v>1424</v>
      </c>
    </row>
    <row r="222" spans="1:11" x14ac:dyDescent="0.25">
      <c r="A222" t="s">
        <v>1648</v>
      </c>
      <c r="B222" s="2">
        <v>45365</v>
      </c>
      <c r="C222" t="s">
        <v>889</v>
      </c>
      <c r="D222" t="s">
        <v>1011</v>
      </c>
      <c r="E222">
        <v>1</v>
      </c>
      <c r="F222">
        <v>12</v>
      </c>
      <c r="G222">
        <v>4.71</v>
      </c>
      <c r="H222" t="s">
        <v>1113</v>
      </c>
      <c r="I222" t="s">
        <v>1312</v>
      </c>
      <c r="J222" t="s">
        <v>1416</v>
      </c>
      <c r="K222" t="s">
        <v>1426</v>
      </c>
    </row>
    <row r="223" spans="1:11" x14ac:dyDescent="0.25">
      <c r="A223" t="s">
        <v>1649</v>
      </c>
      <c r="B223" s="2">
        <v>45366</v>
      </c>
      <c r="C223" t="s">
        <v>132</v>
      </c>
      <c r="D223" t="s">
        <v>1015</v>
      </c>
      <c r="E223">
        <v>5</v>
      </c>
      <c r="F223">
        <v>10</v>
      </c>
      <c r="G223">
        <v>3.65</v>
      </c>
      <c r="H223" t="s">
        <v>1109</v>
      </c>
      <c r="I223" t="s">
        <v>1308</v>
      </c>
      <c r="J223" t="s">
        <v>1414</v>
      </c>
      <c r="K223" t="s">
        <v>1422</v>
      </c>
    </row>
    <row r="224" spans="1:11" x14ac:dyDescent="0.25">
      <c r="A224" t="s">
        <v>1650</v>
      </c>
      <c r="B224" s="2">
        <v>45366</v>
      </c>
      <c r="C224" t="s">
        <v>473</v>
      </c>
      <c r="D224" t="s">
        <v>1015</v>
      </c>
      <c r="E224">
        <v>9</v>
      </c>
      <c r="F224">
        <v>10</v>
      </c>
      <c r="G224">
        <v>2.21</v>
      </c>
      <c r="H224" t="s">
        <v>1036</v>
      </c>
      <c r="I224" t="s">
        <v>1235</v>
      </c>
      <c r="J224" t="s">
        <v>1414</v>
      </c>
      <c r="K224" t="s">
        <v>1420</v>
      </c>
    </row>
    <row r="225" spans="1:11" x14ac:dyDescent="0.25">
      <c r="A225" t="s">
        <v>1651</v>
      </c>
      <c r="B225" s="2">
        <v>45366</v>
      </c>
      <c r="C225" t="s">
        <v>490</v>
      </c>
      <c r="D225" t="s">
        <v>1015</v>
      </c>
      <c r="E225">
        <v>3</v>
      </c>
      <c r="F225">
        <v>10</v>
      </c>
      <c r="G225">
        <v>2.73</v>
      </c>
      <c r="H225" t="s">
        <v>1073</v>
      </c>
      <c r="I225" t="s">
        <v>1272</v>
      </c>
      <c r="J225" t="s">
        <v>1414</v>
      </c>
      <c r="K225" t="s">
        <v>1427</v>
      </c>
    </row>
    <row r="226" spans="1:11" x14ac:dyDescent="0.25">
      <c r="A226" t="s">
        <v>1652</v>
      </c>
      <c r="B226" s="2">
        <v>45367</v>
      </c>
      <c r="C226" t="s">
        <v>397</v>
      </c>
      <c r="D226" t="s">
        <v>1014</v>
      </c>
      <c r="E226">
        <v>8</v>
      </c>
      <c r="F226">
        <v>15</v>
      </c>
      <c r="G226">
        <v>5.9</v>
      </c>
      <c r="H226" t="s">
        <v>1093</v>
      </c>
      <c r="I226" t="s">
        <v>1292</v>
      </c>
      <c r="J226" t="s">
        <v>1414</v>
      </c>
      <c r="K226" t="s">
        <v>1426</v>
      </c>
    </row>
    <row r="227" spans="1:11" x14ac:dyDescent="0.25">
      <c r="A227" t="s">
        <v>1653</v>
      </c>
      <c r="B227" s="2">
        <v>45367</v>
      </c>
      <c r="C227" t="s">
        <v>532</v>
      </c>
      <c r="D227" t="s">
        <v>1011</v>
      </c>
      <c r="E227">
        <v>2</v>
      </c>
      <c r="F227">
        <v>12</v>
      </c>
      <c r="G227">
        <v>3.27</v>
      </c>
      <c r="H227" t="s">
        <v>1127</v>
      </c>
      <c r="I227" t="s">
        <v>1326</v>
      </c>
      <c r="J227" t="s">
        <v>1416</v>
      </c>
      <c r="K227" t="s">
        <v>1421</v>
      </c>
    </row>
    <row r="228" spans="1:11" x14ac:dyDescent="0.25">
      <c r="A228" t="s">
        <v>1654</v>
      </c>
      <c r="B228" s="2">
        <v>45367</v>
      </c>
      <c r="C228" t="s">
        <v>838</v>
      </c>
      <c r="D228" t="s">
        <v>1014</v>
      </c>
      <c r="E228">
        <v>2</v>
      </c>
      <c r="F228">
        <v>15</v>
      </c>
      <c r="G228">
        <v>4.99</v>
      </c>
      <c r="H228" t="s">
        <v>1064</v>
      </c>
      <c r="I228" t="s">
        <v>1263</v>
      </c>
      <c r="J228" t="s">
        <v>1417</v>
      </c>
      <c r="K228" t="s">
        <v>1425</v>
      </c>
    </row>
    <row r="229" spans="1:11" x14ac:dyDescent="0.25">
      <c r="A229" t="s">
        <v>1655</v>
      </c>
      <c r="B229" s="2">
        <v>45367</v>
      </c>
      <c r="C229" t="s">
        <v>948</v>
      </c>
      <c r="D229" t="s">
        <v>1015</v>
      </c>
      <c r="E229">
        <v>6</v>
      </c>
      <c r="F229">
        <v>10</v>
      </c>
      <c r="G229">
        <v>2.0299999999999998</v>
      </c>
      <c r="H229" t="s">
        <v>1071</v>
      </c>
      <c r="I229" t="s">
        <v>1270</v>
      </c>
      <c r="J229" t="s">
        <v>1417</v>
      </c>
      <c r="K229" t="s">
        <v>1420</v>
      </c>
    </row>
    <row r="230" spans="1:11" x14ac:dyDescent="0.25">
      <c r="A230" t="s">
        <v>1656</v>
      </c>
      <c r="B230" s="2">
        <v>45368</v>
      </c>
      <c r="C230" t="s">
        <v>31</v>
      </c>
      <c r="D230" t="s">
        <v>1014</v>
      </c>
      <c r="E230">
        <v>6</v>
      </c>
      <c r="F230">
        <v>15</v>
      </c>
      <c r="G230">
        <v>3.55</v>
      </c>
      <c r="H230" t="s">
        <v>1034</v>
      </c>
      <c r="I230" t="s">
        <v>1233</v>
      </c>
      <c r="J230" t="s">
        <v>1414</v>
      </c>
      <c r="K230" t="s">
        <v>1426</v>
      </c>
    </row>
    <row r="231" spans="1:11" x14ac:dyDescent="0.25">
      <c r="A231" t="s">
        <v>1657</v>
      </c>
      <c r="B231" s="2">
        <v>45368</v>
      </c>
      <c r="C231" t="s">
        <v>218</v>
      </c>
      <c r="D231" t="s">
        <v>1013</v>
      </c>
      <c r="E231">
        <v>9</v>
      </c>
      <c r="F231">
        <v>25</v>
      </c>
      <c r="G231">
        <v>6.29</v>
      </c>
      <c r="H231" t="s">
        <v>1046</v>
      </c>
      <c r="I231" t="s">
        <v>1245</v>
      </c>
      <c r="J231" t="s">
        <v>1414</v>
      </c>
      <c r="K231" t="s">
        <v>1419</v>
      </c>
    </row>
    <row r="232" spans="1:11" x14ac:dyDescent="0.25">
      <c r="A232" t="s">
        <v>1658</v>
      </c>
      <c r="B232" s="2">
        <v>45368</v>
      </c>
      <c r="C232" t="s">
        <v>525</v>
      </c>
      <c r="D232" t="s">
        <v>1015</v>
      </c>
      <c r="E232">
        <v>4</v>
      </c>
      <c r="F232">
        <v>10</v>
      </c>
      <c r="G232">
        <v>3.87</v>
      </c>
      <c r="H232" t="s">
        <v>1043</v>
      </c>
      <c r="I232" t="s">
        <v>1242</v>
      </c>
      <c r="J232" t="s">
        <v>1414</v>
      </c>
      <c r="K232" t="s">
        <v>1425</v>
      </c>
    </row>
    <row r="233" spans="1:11" x14ac:dyDescent="0.25">
      <c r="A233" t="s">
        <v>1659</v>
      </c>
      <c r="B233" s="2">
        <v>45368</v>
      </c>
      <c r="C233" t="s">
        <v>624</v>
      </c>
      <c r="D233" t="s">
        <v>1012</v>
      </c>
      <c r="E233">
        <v>1</v>
      </c>
      <c r="F233">
        <v>40</v>
      </c>
      <c r="G233">
        <v>9.98</v>
      </c>
      <c r="H233" t="s">
        <v>1023</v>
      </c>
      <c r="I233" t="s">
        <v>1222</v>
      </c>
      <c r="J233" t="s">
        <v>1414</v>
      </c>
      <c r="K233" t="s">
        <v>1420</v>
      </c>
    </row>
    <row r="234" spans="1:11" x14ac:dyDescent="0.25">
      <c r="A234" t="s">
        <v>1660</v>
      </c>
      <c r="B234" s="2">
        <v>45369</v>
      </c>
      <c r="C234" t="s">
        <v>801</v>
      </c>
      <c r="D234" t="s">
        <v>1013</v>
      </c>
      <c r="E234">
        <v>3</v>
      </c>
      <c r="F234">
        <v>25</v>
      </c>
      <c r="G234">
        <v>8.7100000000000009</v>
      </c>
      <c r="H234" t="s">
        <v>1082</v>
      </c>
      <c r="I234" t="s">
        <v>1281</v>
      </c>
      <c r="J234" t="s">
        <v>1414</v>
      </c>
      <c r="K234" t="s">
        <v>1425</v>
      </c>
    </row>
    <row r="235" spans="1:11" x14ac:dyDescent="0.25">
      <c r="A235" t="s">
        <v>1661</v>
      </c>
      <c r="B235" s="2">
        <v>45370</v>
      </c>
      <c r="C235" t="s">
        <v>522</v>
      </c>
      <c r="D235" t="s">
        <v>1013</v>
      </c>
      <c r="E235">
        <v>8</v>
      </c>
      <c r="F235">
        <v>25</v>
      </c>
      <c r="G235">
        <v>9.14</v>
      </c>
      <c r="H235" t="s">
        <v>1176</v>
      </c>
      <c r="I235" t="s">
        <v>1375</v>
      </c>
      <c r="J235" t="s">
        <v>1414</v>
      </c>
      <c r="K235" t="s">
        <v>1421</v>
      </c>
    </row>
    <row r="236" spans="1:11" x14ac:dyDescent="0.25">
      <c r="A236" t="s">
        <v>1662</v>
      </c>
      <c r="B236" s="2">
        <v>45370</v>
      </c>
      <c r="C236" t="s">
        <v>831</v>
      </c>
      <c r="D236" t="s">
        <v>1015</v>
      </c>
      <c r="E236">
        <v>1</v>
      </c>
      <c r="F236">
        <v>10</v>
      </c>
      <c r="G236">
        <v>3.91</v>
      </c>
      <c r="H236" t="s">
        <v>1023</v>
      </c>
      <c r="I236" t="s">
        <v>1222</v>
      </c>
      <c r="J236" t="s">
        <v>1414</v>
      </c>
      <c r="K236" t="s">
        <v>1427</v>
      </c>
    </row>
    <row r="237" spans="1:11" x14ac:dyDescent="0.25">
      <c r="A237" t="s">
        <v>1663</v>
      </c>
      <c r="B237" s="2">
        <v>45371</v>
      </c>
      <c r="C237" t="s">
        <v>855</v>
      </c>
      <c r="D237" t="s">
        <v>1013</v>
      </c>
      <c r="E237">
        <v>3</v>
      </c>
      <c r="F237">
        <v>25</v>
      </c>
      <c r="G237">
        <v>5.7</v>
      </c>
      <c r="H237" t="s">
        <v>1058</v>
      </c>
      <c r="I237" t="s">
        <v>1257</v>
      </c>
      <c r="J237" t="s">
        <v>1416</v>
      </c>
      <c r="K237" t="s">
        <v>1422</v>
      </c>
    </row>
    <row r="238" spans="1:11" x14ac:dyDescent="0.25">
      <c r="A238" t="s">
        <v>1664</v>
      </c>
      <c r="B238" s="2">
        <v>45372</v>
      </c>
      <c r="C238" t="s">
        <v>272</v>
      </c>
      <c r="D238" t="s">
        <v>1011</v>
      </c>
      <c r="E238">
        <v>8</v>
      </c>
      <c r="F238">
        <v>12</v>
      </c>
      <c r="G238">
        <v>2.88</v>
      </c>
      <c r="H238" t="s">
        <v>1020</v>
      </c>
      <c r="I238" t="s">
        <v>1219</v>
      </c>
      <c r="J238" t="s">
        <v>1417</v>
      </c>
      <c r="K238" t="s">
        <v>1419</v>
      </c>
    </row>
    <row r="239" spans="1:11" x14ac:dyDescent="0.25">
      <c r="A239" t="s">
        <v>1665</v>
      </c>
      <c r="B239" s="2">
        <v>45372</v>
      </c>
      <c r="C239" t="s">
        <v>309</v>
      </c>
      <c r="D239" t="s">
        <v>1011</v>
      </c>
      <c r="E239">
        <v>1</v>
      </c>
      <c r="F239">
        <v>12</v>
      </c>
      <c r="G239">
        <v>3.25</v>
      </c>
      <c r="H239" t="s">
        <v>1064</v>
      </c>
      <c r="I239" t="s">
        <v>1263</v>
      </c>
      <c r="J239" t="s">
        <v>1417</v>
      </c>
      <c r="K239" t="s">
        <v>1425</v>
      </c>
    </row>
    <row r="240" spans="1:11" x14ac:dyDescent="0.25">
      <c r="A240" t="s">
        <v>1666</v>
      </c>
      <c r="B240" s="2">
        <v>45372</v>
      </c>
      <c r="C240" t="s">
        <v>457</v>
      </c>
      <c r="D240" t="s">
        <v>1014</v>
      </c>
      <c r="E240">
        <v>7</v>
      </c>
      <c r="F240">
        <v>15</v>
      </c>
      <c r="G240">
        <v>3.63</v>
      </c>
      <c r="H240" t="s">
        <v>1102</v>
      </c>
      <c r="I240" t="s">
        <v>1301</v>
      </c>
      <c r="J240" t="s">
        <v>1414</v>
      </c>
      <c r="K240" t="s">
        <v>1426</v>
      </c>
    </row>
    <row r="241" spans="1:11" x14ac:dyDescent="0.25">
      <c r="A241" t="s">
        <v>1667</v>
      </c>
      <c r="B241" s="2">
        <v>45372</v>
      </c>
      <c r="C241" t="s">
        <v>765</v>
      </c>
      <c r="D241" t="s">
        <v>1015</v>
      </c>
      <c r="E241">
        <v>5</v>
      </c>
      <c r="F241">
        <v>10</v>
      </c>
      <c r="G241">
        <v>3.98</v>
      </c>
      <c r="H241" t="s">
        <v>1139</v>
      </c>
      <c r="I241" t="s">
        <v>1338</v>
      </c>
      <c r="J241" t="s">
        <v>1414</v>
      </c>
      <c r="K241" t="s">
        <v>1427</v>
      </c>
    </row>
    <row r="242" spans="1:11" x14ac:dyDescent="0.25">
      <c r="A242" t="s">
        <v>1668</v>
      </c>
      <c r="B242" s="2">
        <v>45373</v>
      </c>
      <c r="C242" t="s">
        <v>410</v>
      </c>
      <c r="D242" t="s">
        <v>1014</v>
      </c>
      <c r="E242">
        <v>4</v>
      </c>
      <c r="F242">
        <v>15</v>
      </c>
      <c r="G242">
        <v>3.4</v>
      </c>
      <c r="H242" t="s">
        <v>1080</v>
      </c>
      <c r="I242" t="s">
        <v>1279</v>
      </c>
      <c r="J242" t="s">
        <v>1416</v>
      </c>
      <c r="K242" t="s">
        <v>1426</v>
      </c>
    </row>
    <row r="243" spans="1:11" x14ac:dyDescent="0.25">
      <c r="A243" t="s">
        <v>1669</v>
      </c>
      <c r="B243" s="2">
        <v>45373</v>
      </c>
      <c r="C243" t="s">
        <v>722</v>
      </c>
      <c r="D243" t="s">
        <v>1012</v>
      </c>
      <c r="E243">
        <v>9</v>
      </c>
      <c r="F243">
        <v>40</v>
      </c>
      <c r="G243">
        <v>10.92</v>
      </c>
      <c r="H243" t="s">
        <v>1211</v>
      </c>
      <c r="I243" t="s">
        <v>1410</v>
      </c>
      <c r="J243" t="s">
        <v>1417</v>
      </c>
      <c r="K243" t="s">
        <v>1420</v>
      </c>
    </row>
    <row r="244" spans="1:11" x14ac:dyDescent="0.25">
      <c r="A244" t="s">
        <v>1670</v>
      </c>
      <c r="B244" s="2">
        <v>45373</v>
      </c>
      <c r="C244" t="s">
        <v>786</v>
      </c>
      <c r="D244" t="s">
        <v>1015</v>
      </c>
      <c r="E244">
        <v>3</v>
      </c>
      <c r="F244">
        <v>10</v>
      </c>
      <c r="G244">
        <v>2.91</v>
      </c>
      <c r="H244" t="s">
        <v>1166</v>
      </c>
      <c r="I244" t="s">
        <v>1365</v>
      </c>
      <c r="J244" t="s">
        <v>1416</v>
      </c>
      <c r="K244" t="s">
        <v>1424</v>
      </c>
    </row>
    <row r="245" spans="1:11" x14ac:dyDescent="0.25">
      <c r="A245" t="s">
        <v>1671</v>
      </c>
      <c r="B245" s="2">
        <v>45373</v>
      </c>
      <c r="C245" t="s">
        <v>899</v>
      </c>
      <c r="D245" t="s">
        <v>1012</v>
      </c>
      <c r="E245">
        <v>2</v>
      </c>
      <c r="F245">
        <v>40</v>
      </c>
      <c r="G245">
        <v>11.01</v>
      </c>
      <c r="H245" t="s">
        <v>1202</v>
      </c>
      <c r="I245" t="s">
        <v>1401</v>
      </c>
      <c r="J245" t="s">
        <v>1416</v>
      </c>
      <c r="K245" t="s">
        <v>1421</v>
      </c>
    </row>
    <row r="246" spans="1:11" x14ac:dyDescent="0.25">
      <c r="A246" t="s">
        <v>1672</v>
      </c>
      <c r="B246" s="2">
        <v>45374</v>
      </c>
      <c r="C246" t="s">
        <v>17</v>
      </c>
      <c r="D246" t="s">
        <v>1014</v>
      </c>
      <c r="E246">
        <v>2</v>
      </c>
      <c r="F246">
        <v>15</v>
      </c>
      <c r="G246">
        <v>4.99</v>
      </c>
      <c r="H246" t="s">
        <v>1022</v>
      </c>
      <c r="I246" t="s">
        <v>1221</v>
      </c>
      <c r="J246" t="s">
        <v>1414</v>
      </c>
      <c r="K246" t="s">
        <v>1423</v>
      </c>
    </row>
    <row r="247" spans="1:11" x14ac:dyDescent="0.25">
      <c r="A247" t="s">
        <v>1673</v>
      </c>
      <c r="B247" s="2">
        <v>45374</v>
      </c>
      <c r="C247" t="s">
        <v>110</v>
      </c>
      <c r="D247" t="s">
        <v>1012</v>
      </c>
      <c r="E247">
        <v>2</v>
      </c>
      <c r="F247">
        <v>40</v>
      </c>
      <c r="G247">
        <v>10.69</v>
      </c>
      <c r="H247" t="s">
        <v>1092</v>
      </c>
      <c r="I247" t="s">
        <v>1291</v>
      </c>
      <c r="J247" t="s">
        <v>1414</v>
      </c>
      <c r="K247" t="s">
        <v>1421</v>
      </c>
    </row>
    <row r="248" spans="1:11" x14ac:dyDescent="0.25">
      <c r="A248" t="s">
        <v>1674</v>
      </c>
      <c r="B248" s="2">
        <v>45375</v>
      </c>
      <c r="C248" t="s">
        <v>117</v>
      </c>
      <c r="D248" t="s">
        <v>1012</v>
      </c>
      <c r="E248">
        <v>10</v>
      </c>
      <c r="F248">
        <v>40</v>
      </c>
      <c r="G248">
        <v>9.1</v>
      </c>
      <c r="H248" t="s">
        <v>1097</v>
      </c>
      <c r="I248" t="s">
        <v>1296</v>
      </c>
      <c r="J248" t="s">
        <v>1414</v>
      </c>
      <c r="K248" t="s">
        <v>1425</v>
      </c>
    </row>
    <row r="249" spans="1:11" x14ac:dyDescent="0.25">
      <c r="A249" t="s">
        <v>1675</v>
      </c>
      <c r="B249" s="2">
        <v>45375</v>
      </c>
      <c r="C249" t="s">
        <v>141</v>
      </c>
      <c r="D249" t="s">
        <v>1012</v>
      </c>
      <c r="E249">
        <v>5</v>
      </c>
      <c r="F249">
        <v>40</v>
      </c>
      <c r="G249">
        <v>11.38</v>
      </c>
      <c r="H249" t="s">
        <v>1115</v>
      </c>
      <c r="I249" t="s">
        <v>1314</v>
      </c>
      <c r="J249" t="s">
        <v>1414</v>
      </c>
      <c r="K249" t="s">
        <v>1421</v>
      </c>
    </row>
    <row r="250" spans="1:11" x14ac:dyDescent="0.25">
      <c r="A250" t="s">
        <v>1676</v>
      </c>
      <c r="B250" s="2">
        <v>45375</v>
      </c>
      <c r="C250" t="s">
        <v>263</v>
      </c>
      <c r="D250" t="s">
        <v>1012</v>
      </c>
      <c r="E250">
        <v>2</v>
      </c>
      <c r="F250">
        <v>40</v>
      </c>
      <c r="G250">
        <v>13.29</v>
      </c>
      <c r="H250" t="s">
        <v>1153</v>
      </c>
      <c r="I250" t="s">
        <v>1352</v>
      </c>
      <c r="J250" t="s">
        <v>1414</v>
      </c>
      <c r="K250" t="s">
        <v>1426</v>
      </c>
    </row>
    <row r="251" spans="1:11" x14ac:dyDescent="0.25">
      <c r="A251" t="s">
        <v>1677</v>
      </c>
      <c r="B251" s="2">
        <v>45375</v>
      </c>
      <c r="C251" t="s">
        <v>917</v>
      </c>
      <c r="D251" t="s">
        <v>1012</v>
      </c>
      <c r="E251">
        <v>1</v>
      </c>
      <c r="F251">
        <v>40</v>
      </c>
      <c r="G251">
        <v>14.99</v>
      </c>
      <c r="H251" t="s">
        <v>1080</v>
      </c>
      <c r="I251" t="s">
        <v>1279</v>
      </c>
      <c r="J251" t="s">
        <v>1417</v>
      </c>
      <c r="K251" t="s">
        <v>1420</v>
      </c>
    </row>
    <row r="252" spans="1:11" x14ac:dyDescent="0.25">
      <c r="A252" t="s">
        <v>1678</v>
      </c>
      <c r="B252" s="2">
        <v>45375</v>
      </c>
      <c r="C252" t="s">
        <v>921</v>
      </c>
      <c r="D252" t="s">
        <v>1013</v>
      </c>
      <c r="E252">
        <v>2</v>
      </c>
      <c r="F252">
        <v>25</v>
      </c>
      <c r="G252">
        <v>5.01</v>
      </c>
      <c r="H252" t="s">
        <v>1102</v>
      </c>
      <c r="I252" t="s">
        <v>1301</v>
      </c>
      <c r="J252" t="s">
        <v>1416</v>
      </c>
      <c r="K252" t="s">
        <v>1426</v>
      </c>
    </row>
    <row r="253" spans="1:11" x14ac:dyDescent="0.25">
      <c r="A253" t="s">
        <v>1679</v>
      </c>
      <c r="B253" s="2">
        <v>45377</v>
      </c>
      <c r="C253" t="s">
        <v>386</v>
      </c>
      <c r="D253" t="s">
        <v>1011</v>
      </c>
      <c r="E253">
        <v>9</v>
      </c>
      <c r="F253">
        <v>12</v>
      </c>
      <c r="G253">
        <v>2.99</v>
      </c>
      <c r="H253" t="s">
        <v>1032</v>
      </c>
      <c r="I253" t="s">
        <v>1231</v>
      </c>
      <c r="J253" t="s">
        <v>1414</v>
      </c>
      <c r="K253" t="s">
        <v>1424</v>
      </c>
    </row>
    <row r="254" spans="1:11" x14ac:dyDescent="0.25">
      <c r="A254" t="s">
        <v>1680</v>
      </c>
      <c r="B254" s="2">
        <v>45377</v>
      </c>
      <c r="C254" t="s">
        <v>510</v>
      </c>
      <c r="D254" t="s">
        <v>1012</v>
      </c>
      <c r="E254">
        <v>3</v>
      </c>
      <c r="F254">
        <v>40</v>
      </c>
      <c r="G254">
        <v>12.12</v>
      </c>
      <c r="H254" t="s">
        <v>1164</v>
      </c>
      <c r="I254" t="s">
        <v>1363</v>
      </c>
      <c r="J254" t="s">
        <v>1414</v>
      </c>
      <c r="K254" t="s">
        <v>1427</v>
      </c>
    </row>
    <row r="255" spans="1:11" x14ac:dyDescent="0.25">
      <c r="A255" t="s">
        <v>1681</v>
      </c>
      <c r="B255" s="2">
        <v>45377</v>
      </c>
      <c r="C255" t="s">
        <v>939</v>
      </c>
      <c r="D255" t="s">
        <v>1011</v>
      </c>
      <c r="E255">
        <v>1</v>
      </c>
      <c r="F255">
        <v>12</v>
      </c>
      <c r="G255">
        <v>3.21</v>
      </c>
      <c r="H255" t="s">
        <v>1171</v>
      </c>
      <c r="I255" t="s">
        <v>1370</v>
      </c>
      <c r="J255" t="s">
        <v>1416</v>
      </c>
      <c r="K255" t="s">
        <v>1420</v>
      </c>
    </row>
    <row r="256" spans="1:11" x14ac:dyDescent="0.25">
      <c r="A256" t="s">
        <v>1682</v>
      </c>
      <c r="B256" s="2">
        <v>45378</v>
      </c>
      <c r="C256" t="s">
        <v>11</v>
      </c>
      <c r="D256" t="s">
        <v>1011</v>
      </c>
      <c r="E256">
        <v>5</v>
      </c>
      <c r="F256">
        <v>12</v>
      </c>
      <c r="G256">
        <v>3.41</v>
      </c>
      <c r="H256" t="s">
        <v>1016</v>
      </c>
      <c r="I256" t="s">
        <v>1215</v>
      </c>
      <c r="J256" t="s">
        <v>1414</v>
      </c>
      <c r="K256" t="s">
        <v>1418</v>
      </c>
    </row>
    <row r="257" spans="1:11" x14ac:dyDescent="0.25">
      <c r="A257" t="s">
        <v>1683</v>
      </c>
      <c r="B257" s="2">
        <v>45378</v>
      </c>
      <c r="C257" t="s">
        <v>53</v>
      </c>
      <c r="D257" t="s">
        <v>1014</v>
      </c>
      <c r="E257">
        <v>9</v>
      </c>
      <c r="F257">
        <v>15</v>
      </c>
      <c r="G257">
        <v>3.88</v>
      </c>
      <c r="H257" t="s">
        <v>1052</v>
      </c>
      <c r="I257" t="s">
        <v>1251</v>
      </c>
      <c r="J257" t="s">
        <v>1414</v>
      </c>
      <c r="K257" t="s">
        <v>1425</v>
      </c>
    </row>
    <row r="258" spans="1:11" x14ac:dyDescent="0.25">
      <c r="A258" t="s">
        <v>1684</v>
      </c>
      <c r="B258" s="2">
        <v>45378</v>
      </c>
      <c r="C258" t="s">
        <v>384</v>
      </c>
      <c r="D258" t="s">
        <v>1012</v>
      </c>
      <c r="E258">
        <v>10</v>
      </c>
      <c r="F258">
        <v>40</v>
      </c>
      <c r="G258">
        <v>11.05</v>
      </c>
      <c r="H258" t="s">
        <v>1109</v>
      </c>
      <c r="I258" t="s">
        <v>1308</v>
      </c>
      <c r="J258" t="s">
        <v>1414</v>
      </c>
      <c r="K258" t="s">
        <v>1426</v>
      </c>
    </row>
    <row r="259" spans="1:11" x14ac:dyDescent="0.25">
      <c r="A259" t="s">
        <v>1685</v>
      </c>
      <c r="B259" s="2">
        <v>45378</v>
      </c>
      <c r="C259" t="s">
        <v>752</v>
      </c>
      <c r="D259" t="s">
        <v>1015</v>
      </c>
      <c r="E259">
        <v>2</v>
      </c>
      <c r="F259">
        <v>10</v>
      </c>
      <c r="G259">
        <v>3.43</v>
      </c>
      <c r="H259" t="s">
        <v>1080</v>
      </c>
      <c r="I259" t="s">
        <v>1279</v>
      </c>
      <c r="J259" t="s">
        <v>1415</v>
      </c>
      <c r="K259" t="s">
        <v>1426</v>
      </c>
    </row>
    <row r="260" spans="1:11" x14ac:dyDescent="0.25">
      <c r="A260" t="s">
        <v>1686</v>
      </c>
      <c r="B260" s="2">
        <v>45379</v>
      </c>
      <c r="C260" t="s">
        <v>187</v>
      </c>
      <c r="D260" t="s">
        <v>1013</v>
      </c>
      <c r="E260">
        <v>2</v>
      </c>
      <c r="F260">
        <v>25</v>
      </c>
      <c r="G260">
        <v>6.89</v>
      </c>
      <c r="H260" t="s">
        <v>1134</v>
      </c>
      <c r="I260" t="s">
        <v>1333</v>
      </c>
      <c r="J260" t="s">
        <v>1415</v>
      </c>
      <c r="K260" t="s">
        <v>1427</v>
      </c>
    </row>
    <row r="261" spans="1:11" x14ac:dyDescent="0.25">
      <c r="A261" t="s">
        <v>1687</v>
      </c>
      <c r="B261" s="2">
        <v>45379</v>
      </c>
      <c r="C261" t="s">
        <v>202</v>
      </c>
      <c r="D261" t="s">
        <v>1015</v>
      </c>
      <c r="E261">
        <v>7</v>
      </c>
      <c r="F261">
        <v>10</v>
      </c>
      <c r="G261">
        <v>2.2000000000000002</v>
      </c>
      <c r="H261" t="s">
        <v>1109</v>
      </c>
      <c r="I261" t="s">
        <v>1308</v>
      </c>
      <c r="J261" t="s">
        <v>1416</v>
      </c>
      <c r="K261" t="s">
        <v>1418</v>
      </c>
    </row>
    <row r="262" spans="1:11" x14ac:dyDescent="0.25">
      <c r="A262" t="s">
        <v>1688</v>
      </c>
      <c r="B262" s="2">
        <v>45379</v>
      </c>
      <c r="C262" t="s">
        <v>243</v>
      </c>
      <c r="D262" t="s">
        <v>1013</v>
      </c>
      <c r="E262">
        <v>7</v>
      </c>
      <c r="F262">
        <v>25</v>
      </c>
      <c r="G262">
        <v>5.89</v>
      </c>
      <c r="H262" t="s">
        <v>1153</v>
      </c>
      <c r="I262" t="s">
        <v>1352</v>
      </c>
      <c r="J262" t="s">
        <v>1414</v>
      </c>
      <c r="K262" t="s">
        <v>1424</v>
      </c>
    </row>
    <row r="263" spans="1:11" x14ac:dyDescent="0.25">
      <c r="A263" t="s">
        <v>1689</v>
      </c>
      <c r="B263" s="2">
        <v>45379</v>
      </c>
      <c r="C263" t="s">
        <v>537</v>
      </c>
      <c r="D263" t="s">
        <v>1013</v>
      </c>
      <c r="E263">
        <v>8</v>
      </c>
      <c r="F263">
        <v>25</v>
      </c>
      <c r="G263">
        <v>8.61</v>
      </c>
      <c r="H263" t="s">
        <v>1197</v>
      </c>
      <c r="I263" t="s">
        <v>1396</v>
      </c>
      <c r="J263" t="s">
        <v>1414</v>
      </c>
      <c r="K263" t="s">
        <v>1418</v>
      </c>
    </row>
    <row r="264" spans="1:11" x14ac:dyDescent="0.25">
      <c r="A264" t="s">
        <v>1690</v>
      </c>
      <c r="B264" s="2">
        <v>45380</v>
      </c>
      <c r="C264" t="s">
        <v>104</v>
      </c>
      <c r="D264" t="s">
        <v>1015</v>
      </c>
      <c r="E264">
        <v>5</v>
      </c>
      <c r="F264">
        <v>10</v>
      </c>
      <c r="G264">
        <v>2.82</v>
      </c>
      <c r="H264" t="s">
        <v>1087</v>
      </c>
      <c r="I264" t="s">
        <v>1286</v>
      </c>
      <c r="J264" t="s">
        <v>1414</v>
      </c>
      <c r="K264" t="s">
        <v>1427</v>
      </c>
    </row>
    <row r="265" spans="1:11" x14ac:dyDescent="0.25">
      <c r="A265" t="s">
        <v>1691</v>
      </c>
      <c r="B265" s="2">
        <v>45380</v>
      </c>
      <c r="C265" t="s">
        <v>195</v>
      </c>
      <c r="D265" t="s">
        <v>1012</v>
      </c>
      <c r="E265">
        <v>10</v>
      </c>
      <c r="F265">
        <v>40</v>
      </c>
      <c r="G265">
        <v>11.87</v>
      </c>
      <c r="H265" t="s">
        <v>1138</v>
      </c>
      <c r="I265" t="s">
        <v>1337</v>
      </c>
      <c r="J265" t="s">
        <v>1414</v>
      </c>
      <c r="K265" t="s">
        <v>1425</v>
      </c>
    </row>
    <row r="266" spans="1:11" x14ac:dyDescent="0.25">
      <c r="A266" t="s">
        <v>1692</v>
      </c>
      <c r="B266" s="2">
        <v>45381</v>
      </c>
      <c r="C266" t="s">
        <v>87</v>
      </c>
      <c r="D266" t="s">
        <v>1014</v>
      </c>
      <c r="E266">
        <v>1</v>
      </c>
      <c r="F266">
        <v>15</v>
      </c>
      <c r="G266">
        <v>5.3</v>
      </c>
      <c r="H266" t="s">
        <v>1066</v>
      </c>
      <c r="I266" t="s">
        <v>1265</v>
      </c>
      <c r="J266" t="s">
        <v>1414</v>
      </c>
      <c r="K266" t="s">
        <v>1420</v>
      </c>
    </row>
    <row r="267" spans="1:11" x14ac:dyDescent="0.25">
      <c r="A267" t="s">
        <v>1693</v>
      </c>
      <c r="B267" s="2">
        <v>45381</v>
      </c>
      <c r="C267" t="s">
        <v>992</v>
      </c>
      <c r="D267" t="s">
        <v>1013</v>
      </c>
      <c r="E267">
        <v>4</v>
      </c>
      <c r="F267">
        <v>25</v>
      </c>
      <c r="G267">
        <v>9.4600000000000009</v>
      </c>
      <c r="H267" t="s">
        <v>1181</v>
      </c>
      <c r="I267" t="s">
        <v>1380</v>
      </c>
      <c r="J267" t="s">
        <v>1415</v>
      </c>
      <c r="K267" t="s">
        <v>1426</v>
      </c>
    </row>
    <row r="268" spans="1:11" x14ac:dyDescent="0.25">
      <c r="A268" t="s">
        <v>1694</v>
      </c>
      <c r="B268" s="2">
        <v>45382</v>
      </c>
      <c r="C268" t="s">
        <v>79</v>
      </c>
      <c r="D268" t="s">
        <v>1012</v>
      </c>
      <c r="E268">
        <v>1</v>
      </c>
      <c r="F268">
        <v>40</v>
      </c>
      <c r="G268">
        <v>12.13</v>
      </c>
      <c r="H268" t="s">
        <v>1043</v>
      </c>
      <c r="I268" t="s">
        <v>1242</v>
      </c>
      <c r="J268" t="s">
        <v>1417</v>
      </c>
      <c r="K268" t="s">
        <v>1419</v>
      </c>
    </row>
    <row r="269" spans="1:11" x14ac:dyDescent="0.25">
      <c r="A269" t="s">
        <v>1695</v>
      </c>
      <c r="B269" s="2">
        <v>45382</v>
      </c>
      <c r="C269" t="s">
        <v>318</v>
      </c>
      <c r="D269" t="s">
        <v>1011</v>
      </c>
      <c r="E269">
        <v>4</v>
      </c>
      <c r="F269">
        <v>12</v>
      </c>
      <c r="G269">
        <v>3.9</v>
      </c>
      <c r="H269" t="s">
        <v>1153</v>
      </c>
      <c r="I269" t="s">
        <v>1352</v>
      </c>
      <c r="J269" t="s">
        <v>1414</v>
      </c>
      <c r="K269" t="s">
        <v>1427</v>
      </c>
    </row>
    <row r="270" spans="1:11" x14ac:dyDescent="0.25">
      <c r="A270" t="s">
        <v>1696</v>
      </c>
      <c r="B270" s="2">
        <v>45382</v>
      </c>
      <c r="C270" t="s">
        <v>443</v>
      </c>
      <c r="D270" t="s">
        <v>1015</v>
      </c>
      <c r="E270">
        <v>3</v>
      </c>
      <c r="F270">
        <v>10</v>
      </c>
      <c r="G270">
        <v>2.69</v>
      </c>
      <c r="H270" t="s">
        <v>1183</v>
      </c>
      <c r="I270" t="s">
        <v>1382</v>
      </c>
      <c r="J270" t="s">
        <v>1417</v>
      </c>
      <c r="K270" t="s">
        <v>1424</v>
      </c>
    </row>
    <row r="271" spans="1:11" x14ac:dyDescent="0.25">
      <c r="A271" t="s">
        <v>1697</v>
      </c>
      <c r="B271" s="2">
        <v>45382</v>
      </c>
      <c r="C271" t="s">
        <v>549</v>
      </c>
      <c r="D271" t="s">
        <v>1012</v>
      </c>
      <c r="E271">
        <v>3</v>
      </c>
      <c r="F271">
        <v>40</v>
      </c>
      <c r="G271">
        <v>12.8</v>
      </c>
      <c r="H271" t="s">
        <v>1107</v>
      </c>
      <c r="I271" t="s">
        <v>1306</v>
      </c>
      <c r="J271" t="s">
        <v>1414</v>
      </c>
      <c r="K271" t="s">
        <v>1421</v>
      </c>
    </row>
    <row r="272" spans="1:11" x14ac:dyDescent="0.25">
      <c r="A272" t="s">
        <v>1698</v>
      </c>
      <c r="B272" s="2">
        <v>45382</v>
      </c>
      <c r="C272" t="s">
        <v>904</v>
      </c>
      <c r="D272" t="s">
        <v>1014</v>
      </c>
      <c r="E272">
        <v>8</v>
      </c>
      <c r="F272">
        <v>15</v>
      </c>
      <c r="G272">
        <v>3.64</v>
      </c>
      <c r="H272" t="s">
        <v>1077</v>
      </c>
      <c r="I272" t="s">
        <v>1276</v>
      </c>
      <c r="J272" t="s">
        <v>1414</v>
      </c>
      <c r="K272" t="s">
        <v>1422</v>
      </c>
    </row>
    <row r="273" spans="1:11" x14ac:dyDescent="0.25">
      <c r="A273" t="s">
        <v>1699</v>
      </c>
      <c r="B273" s="2">
        <v>45382</v>
      </c>
      <c r="C273" t="s">
        <v>1002</v>
      </c>
      <c r="D273" t="s">
        <v>1015</v>
      </c>
      <c r="E273">
        <v>9</v>
      </c>
      <c r="F273">
        <v>10</v>
      </c>
      <c r="G273">
        <v>3.6</v>
      </c>
      <c r="H273" t="s">
        <v>1117</v>
      </c>
      <c r="I273" t="s">
        <v>1316</v>
      </c>
      <c r="J273" t="s">
        <v>1414</v>
      </c>
      <c r="K273" t="s">
        <v>1421</v>
      </c>
    </row>
    <row r="274" spans="1:11" x14ac:dyDescent="0.25">
      <c r="A274" t="s">
        <v>1700</v>
      </c>
      <c r="B274" s="2">
        <v>45383</v>
      </c>
      <c r="C274" t="s">
        <v>178</v>
      </c>
      <c r="D274" t="s">
        <v>1013</v>
      </c>
      <c r="E274">
        <v>7</v>
      </c>
      <c r="G274">
        <v>5.07</v>
      </c>
      <c r="H274" t="s">
        <v>1042</v>
      </c>
      <c r="I274" t="s">
        <v>1241</v>
      </c>
      <c r="J274" t="s">
        <v>1414</v>
      </c>
      <c r="K274" t="s">
        <v>1423</v>
      </c>
    </row>
    <row r="275" spans="1:11" x14ac:dyDescent="0.25">
      <c r="A275" t="s">
        <v>1701</v>
      </c>
      <c r="B275" s="2">
        <v>45383</v>
      </c>
      <c r="C275" t="s">
        <v>540</v>
      </c>
      <c r="D275" t="s">
        <v>1011</v>
      </c>
      <c r="E275">
        <v>3</v>
      </c>
      <c r="F275">
        <v>12</v>
      </c>
      <c r="G275">
        <v>3.17</v>
      </c>
      <c r="H275" t="s">
        <v>1197</v>
      </c>
      <c r="I275" t="s">
        <v>1396</v>
      </c>
      <c r="J275" t="s">
        <v>1414</v>
      </c>
      <c r="K275" t="s">
        <v>1422</v>
      </c>
    </row>
    <row r="276" spans="1:11" x14ac:dyDescent="0.25">
      <c r="A276" t="s">
        <v>1702</v>
      </c>
      <c r="B276" s="2">
        <v>45384</v>
      </c>
      <c r="C276" t="s">
        <v>608</v>
      </c>
      <c r="D276" t="s">
        <v>1011</v>
      </c>
      <c r="E276">
        <v>10</v>
      </c>
      <c r="F276">
        <v>12</v>
      </c>
      <c r="G276">
        <v>3.9</v>
      </c>
      <c r="H276" t="s">
        <v>1111</v>
      </c>
      <c r="I276" t="s">
        <v>1310</v>
      </c>
      <c r="J276" t="s">
        <v>1414</v>
      </c>
      <c r="K276" t="s">
        <v>1427</v>
      </c>
    </row>
    <row r="277" spans="1:11" x14ac:dyDescent="0.25">
      <c r="A277" t="s">
        <v>1703</v>
      </c>
      <c r="B277" s="2">
        <v>45384</v>
      </c>
      <c r="C277" t="s">
        <v>617</v>
      </c>
      <c r="D277" t="s">
        <v>1014</v>
      </c>
      <c r="E277">
        <v>8</v>
      </c>
      <c r="F277">
        <v>15</v>
      </c>
      <c r="G277">
        <v>4.9400000000000004</v>
      </c>
      <c r="H277" t="s">
        <v>1091</v>
      </c>
      <c r="I277" t="s">
        <v>1290</v>
      </c>
      <c r="J277" t="s">
        <v>1414</v>
      </c>
      <c r="K277" t="s">
        <v>1420</v>
      </c>
    </row>
    <row r="278" spans="1:11" x14ac:dyDescent="0.25">
      <c r="A278" t="s">
        <v>1704</v>
      </c>
      <c r="B278" s="2">
        <v>45384</v>
      </c>
      <c r="C278" t="s">
        <v>962</v>
      </c>
      <c r="D278" t="s">
        <v>1014</v>
      </c>
      <c r="E278">
        <v>1</v>
      </c>
      <c r="F278">
        <v>15</v>
      </c>
      <c r="G278">
        <v>5.04</v>
      </c>
      <c r="H278" t="s">
        <v>1179</v>
      </c>
      <c r="I278" t="s">
        <v>1378</v>
      </c>
      <c r="J278" t="s">
        <v>1414</v>
      </c>
      <c r="K278" t="s">
        <v>1423</v>
      </c>
    </row>
    <row r="279" spans="1:11" x14ac:dyDescent="0.25">
      <c r="A279" t="s">
        <v>1705</v>
      </c>
      <c r="B279" s="2">
        <v>45385</v>
      </c>
      <c r="C279" t="s">
        <v>323</v>
      </c>
      <c r="D279" t="s">
        <v>1012</v>
      </c>
      <c r="E279">
        <v>9</v>
      </c>
      <c r="F279">
        <v>40</v>
      </c>
      <c r="G279">
        <v>12.88</v>
      </c>
      <c r="H279" t="s">
        <v>1047</v>
      </c>
      <c r="I279" t="s">
        <v>1246</v>
      </c>
      <c r="J279" t="s">
        <v>1416</v>
      </c>
      <c r="K279" t="s">
        <v>1422</v>
      </c>
    </row>
    <row r="280" spans="1:11" x14ac:dyDescent="0.25">
      <c r="A280" t="s">
        <v>1706</v>
      </c>
      <c r="B280" s="2">
        <v>45385</v>
      </c>
      <c r="C280" t="s">
        <v>487</v>
      </c>
      <c r="D280" t="s">
        <v>1014</v>
      </c>
      <c r="E280">
        <v>2</v>
      </c>
      <c r="F280">
        <v>15</v>
      </c>
      <c r="G280">
        <v>5.45</v>
      </c>
      <c r="H280" t="s">
        <v>1072</v>
      </c>
      <c r="I280" t="s">
        <v>1271</v>
      </c>
      <c r="J280" t="s">
        <v>1416</v>
      </c>
      <c r="K280" t="s">
        <v>1420</v>
      </c>
    </row>
    <row r="281" spans="1:11" x14ac:dyDescent="0.25">
      <c r="A281" t="s">
        <v>1707</v>
      </c>
      <c r="B281" s="2">
        <v>45385</v>
      </c>
      <c r="C281" t="s">
        <v>821</v>
      </c>
      <c r="D281" t="s">
        <v>1011</v>
      </c>
      <c r="E281">
        <v>5</v>
      </c>
      <c r="F281">
        <v>12</v>
      </c>
      <c r="G281">
        <v>3.06</v>
      </c>
      <c r="H281" t="s">
        <v>1114</v>
      </c>
      <c r="I281" t="s">
        <v>1313</v>
      </c>
      <c r="J281" t="s">
        <v>1414</v>
      </c>
      <c r="K281" t="s">
        <v>1423</v>
      </c>
    </row>
    <row r="282" spans="1:11" x14ac:dyDescent="0.25">
      <c r="A282" t="s">
        <v>1708</v>
      </c>
      <c r="B282" s="2">
        <v>45386</v>
      </c>
      <c r="C282" t="s">
        <v>122</v>
      </c>
      <c r="D282" t="s">
        <v>1015</v>
      </c>
      <c r="E282">
        <v>9</v>
      </c>
      <c r="F282">
        <v>10</v>
      </c>
      <c r="G282">
        <v>2.23</v>
      </c>
      <c r="H282" t="s">
        <v>1099</v>
      </c>
      <c r="I282" t="s">
        <v>1298</v>
      </c>
      <c r="J282" t="s">
        <v>1416</v>
      </c>
      <c r="K282" t="s">
        <v>1423</v>
      </c>
    </row>
    <row r="283" spans="1:11" x14ac:dyDescent="0.25">
      <c r="A283" t="s">
        <v>1709</v>
      </c>
      <c r="B283" s="2">
        <v>45386</v>
      </c>
      <c r="C283" t="s">
        <v>343</v>
      </c>
      <c r="D283" t="s">
        <v>1013</v>
      </c>
      <c r="E283">
        <v>3</v>
      </c>
      <c r="F283">
        <v>25</v>
      </c>
      <c r="G283">
        <v>8.42</v>
      </c>
      <c r="H283" t="s">
        <v>1176</v>
      </c>
      <c r="I283" t="s">
        <v>1375</v>
      </c>
      <c r="J283" t="s">
        <v>1414</v>
      </c>
      <c r="K283" t="s">
        <v>1420</v>
      </c>
    </row>
    <row r="284" spans="1:11" x14ac:dyDescent="0.25">
      <c r="A284" t="s">
        <v>1710</v>
      </c>
      <c r="B284" s="2">
        <v>45386</v>
      </c>
      <c r="C284" t="s">
        <v>474</v>
      </c>
      <c r="D284" t="s">
        <v>1012</v>
      </c>
      <c r="E284">
        <v>10</v>
      </c>
      <c r="F284">
        <v>40</v>
      </c>
      <c r="G284">
        <v>12.79</v>
      </c>
      <c r="H284" t="s">
        <v>1198</v>
      </c>
      <c r="I284" t="s">
        <v>1397</v>
      </c>
      <c r="J284" t="s">
        <v>1415</v>
      </c>
      <c r="K284" t="s">
        <v>1426</v>
      </c>
    </row>
    <row r="285" spans="1:11" x14ac:dyDescent="0.25">
      <c r="A285" t="s">
        <v>1711</v>
      </c>
      <c r="B285" s="2">
        <v>45386</v>
      </c>
      <c r="C285" t="s">
        <v>841</v>
      </c>
      <c r="D285" t="s">
        <v>1015</v>
      </c>
      <c r="E285">
        <v>8</v>
      </c>
      <c r="F285">
        <v>10</v>
      </c>
      <c r="G285">
        <v>2.65</v>
      </c>
      <c r="H285" t="s">
        <v>1038</v>
      </c>
      <c r="I285" t="s">
        <v>1237</v>
      </c>
      <c r="J285" t="s">
        <v>1414</v>
      </c>
      <c r="K285" t="s">
        <v>1425</v>
      </c>
    </row>
    <row r="286" spans="1:11" x14ac:dyDescent="0.25">
      <c r="A286" t="s">
        <v>1712</v>
      </c>
      <c r="B286" s="2">
        <v>45387</v>
      </c>
      <c r="C286" t="s">
        <v>924</v>
      </c>
      <c r="D286" t="s">
        <v>1012</v>
      </c>
      <c r="E286">
        <v>5</v>
      </c>
      <c r="F286">
        <v>40</v>
      </c>
      <c r="G286">
        <v>8.31</v>
      </c>
      <c r="H286" t="s">
        <v>1151</v>
      </c>
      <c r="I286" t="s">
        <v>1350</v>
      </c>
      <c r="J286" t="s">
        <v>1416</v>
      </c>
      <c r="K286" t="s">
        <v>1423</v>
      </c>
    </row>
    <row r="287" spans="1:11" x14ac:dyDescent="0.25">
      <c r="A287" t="s">
        <v>1713</v>
      </c>
      <c r="B287" s="2">
        <v>45388</v>
      </c>
      <c r="C287" t="s">
        <v>22</v>
      </c>
      <c r="D287" t="s">
        <v>1012</v>
      </c>
      <c r="E287">
        <v>8</v>
      </c>
      <c r="F287">
        <v>40</v>
      </c>
      <c r="G287">
        <v>10.88</v>
      </c>
      <c r="H287" t="s">
        <v>1026</v>
      </c>
      <c r="I287" t="s">
        <v>1225</v>
      </c>
      <c r="J287" t="s">
        <v>1416</v>
      </c>
      <c r="K287" t="s">
        <v>1426</v>
      </c>
    </row>
    <row r="288" spans="1:11" x14ac:dyDescent="0.25">
      <c r="A288" t="s">
        <v>1714</v>
      </c>
      <c r="B288" s="2">
        <v>45388</v>
      </c>
      <c r="C288" t="s">
        <v>736</v>
      </c>
      <c r="D288" t="s">
        <v>1011</v>
      </c>
      <c r="E288">
        <v>6</v>
      </c>
      <c r="F288">
        <v>12</v>
      </c>
      <c r="G288">
        <v>4.78</v>
      </c>
      <c r="H288" t="s">
        <v>1111</v>
      </c>
      <c r="I288" t="s">
        <v>1310</v>
      </c>
      <c r="J288" t="s">
        <v>1416</v>
      </c>
      <c r="K288" t="s">
        <v>1427</v>
      </c>
    </row>
    <row r="289" spans="1:11" x14ac:dyDescent="0.25">
      <c r="A289" t="s">
        <v>1715</v>
      </c>
      <c r="B289" s="2">
        <v>45388</v>
      </c>
      <c r="C289" t="s">
        <v>997</v>
      </c>
      <c r="D289" t="s">
        <v>1013</v>
      </c>
      <c r="E289">
        <v>1</v>
      </c>
      <c r="F289">
        <v>25</v>
      </c>
      <c r="G289">
        <v>9.26</v>
      </c>
      <c r="H289" t="s">
        <v>1151</v>
      </c>
      <c r="I289" t="s">
        <v>1350</v>
      </c>
      <c r="J289" t="s">
        <v>1414</v>
      </c>
      <c r="K289" t="s">
        <v>1427</v>
      </c>
    </row>
    <row r="290" spans="1:11" x14ac:dyDescent="0.25">
      <c r="A290" t="s">
        <v>1716</v>
      </c>
      <c r="B290" s="2">
        <v>45389</v>
      </c>
      <c r="C290" t="s">
        <v>102</v>
      </c>
      <c r="D290" t="s">
        <v>1013</v>
      </c>
      <c r="E290">
        <v>9</v>
      </c>
      <c r="F290">
        <v>25</v>
      </c>
      <c r="G290">
        <v>8.39</v>
      </c>
      <c r="H290" t="s">
        <v>1086</v>
      </c>
      <c r="I290" t="s">
        <v>1285</v>
      </c>
      <c r="J290" t="s">
        <v>1416</v>
      </c>
      <c r="K290" t="s">
        <v>1420</v>
      </c>
    </row>
    <row r="291" spans="1:11" x14ac:dyDescent="0.25">
      <c r="A291" t="s">
        <v>1717</v>
      </c>
      <c r="B291" s="2">
        <v>45389</v>
      </c>
      <c r="C291" t="s">
        <v>256</v>
      </c>
      <c r="D291" t="s">
        <v>1013</v>
      </c>
      <c r="E291">
        <v>4</v>
      </c>
      <c r="F291">
        <v>25</v>
      </c>
      <c r="G291">
        <v>6.45</v>
      </c>
      <c r="H291" t="s">
        <v>1103</v>
      </c>
      <c r="I291" t="s">
        <v>1302</v>
      </c>
      <c r="J291" t="s">
        <v>1414</v>
      </c>
      <c r="K291" t="s">
        <v>1421</v>
      </c>
    </row>
    <row r="292" spans="1:11" x14ac:dyDescent="0.25">
      <c r="A292" t="s">
        <v>1718</v>
      </c>
      <c r="B292" s="2">
        <v>45389</v>
      </c>
      <c r="C292" t="s">
        <v>871</v>
      </c>
      <c r="D292" t="s">
        <v>1013</v>
      </c>
      <c r="E292">
        <v>4</v>
      </c>
      <c r="F292">
        <v>25</v>
      </c>
      <c r="G292">
        <v>8.35</v>
      </c>
      <c r="H292" t="s">
        <v>1126</v>
      </c>
      <c r="I292" t="s">
        <v>1325</v>
      </c>
      <c r="J292" t="s">
        <v>1414</v>
      </c>
      <c r="K292" t="s">
        <v>1425</v>
      </c>
    </row>
    <row r="293" spans="1:11" x14ac:dyDescent="0.25">
      <c r="A293" t="s">
        <v>1719</v>
      </c>
      <c r="B293" s="2">
        <v>45390</v>
      </c>
      <c r="C293" t="s">
        <v>162</v>
      </c>
      <c r="D293" t="s">
        <v>1014</v>
      </c>
      <c r="E293">
        <v>7</v>
      </c>
      <c r="F293">
        <v>15</v>
      </c>
      <c r="G293">
        <v>5.75</v>
      </c>
      <c r="H293" t="s">
        <v>1026</v>
      </c>
      <c r="I293" t="s">
        <v>1225</v>
      </c>
      <c r="J293" t="s">
        <v>1416</v>
      </c>
      <c r="K293" t="s">
        <v>1425</v>
      </c>
    </row>
    <row r="294" spans="1:11" x14ac:dyDescent="0.25">
      <c r="A294" t="s">
        <v>1720</v>
      </c>
      <c r="B294" s="2">
        <v>45390</v>
      </c>
      <c r="C294" t="s">
        <v>350</v>
      </c>
      <c r="D294" t="s">
        <v>1011</v>
      </c>
      <c r="E294">
        <v>7</v>
      </c>
      <c r="F294">
        <v>12</v>
      </c>
      <c r="G294">
        <v>3.53</v>
      </c>
      <c r="H294" t="s">
        <v>1136</v>
      </c>
      <c r="I294" t="s">
        <v>1335</v>
      </c>
      <c r="J294" t="s">
        <v>1415</v>
      </c>
      <c r="K294" t="s">
        <v>1425</v>
      </c>
    </row>
    <row r="295" spans="1:11" x14ac:dyDescent="0.25">
      <c r="A295" t="s">
        <v>1721</v>
      </c>
      <c r="B295" s="2">
        <v>45390</v>
      </c>
      <c r="C295" t="s">
        <v>541</v>
      </c>
      <c r="D295" t="s">
        <v>1013</v>
      </c>
      <c r="E295">
        <v>9</v>
      </c>
      <c r="F295">
        <v>25</v>
      </c>
      <c r="G295">
        <v>5.36</v>
      </c>
      <c r="H295" t="s">
        <v>1077</v>
      </c>
      <c r="I295" t="s">
        <v>1276</v>
      </c>
      <c r="J295" t="s">
        <v>1414</v>
      </c>
      <c r="K295" t="s">
        <v>1419</v>
      </c>
    </row>
    <row r="296" spans="1:11" x14ac:dyDescent="0.25">
      <c r="A296" t="s">
        <v>1722</v>
      </c>
      <c r="B296" s="2">
        <v>45390</v>
      </c>
      <c r="C296" t="s">
        <v>604</v>
      </c>
      <c r="D296" t="s">
        <v>1015</v>
      </c>
      <c r="E296">
        <v>8</v>
      </c>
      <c r="F296">
        <v>10</v>
      </c>
      <c r="G296">
        <v>3.52</v>
      </c>
      <c r="H296" t="s">
        <v>1157</v>
      </c>
      <c r="I296" t="s">
        <v>1356</v>
      </c>
      <c r="J296" t="s">
        <v>1414</v>
      </c>
      <c r="K296" t="s">
        <v>1426</v>
      </c>
    </row>
    <row r="297" spans="1:11" x14ac:dyDescent="0.25">
      <c r="A297" t="s">
        <v>1723</v>
      </c>
      <c r="B297" s="2">
        <v>45391</v>
      </c>
      <c r="C297" t="s">
        <v>221</v>
      </c>
      <c r="D297" t="s">
        <v>1015</v>
      </c>
      <c r="E297">
        <v>10</v>
      </c>
      <c r="F297">
        <v>10</v>
      </c>
      <c r="G297">
        <v>2.86</v>
      </c>
      <c r="H297" t="s">
        <v>1069</v>
      </c>
      <c r="I297" t="s">
        <v>1268</v>
      </c>
      <c r="J297" t="s">
        <v>1414</v>
      </c>
      <c r="K297" t="s">
        <v>1422</v>
      </c>
    </row>
    <row r="298" spans="1:11" x14ac:dyDescent="0.25">
      <c r="A298" t="s">
        <v>1724</v>
      </c>
      <c r="B298" s="2">
        <v>45391</v>
      </c>
      <c r="C298" t="s">
        <v>632</v>
      </c>
      <c r="D298" t="s">
        <v>1015</v>
      </c>
      <c r="E298">
        <v>3</v>
      </c>
      <c r="F298">
        <v>10</v>
      </c>
      <c r="G298">
        <v>2.5299999999999998</v>
      </c>
      <c r="H298" t="s">
        <v>1059</v>
      </c>
      <c r="I298" t="s">
        <v>1258</v>
      </c>
      <c r="J298" t="s">
        <v>1414</v>
      </c>
      <c r="K298" t="s">
        <v>1427</v>
      </c>
    </row>
    <row r="299" spans="1:11" x14ac:dyDescent="0.25">
      <c r="A299" t="s">
        <v>1725</v>
      </c>
      <c r="B299" s="2">
        <v>45391</v>
      </c>
      <c r="C299" t="s">
        <v>727</v>
      </c>
      <c r="D299" t="s">
        <v>1015</v>
      </c>
      <c r="E299">
        <v>2</v>
      </c>
      <c r="F299">
        <v>10</v>
      </c>
      <c r="G299">
        <v>3.58</v>
      </c>
      <c r="H299" t="s">
        <v>1177</v>
      </c>
      <c r="I299" t="s">
        <v>1376</v>
      </c>
      <c r="J299" t="s">
        <v>1416</v>
      </c>
      <c r="K299" t="s">
        <v>1421</v>
      </c>
    </row>
    <row r="300" spans="1:11" x14ac:dyDescent="0.25">
      <c r="A300" t="s">
        <v>1726</v>
      </c>
      <c r="B300" s="2">
        <v>45392</v>
      </c>
      <c r="C300" t="s">
        <v>481</v>
      </c>
      <c r="D300" t="s">
        <v>1014</v>
      </c>
      <c r="E300">
        <v>10</v>
      </c>
      <c r="F300">
        <v>15</v>
      </c>
      <c r="G300">
        <v>5.89</v>
      </c>
      <c r="H300" t="s">
        <v>1194</v>
      </c>
      <c r="I300" t="s">
        <v>1393</v>
      </c>
      <c r="J300" t="s">
        <v>1416</v>
      </c>
      <c r="K300" t="s">
        <v>1419</v>
      </c>
    </row>
    <row r="301" spans="1:11" x14ac:dyDescent="0.25">
      <c r="A301" t="s">
        <v>1727</v>
      </c>
      <c r="B301" s="2">
        <v>45392</v>
      </c>
      <c r="C301" t="s">
        <v>515</v>
      </c>
      <c r="D301" t="s">
        <v>1013</v>
      </c>
      <c r="E301">
        <v>3</v>
      </c>
      <c r="F301">
        <v>25</v>
      </c>
      <c r="G301">
        <v>5.6</v>
      </c>
      <c r="H301" t="s">
        <v>1204</v>
      </c>
      <c r="I301" t="s">
        <v>1403</v>
      </c>
      <c r="J301" t="s">
        <v>1414</v>
      </c>
      <c r="K301" t="s">
        <v>1426</v>
      </c>
    </row>
    <row r="302" spans="1:11" x14ac:dyDescent="0.25">
      <c r="A302" t="s">
        <v>1728</v>
      </c>
      <c r="B302" s="2">
        <v>45392</v>
      </c>
      <c r="C302" t="s">
        <v>773</v>
      </c>
      <c r="D302" t="s">
        <v>1015</v>
      </c>
      <c r="E302">
        <v>4</v>
      </c>
      <c r="F302">
        <v>10</v>
      </c>
      <c r="G302">
        <v>2.4300000000000002</v>
      </c>
      <c r="H302" t="s">
        <v>1075</v>
      </c>
      <c r="I302" t="s">
        <v>1274</v>
      </c>
      <c r="J302" t="s">
        <v>1414</v>
      </c>
      <c r="K302" t="s">
        <v>1419</v>
      </c>
    </row>
    <row r="303" spans="1:11" x14ac:dyDescent="0.25">
      <c r="A303" t="s">
        <v>1729</v>
      </c>
      <c r="B303" s="2">
        <v>45393</v>
      </c>
      <c r="C303" t="s">
        <v>374</v>
      </c>
      <c r="D303" t="s">
        <v>1012</v>
      </c>
      <c r="E303">
        <v>3</v>
      </c>
      <c r="F303">
        <v>40</v>
      </c>
      <c r="G303">
        <v>15.83</v>
      </c>
      <c r="H303" t="s">
        <v>1101</v>
      </c>
      <c r="I303" t="s">
        <v>1300</v>
      </c>
      <c r="J303" t="s">
        <v>1414</v>
      </c>
      <c r="K303" t="s">
        <v>1426</v>
      </c>
    </row>
    <row r="304" spans="1:11" x14ac:dyDescent="0.25">
      <c r="A304" t="s">
        <v>1730</v>
      </c>
      <c r="B304" s="2">
        <v>45394</v>
      </c>
      <c r="C304" t="s">
        <v>107</v>
      </c>
      <c r="D304" t="s">
        <v>1012</v>
      </c>
      <c r="E304">
        <v>4</v>
      </c>
      <c r="F304">
        <v>40</v>
      </c>
      <c r="G304">
        <v>8.26</v>
      </c>
      <c r="H304" t="s">
        <v>1089</v>
      </c>
      <c r="I304" t="s">
        <v>1288</v>
      </c>
      <c r="J304" t="s">
        <v>1415</v>
      </c>
      <c r="K304" t="s">
        <v>1424</v>
      </c>
    </row>
    <row r="305" spans="1:11" x14ac:dyDescent="0.25">
      <c r="A305" t="s">
        <v>1731</v>
      </c>
      <c r="B305" s="2">
        <v>45394</v>
      </c>
      <c r="C305" t="s">
        <v>252</v>
      </c>
      <c r="D305" t="s">
        <v>1012</v>
      </c>
      <c r="E305">
        <v>2</v>
      </c>
      <c r="F305">
        <v>40</v>
      </c>
      <c r="G305">
        <v>8.09</v>
      </c>
      <c r="H305" t="s">
        <v>1075</v>
      </c>
      <c r="I305" t="s">
        <v>1274</v>
      </c>
      <c r="J305" t="s">
        <v>1415</v>
      </c>
      <c r="K305" t="s">
        <v>1420</v>
      </c>
    </row>
    <row r="306" spans="1:11" x14ac:dyDescent="0.25">
      <c r="A306" t="s">
        <v>1732</v>
      </c>
      <c r="B306" s="2">
        <v>45394</v>
      </c>
      <c r="C306" t="s">
        <v>582</v>
      </c>
      <c r="D306" t="s">
        <v>1012</v>
      </c>
      <c r="E306">
        <v>10</v>
      </c>
      <c r="F306">
        <v>40</v>
      </c>
      <c r="G306">
        <v>8.0399999999999991</v>
      </c>
      <c r="H306" t="s">
        <v>1051</v>
      </c>
      <c r="I306" t="s">
        <v>1250</v>
      </c>
      <c r="J306" t="s">
        <v>1414</v>
      </c>
      <c r="K306" t="s">
        <v>1420</v>
      </c>
    </row>
    <row r="307" spans="1:11" x14ac:dyDescent="0.25">
      <c r="A307" t="s">
        <v>1733</v>
      </c>
      <c r="B307" s="2">
        <v>45395</v>
      </c>
      <c r="C307" t="s">
        <v>14</v>
      </c>
      <c r="D307" t="s">
        <v>1013</v>
      </c>
      <c r="E307">
        <v>8</v>
      </c>
      <c r="F307">
        <v>25</v>
      </c>
      <c r="G307">
        <v>5.87</v>
      </c>
      <c r="H307" t="s">
        <v>1019</v>
      </c>
      <c r="I307" t="s">
        <v>1218</v>
      </c>
      <c r="J307" t="s">
        <v>1414</v>
      </c>
      <c r="K307" t="s">
        <v>1420</v>
      </c>
    </row>
    <row r="308" spans="1:11" x14ac:dyDescent="0.25">
      <c r="A308" t="s">
        <v>1734</v>
      </c>
      <c r="B308" s="2">
        <v>45395</v>
      </c>
      <c r="C308" t="s">
        <v>526</v>
      </c>
      <c r="D308" t="s">
        <v>1014</v>
      </c>
      <c r="E308">
        <v>1</v>
      </c>
      <c r="F308">
        <v>15</v>
      </c>
      <c r="G308">
        <v>5.9</v>
      </c>
      <c r="H308" t="s">
        <v>1157</v>
      </c>
      <c r="I308" t="s">
        <v>1356</v>
      </c>
      <c r="J308" t="s">
        <v>1414</v>
      </c>
      <c r="K308" t="s">
        <v>1425</v>
      </c>
    </row>
    <row r="309" spans="1:11" x14ac:dyDescent="0.25">
      <c r="A309" t="s">
        <v>1735</v>
      </c>
      <c r="B309" s="2">
        <v>45395</v>
      </c>
      <c r="C309" t="s">
        <v>581</v>
      </c>
      <c r="D309" t="s">
        <v>1012</v>
      </c>
      <c r="E309">
        <v>3</v>
      </c>
      <c r="F309">
        <v>40</v>
      </c>
      <c r="G309">
        <v>14.85</v>
      </c>
      <c r="H309" t="s">
        <v>1094</v>
      </c>
      <c r="I309" t="s">
        <v>1293</v>
      </c>
      <c r="J309" t="s">
        <v>1415</v>
      </c>
      <c r="K309" t="s">
        <v>1424</v>
      </c>
    </row>
    <row r="310" spans="1:11" x14ac:dyDescent="0.25">
      <c r="A310" t="s">
        <v>1736</v>
      </c>
      <c r="B310" s="2">
        <v>45396</v>
      </c>
      <c r="C310" t="s">
        <v>413</v>
      </c>
      <c r="D310" t="s">
        <v>1012</v>
      </c>
      <c r="E310">
        <v>4</v>
      </c>
      <c r="F310">
        <v>40</v>
      </c>
      <c r="G310">
        <v>15.39</v>
      </c>
      <c r="H310" t="s">
        <v>1071</v>
      </c>
      <c r="I310" t="s">
        <v>1270</v>
      </c>
      <c r="J310" t="s">
        <v>1416</v>
      </c>
      <c r="K310" t="s">
        <v>1425</v>
      </c>
    </row>
    <row r="311" spans="1:11" x14ac:dyDescent="0.25">
      <c r="A311" t="s">
        <v>1737</v>
      </c>
      <c r="B311" s="2">
        <v>45396</v>
      </c>
      <c r="C311" t="s">
        <v>862</v>
      </c>
      <c r="D311" t="s">
        <v>1011</v>
      </c>
      <c r="E311">
        <v>2</v>
      </c>
      <c r="F311">
        <v>12</v>
      </c>
      <c r="G311">
        <v>3.33</v>
      </c>
      <c r="H311" t="s">
        <v>1113</v>
      </c>
      <c r="I311" t="s">
        <v>1312</v>
      </c>
      <c r="J311" t="s">
        <v>1414</v>
      </c>
      <c r="K311" t="s">
        <v>1420</v>
      </c>
    </row>
    <row r="312" spans="1:11" x14ac:dyDescent="0.25">
      <c r="A312" t="s">
        <v>1738</v>
      </c>
      <c r="B312" s="2">
        <v>45396</v>
      </c>
      <c r="C312" t="s">
        <v>927</v>
      </c>
      <c r="D312" t="s">
        <v>1012</v>
      </c>
      <c r="E312">
        <v>8</v>
      </c>
      <c r="F312">
        <v>40</v>
      </c>
      <c r="G312">
        <v>8.81</v>
      </c>
      <c r="H312" t="s">
        <v>1193</v>
      </c>
      <c r="I312" t="s">
        <v>1392</v>
      </c>
      <c r="J312" t="s">
        <v>1414</v>
      </c>
      <c r="K312" t="s">
        <v>1421</v>
      </c>
    </row>
    <row r="313" spans="1:11" x14ac:dyDescent="0.25">
      <c r="A313" t="s">
        <v>1739</v>
      </c>
      <c r="B313" s="2">
        <v>45397</v>
      </c>
      <c r="C313" t="s">
        <v>167</v>
      </c>
      <c r="D313" t="s">
        <v>1012</v>
      </c>
      <c r="E313">
        <v>5</v>
      </c>
      <c r="F313">
        <v>40</v>
      </c>
      <c r="G313">
        <v>15.08</v>
      </c>
      <c r="H313" t="s">
        <v>1079</v>
      </c>
      <c r="I313" t="s">
        <v>1278</v>
      </c>
      <c r="J313" t="s">
        <v>1416</v>
      </c>
      <c r="K313" t="s">
        <v>1418</v>
      </c>
    </row>
    <row r="314" spans="1:11" x14ac:dyDescent="0.25">
      <c r="A314" t="s">
        <v>1740</v>
      </c>
      <c r="B314" s="2">
        <v>45397</v>
      </c>
      <c r="C314" t="s">
        <v>409</v>
      </c>
      <c r="D314" t="s">
        <v>1012</v>
      </c>
      <c r="E314">
        <v>8</v>
      </c>
      <c r="F314">
        <v>40</v>
      </c>
      <c r="G314">
        <v>11.5</v>
      </c>
      <c r="H314" t="s">
        <v>1103</v>
      </c>
      <c r="I314" t="s">
        <v>1302</v>
      </c>
      <c r="J314" t="s">
        <v>1415</v>
      </c>
      <c r="K314" t="s">
        <v>1426</v>
      </c>
    </row>
    <row r="315" spans="1:11" x14ac:dyDescent="0.25">
      <c r="A315" t="s">
        <v>1741</v>
      </c>
      <c r="B315" s="2">
        <v>45397</v>
      </c>
      <c r="C315" t="s">
        <v>1005</v>
      </c>
      <c r="D315" t="s">
        <v>1015</v>
      </c>
      <c r="E315">
        <v>9</v>
      </c>
      <c r="F315">
        <v>10</v>
      </c>
      <c r="G315">
        <v>2.65</v>
      </c>
      <c r="H315" t="s">
        <v>1034</v>
      </c>
      <c r="I315" t="s">
        <v>1233</v>
      </c>
      <c r="J315" t="s">
        <v>1414</v>
      </c>
      <c r="K315" t="s">
        <v>1425</v>
      </c>
    </row>
    <row r="316" spans="1:11" x14ac:dyDescent="0.25">
      <c r="A316" t="s">
        <v>1742</v>
      </c>
      <c r="B316" s="2">
        <v>45398</v>
      </c>
      <c r="C316" t="s">
        <v>424</v>
      </c>
      <c r="D316" t="s">
        <v>1015</v>
      </c>
      <c r="E316">
        <v>2</v>
      </c>
      <c r="F316">
        <v>10</v>
      </c>
      <c r="G316">
        <v>3.22</v>
      </c>
      <c r="H316" t="s">
        <v>1163</v>
      </c>
      <c r="I316" t="s">
        <v>1362</v>
      </c>
      <c r="J316" t="s">
        <v>1414</v>
      </c>
      <c r="K316" t="s">
        <v>1421</v>
      </c>
    </row>
    <row r="317" spans="1:11" x14ac:dyDescent="0.25">
      <c r="A317" t="s">
        <v>1743</v>
      </c>
      <c r="B317" s="2">
        <v>45398</v>
      </c>
      <c r="C317" t="s">
        <v>989</v>
      </c>
      <c r="D317" t="s">
        <v>1013</v>
      </c>
      <c r="E317">
        <v>6</v>
      </c>
      <c r="F317">
        <v>25</v>
      </c>
      <c r="G317">
        <v>7.37</v>
      </c>
      <c r="H317" t="s">
        <v>1166</v>
      </c>
      <c r="I317" t="s">
        <v>1365</v>
      </c>
      <c r="J317" t="s">
        <v>1416</v>
      </c>
      <c r="K317" t="s">
        <v>1420</v>
      </c>
    </row>
    <row r="318" spans="1:11" x14ac:dyDescent="0.25">
      <c r="A318" t="s">
        <v>1744</v>
      </c>
      <c r="B318" s="2">
        <v>45399</v>
      </c>
      <c r="C318" t="s">
        <v>37</v>
      </c>
      <c r="D318" t="s">
        <v>1011</v>
      </c>
      <c r="E318">
        <v>5</v>
      </c>
      <c r="F318">
        <v>12</v>
      </c>
      <c r="G318">
        <v>2.5499999999999998</v>
      </c>
      <c r="H318" t="s">
        <v>1039</v>
      </c>
      <c r="I318" t="s">
        <v>1238</v>
      </c>
      <c r="J318" t="s">
        <v>1416</v>
      </c>
      <c r="K318" t="s">
        <v>1418</v>
      </c>
    </row>
    <row r="319" spans="1:11" x14ac:dyDescent="0.25">
      <c r="A319" t="s">
        <v>1745</v>
      </c>
      <c r="B319" s="2">
        <v>45399</v>
      </c>
      <c r="C319" t="s">
        <v>194</v>
      </c>
      <c r="D319" t="s">
        <v>1013</v>
      </c>
      <c r="E319">
        <v>4</v>
      </c>
      <c r="G319">
        <v>6.2</v>
      </c>
      <c r="H319" t="s">
        <v>1109</v>
      </c>
      <c r="I319" t="s">
        <v>1308</v>
      </c>
      <c r="J319" t="s">
        <v>1416</v>
      </c>
      <c r="K319" t="s">
        <v>1420</v>
      </c>
    </row>
    <row r="320" spans="1:11" x14ac:dyDescent="0.25">
      <c r="A320" t="s">
        <v>1746</v>
      </c>
      <c r="B320" s="2">
        <v>45399</v>
      </c>
      <c r="C320" t="s">
        <v>894</v>
      </c>
      <c r="D320" t="s">
        <v>1013</v>
      </c>
      <c r="E320">
        <v>4</v>
      </c>
      <c r="F320">
        <v>25</v>
      </c>
      <c r="G320">
        <v>7.53</v>
      </c>
      <c r="H320" t="s">
        <v>1137</v>
      </c>
      <c r="I320" t="s">
        <v>1336</v>
      </c>
      <c r="J320" t="s">
        <v>1414</v>
      </c>
      <c r="K320" t="s">
        <v>1419</v>
      </c>
    </row>
    <row r="321" spans="1:11" x14ac:dyDescent="0.25">
      <c r="A321" t="s">
        <v>1747</v>
      </c>
      <c r="B321" s="2">
        <v>45400</v>
      </c>
      <c r="C321" t="s">
        <v>230</v>
      </c>
      <c r="D321" t="s">
        <v>1013</v>
      </c>
      <c r="E321">
        <v>1</v>
      </c>
      <c r="F321">
        <v>25</v>
      </c>
      <c r="G321">
        <v>7.07</v>
      </c>
      <c r="H321" t="s">
        <v>1102</v>
      </c>
      <c r="I321" t="s">
        <v>1301</v>
      </c>
      <c r="J321" t="s">
        <v>1415</v>
      </c>
      <c r="K321" t="s">
        <v>1421</v>
      </c>
    </row>
    <row r="322" spans="1:11" x14ac:dyDescent="0.25">
      <c r="A322" t="s">
        <v>1748</v>
      </c>
      <c r="B322" s="2">
        <v>45401</v>
      </c>
      <c r="C322" t="s">
        <v>348</v>
      </c>
      <c r="D322" t="s">
        <v>1015</v>
      </c>
      <c r="E322">
        <v>7</v>
      </c>
      <c r="F322">
        <v>10</v>
      </c>
      <c r="G322">
        <v>3.53</v>
      </c>
      <c r="H322" t="s">
        <v>1177</v>
      </c>
      <c r="I322" t="s">
        <v>1376</v>
      </c>
      <c r="J322" t="s">
        <v>1414</v>
      </c>
      <c r="K322" t="s">
        <v>1421</v>
      </c>
    </row>
    <row r="323" spans="1:11" x14ac:dyDescent="0.25">
      <c r="A323" t="s">
        <v>1749</v>
      </c>
      <c r="B323" s="2">
        <v>45401</v>
      </c>
      <c r="C323" t="s">
        <v>580</v>
      </c>
      <c r="D323" t="s">
        <v>1012</v>
      </c>
      <c r="E323">
        <v>7</v>
      </c>
      <c r="F323">
        <v>40</v>
      </c>
      <c r="G323">
        <v>8.4</v>
      </c>
      <c r="H323" t="s">
        <v>1046</v>
      </c>
      <c r="I323" t="s">
        <v>1245</v>
      </c>
      <c r="J323" t="s">
        <v>1414</v>
      </c>
      <c r="K323" t="s">
        <v>1418</v>
      </c>
    </row>
    <row r="324" spans="1:11" x14ac:dyDescent="0.25">
      <c r="A324" t="s">
        <v>1750</v>
      </c>
      <c r="B324" s="2">
        <v>45401</v>
      </c>
      <c r="C324" t="s">
        <v>929</v>
      </c>
      <c r="D324" t="s">
        <v>1011</v>
      </c>
      <c r="E324">
        <v>7</v>
      </c>
      <c r="F324">
        <v>12</v>
      </c>
      <c r="G324">
        <v>4.59</v>
      </c>
      <c r="H324" t="s">
        <v>1170</v>
      </c>
      <c r="I324" t="s">
        <v>1369</v>
      </c>
      <c r="J324" t="s">
        <v>1414</v>
      </c>
      <c r="K324" t="s">
        <v>1427</v>
      </c>
    </row>
    <row r="325" spans="1:11" x14ac:dyDescent="0.25">
      <c r="A325" t="s">
        <v>1751</v>
      </c>
      <c r="B325" s="2">
        <v>45402</v>
      </c>
      <c r="C325" t="s">
        <v>69</v>
      </c>
      <c r="D325" t="s">
        <v>1011</v>
      </c>
      <c r="E325">
        <v>9</v>
      </c>
      <c r="F325">
        <v>12</v>
      </c>
      <c r="G325">
        <v>3.18</v>
      </c>
      <c r="H325" t="s">
        <v>1054</v>
      </c>
      <c r="I325" t="s">
        <v>1253</v>
      </c>
      <c r="J325" t="s">
        <v>1414</v>
      </c>
      <c r="K325" t="s">
        <v>1422</v>
      </c>
    </row>
    <row r="326" spans="1:11" x14ac:dyDescent="0.25">
      <c r="A326" t="s">
        <v>1752</v>
      </c>
      <c r="B326" s="2">
        <v>45402</v>
      </c>
      <c r="C326" t="s">
        <v>236</v>
      </c>
      <c r="D326" t="s">
        <v>1015</v>
      </c>
      <c r="E326">
        <v>8</v>
      </c>
      <c r="G326">
        <v>2.5499999999999998</v>
      </c>
      <c r="H326" t="s">
        <v>1122</v>
      </c>
      <c r="I326" t="s">
        <v>1321</v>
      </c>
      <c r="J326" t="s">
        <v>1416</v>
      </c>
      <c r="K326" t="s">
        <v>1424</v>
      </c>
    </row>
    <row r="327" spans="1:11" x14ac:dyDescent="0.25">
      <c r="A327" t="s">
        <v>1753</v>
      </c>
      <c r="B327" s="2">
        <v>45402</v>
      </c>
      <c r="C327" t="s">
        <v>875</v>
      </c>
      <c r="D327" t="s">
        <v>1013</v>
      </c>
      <c r="E327">
        <v>1</v>
      </c>
      <c r="F327">
        <v>25</v>
      </c>
      <c r="G327">
        <v>6.87</v>
      </c>
      <c r="H327" t="s">
        <v>1160</v>
      </c>
      <c r="I327" t="s">
        <v>1359</v>
      </c>
      <c r="J327" t="s">
        <v>1414</v>
      </c>
      <c r="K327" t="s">
        <v>1422</v>
      </c>
    </row>
    <row r="328" spans="1:11" x14ac:dyDescent="0.25">
      <c r="A328" t="s">
        <v>1754</v>
      </c>
      <c r="B328" s="2">
        <v>45403</v>
      </c>
      <c r="C328" t="s">
        <v>354</v>
      </c>
      <c r="D328" t="s">
        <v>1012</v>
      </c>
      <c r="E328">
        <v>2</v>
      </c>
      <c r="F328">
        <v>40</v>
      </c>
      <c r="G328">
        <v>14.17</v>
      </c>
      <c r="H328" t="s">
        <v>1135</v>
      </c>
      <c r="I328" t="s">
        <v>1334</v>
      </c>
      <c r="J328" t="s">
        <v>1414</v>
      </c>
      <c r="K328" t="s">
        <v>1420</v>
      </c>
    </row>
    <row r="329" spans="1:11" x14ac:dyDescent="0.25">
      <c r="A329" t="s">
        <v>1755</v>
      </c>
      <c r="B329" s="2">
        <v>45403</v>
      </c>
      <c r="C329" t="s">
        <v>501</v>
      </c>
      <c r="D329" t="s">
        <v>1013</v>
      </c>
      <c r="E329">
        <v>4</v>
      </c>
      <c r="F329">
        <v>25</v>
      </c>
      <c r="G329">
        <v>6.54</v>
      </c>
      <c r="H329" t="s">
        <v>1057</v>
      </c>
      <c r="I329" t="s">
        <v>1256</v>
      </c>
      <c r="J329" t="s">
        <v>1415</v>
      </c>
      <c r="K329" t="s">
        <v>1427</v>
      </c>
    </row>
    <row r="330" spans="1:11" x14ac:dyDescent="0.25">
      <c r="A330" t="s">
        <v>1756</v>
      </c>
      <c r="B330" s="2">
        <v>45403</v>
      </c>
      <c r="C330" t="s">
        <v>676</v>
      </c>
      <c r="D330" t="s">
        <v>1012</v>
      </c>
      <c r="E330">
        <v>9</v>
      </c>
      <c r="F330">
        <v>40</v>
      </c>
      <c r="G330">
        <v>13.64</v>
      </c>
      <c r="H330" t="s">
        <v>1075</v>
      </c>
      <c r="I330" t="s">
        <v>1274</v>
      </c>
      <c r="J330" t="s">
        <v>1414</v>
      </c>
      <c r="K330" t="s">
        <v>1419</v>
      </c>
    </row>
    <row r="331" spans="1:11" x14ac:dyDescent="0.25">
      <c r="A331" t="s">
        <v>1757</v>
      </c>
      <c r="B331" s="2">
        <v>45404</v>
      </c>
      <c r="C331" t="s">
        <v>42</v>
      </c>
      <c r="D331" t="s">
        <v>1013</v>
      </c>
      <c r="E331">
        <v>3</v>
      </c>
      <c r="F331">
        <v>25</v>
      </c>
      <c r="G331">
        <v>9.17</v>
      </c>
      <c r="H331" t="s">
        <v>1042</v>
      </c>
      <c r="I331" t="s">
        <v>1241</v>
      </c>
      <c r="J331" t="s">
        <v>1416</v>
      </c>
      <c r="K331" t="s">
        <v>1420</v>
      </c>
    </row>
    <row r="332" spans="1:11" x14ac:dyDescent="0.25">
      <c r="A332" t="s">
        <v>1758</v>
      </c>
      <c r="B332" s="2">
        <v>45404</v>
      </c>
      <c r="C332" t="s">
        <v>170</v>
      </c>
      <c r="D332" t="s">
        <v>1013</v>
      </c>
      <c r="E332">
        <v>9</v>
      </c>
      <c r="F332">
        <v>25</v>
      </c>
      <c r="G332">
        <v>7.13</v>
      </c>
      <c r="H332" t="s">
        <v>1076</v>
      </c>
      <c r="I332" t="s">
        <v>1275</v>
      </c>
      <c r="J332" t="s">
        <v>1414</v>
      </c>
      <c r="K332" t="s">
        <v>1421</v>
      </c>
    </row>
    <row r="333" spans="1:11" x14ac:dyDescent="0.25">
      <c r="A333" t="s">
        <v>1759</v>
      </c>
      <c r="B333" s="2">
        <v>45404</v>
      </c>
      <c r="C333" t="s">
        <v>179</v>
      </c>
      <c r="D333" t="s">
        <v>1014</v>
      </c>
      <c r="E333">
        <v>5</v>
      </c>
      <c r="F333">
        <v>15</v>
      </c>
      <c r="G333">
        <v>4.1100000000000003</v>
      </c>
      <c r="H333" t="s">
        <v>1125</v>
      </c>
      <c r="I333" t="s">
        <v>1324</v>
      </c>
      <c r="J333" t="s">
        <v>1414</v>
      </c>
      <c r="K333" t="s">
        <v>1422</v>
      </c>
    </row>
    <row r="334" spans="1:11" x14ac:dyDescent="0.25">
      <c r="A334" t="s">
        <v>1760</v>
      </c>
      <c r="B334" s="2">
        <v>45404</v>
      </c>
      <c r="C334" t="s">
        <v>868</v>
      </c>
      <c r="D334" t="s">
        <v>1013</v>
      </c>
      <c r="E334">
        <v>5</v>
      </c>
      <c r="F334">
        <v>25</v>
      </c>
      <c r="G334">
        <v>8.42</v>
      </c>
      <c r="H334" t="s">
        <v>1016</v>
      </c>
      <c r="I334" t="s">
        <v>1215</v>
      </c>
      <c r="J334" t="s">
        <v>1414</v>
      </c>
      <c r="K334" t="s">
        <v>1425</v>
      </c>
    </row>
    <row r="335" spans="1:11" x14ac:dyDescent="0.25">
      <c r="A335" t="s">
        <v>1761</v>
      </c>
      <c r="B335" s="2">
        <v>45405</v>
      </c>
      <c r="C335" t="s">
        <v>521</v>
      </c>
      <c r="D335" t="s">
        <v>1011</v>
      </c>
      <c r="E335">
        <v>5</v>
      </c>
      <c r="F335">
        <v>12</v>
      </c>
      <c r="G335">
        <v>3.23</v>
      </c>
      <c r="H335" t="s">
        <v>1205</v>
      </c>
      <c r="I335" t="s">
        <v>1404</v>
      </c>
      <c r="J335" t="s">
        <v>1414</v>
      </c>
      <c r="K335" t="s">
        <v>1420</v>
      </c>
    </row>
    <row r="336" spans="1:11" x14ac:dyDescent="0.25">
      <c r="A336" t="s">
        <v>1762</v>
      </c>
      <c r="B336" s="2">
        <v>45405</v>
      </c>
      <c r="C336" t="s">
        <v>940</v>
      </c>
      <c r="D336" t="s">
        <v>1011</v>
      </c>
      <c r="E336">
        <v>3</v>
      </c>
      <c r="F336">
        <v>12</v>
      </c>
      <c r="G336">
        <v>2.87</v>
      </c>
      <c r="H336" t="s">
        <v>1171</v>
      </c>
      <c r="I336" t="s">
        <v>1370</v>
      </c>
      <c r="J336" t="s">
        <v>1414</v>
      </c>
      <c r="K336" t="s">
        <v>1424</v>
      </c>
    </row>
    <row r="337" spans="1:11" x14ac:dyDescent="0.25">
      <c r="A337" t="s">
        <v>1763</v>
      </c>
      <c r="B337" s="2">
        <v>45405</v>
      </c>
      <c r="C337" t="s">
        <v>956</v>
      </c>
      <c r="D337" t="s">
        <v>1012</v>
      </c>
      <c r="E337">
        <v>9</v>
      </c>
      <c r="F337">
        <v>40</v>
      </c>
      <c r="G337">
        <v>12.44</v>
      </c>
      <c r="H337" t="s">
        <v>1197</v>
      </c>
      <c r="I337" t="s">
        <v>1396</v>
      </c>
      <c r="J337" t="s">
        <v>1414</v>
      </c>
      <c r="K337" t="s">
        <v>1424</v>
      </c>
    </row>
    <row r="338" spans="1:11" x14ac:dyDescent="0.25">
      <c r="A338" t="s">
        <v>1764</v>
      </c>
      <c r="B338" s="2">
        <v>45406</v>
      </c>
      <c r="C338" t="s">
        <v>191</v>
      </c>
      <c r="D338" t="s">
        <v>1011</v>
      </c>
      <c r="E338">
        <v>1</v>
      </c>
      <c r="F338">
        <v>12</v>
      </c>
      <c r="G338">
        <v>2.86</v>
      </c>
      <c r="H338" t="s">
        <v>1136</v>
      </c>
      <c r="I338" t="s">
        <v>1335</v>
      </c>
      <c r="J338" t="s">
        <v>1417</v>
      </c>
      <c r="K338" t="s">
        <v>1421</v>
      </c>
    </row>
    <row r="339" spans="1:11" x14ac:dyDescent="0.25">
      <c r="A339" t="s">
        <v>1765</v>
      </c>
      <c r="B339" s="2">
        <v>45407</v>
      </c>
      <c r="C339" t="s">
        <v>282</v>
      </c>
      <c r="D339" t="s">
        <v>1015</v>
      </c>
      <c r="E339">
        <v>2</v>
      </c>
      <c r="F339">
        <v>10</v>
      </c>
      <c r="G339">
        <v>3.23</v>
      </c>
      <c r="H339" t="s">
        <v>1144</v>
      </c>
      <c r="I339" t="s">
        <v>1343</v>
      </c>
      <c r="J339" t="s">
        <v>1416</v>
      </c>
      <c r="K339" t="s">
        <v>1427</v>
      </c>
    </row>
    <row r="340" spans="1:11" x14ac:dyDescent="0.25">
      <c r="A340" t="s">
        <v>1766</v>
      </c>
      <c r="B340" s="2">
        <v>45407</v>
      </c>
      <c r="C340" t="s">
        <v>985</v>
      </c>
      <c r="D340" t="s">
        <v>1012</v>
      </c>
      <c r="E340">
        <v>6</v>
      </c>
      <c r="F340">
        <v>40</v>
      </c>
      <c r="G340">
        <v>13.49</v>
      </c>
      <c r="H340" t="s">
        <v>1090</v>
      </c>
      <c r="I340" t="s">
        <v>1289</v>
      </c>
      <c r="J340" t="s">
        <v>1414</v>
      </c>
      <c r="K340" t="s">
        <v>1426</v>
      </c>
    </row>
    <row r="341" spans="1:11" x14ac:dyDescent="0.25">
      <c r="A341" t="s">
        <v>1767</v>
      </c>
      <c r="B341" s="2">
        <v>45408</v>
      </c>
      <c r="C341" t="s">
        <v>265</v>
      </c>
      <c r="D341" t="s">
        <v>1014</v>
      </c>
      <c r="E341">
        <v>8</v>
      </c>
      <c r="F341">
        <v>15</v>
      </c>
      <c r="G341">
        <v>3.88</v>
      </c>
      <c r="H341" t="s">
        <v>1041</v>
      </c>
      <c r="I341" t="s">
        <v>1240</v>
      </c>
      <c r="J341" t="s">
        <v>1416</v>
      </c>
      <c r="K341" t="s">
        <v>1427</v>
      </c>
    </row>
    <row r="342" spans="1:11" x14ac:dyDescent="0.25">
      <c r="A342" t="s">
        <v>1768</v>
      </c>
      <c r="B342" s="2">
        <v>45408</v>
      </c>
      <c r="C342" t="s">
        <v>677</v>
      </c>
      <c r="D342" t="s">
        <v>1013</v>
      </c>
      <c r="E342">
        <v>3</v>
      </c>
      <c r="F342">
        <v>25</v>
      </c>
      <c r="G342">
        <v>6.73</v>
      </c>
      <c r="H342" t="s">
        <v>1043</v>
      </c>
      <c r="I342" t="s">
        <v>1242</v>
      </c>
      <c r="J342" t="s">
        <v>1414</v>
      </c>
      <c r="K342" t="s">
        <v>1418</v>
      </c>
    </row>
    <row r="343" spans="1:11" x14ac:dyDescent="0.25">
      <c r="A343" t="s">
        <v>1769</v>
      </c>
      <c r="B343" s="2">
        <v>45408</v>
      </c>
      <c r="C343" t="s">
        <v>1006</v>
      </c>
      <c r="D343" t="s">
        <v>1011</v>
      </c>
      <c r="E343">
        <v>3</v>
      </c>
      <c r="F343">
        <v>12</v>
      </c>
      <c r="G343">
        <v>4.47</v>
      </c>
      <c r="H343" t="s">
        <v>1177</v>
      </c>
      <c r="I343" t="s">
        <v>1376</v>
      </c>
      <c r="J343" t="s">
        <v>1416</v>
      </c>
      <c r="K343" t="s">
        <v>1426</v>
      </c>
    </row>
    <row r="344" spans="1:11" x14ac:dyDescent="0.25">
      <c r="A344" t="s">
        <v>1770</v>
      </c>
      <c r="B344" s="2">
        <v>45409</v>
      </c>
      <c r="C344" t="s">
        <v>523</v>
      </c>
      <c r="D344" t="s">
        <v>1011</v>
      </c>
      <c r="E344">
        <v>6</v>
      </c>
      <c r="F344">
        <v>12</v>
      </c>
      <c r="G344">
        <v>3.76</v>
      </c>
      <c r="H344" t="s">
        <v>1087</v>
      </c>
      <c r="I344" t="s">
        <v>1286</v>
      </c>
      <c r="J344" t="s">
        <v>1417</v>
      </c>
      <c r="K344" t="s">
        <v>1423</v>
      </c>
    </row>
    <row r="345" spans="1:11" x14ac:dyDescent="0.25">
      <c r="A345" t="s">
        <v>1771</v>
      </c>
      <c r="B345" s="2">
        <v>45409</v>
      </c>
      <c r="C345" t="s">
        <v>749</v>
      </c>
      <c r="D345" t="s">
        <v>1011</v>
      </c>
      <c r="E345">
        <v>10</v>
      </c>
      <c r="F345">
        <v>12</v>
      </c>
      <c r="G345">
        <v>4.42</v>
      </c>
      <c r="H345" t="s">
        <v>1132</v>
      </c>
      <c r="I345" t="s">
        <v>1331</v>
      </c>
      <c r="J345" t="s">
        <v>1414</v>
      </c>
      <c r="K345" t="s">
        <v>1419</v>
      </c>
    </row>
    <row r="346" spans="1:11" x14ac:dyDescent="0.25">
      <c r="A346" t="s">
        <v>1772</v>
      </c>
      <c r="B346" s="2">
        <v>45409</v>
      </c>
      <c r="C346" t="s">
        <v>949</v>
      </c>
      <c r="D346" t="s">
        <v>1015</v>
      </c>
      <c r="E346">
        <v>7</v>
      </c>
      <c r="F346">
        <v>10</v>
      </c>
      <c r="G346">
        <v>2.29</v>
      </c>
      <c r="H346" t="s">
        <v>1191</v>
      </c>
      <c r="I346" t="s">
        <v>1390</v>
      </c>
      <c r="J346" t="s">
        <v>1416</v>
      </c>
      <c r="K346" t="s">
        <v>1420</v>
      </c>
    </row>
    <row r="347" spans="1:11" x14ac:dyDescent="0.25">
      <c r="A347" t="s">
        <v>1773</v>
      </c>
      <c r="B347" s="2">
        <v>45410</v>
      </c>
      <c r="C347" t="s">
        <v>146</v>
      </c>
      <c r="D347" t="s">
        <v>1014</v>
      </c>
      <c r="E347">
        <v>6</v>
      </c>
      <c r="F347">
        <v>15</v>
      </c>
      <c r="G347">
        <v>5.4</v>
      </c>
      <c r="H347" t="s">
        <v>1118</v>
      </c>
      <c r="I347" t="s">
        <v>1317</v>
      </c>
      <c r="J347" t="s">
        <v>1414</v>
      </c>
      <c r="K347" t="s">
        <v>1425</v>
      </c>
    </row>
    <row r="348" spans="1:11" x14ac:dyDescent="0.25">
      <c r="A348" t="s">
        <v>1774</v>
      </c>
      <c r="B348" s="2">
        <v>45410</v>
      </c>
      <c r="C348" t="s">
        <v>211</v>
      </c>
      <c r="D348" t="s">
        <v>1012</v>
      </c>
      <c r="E348">
        <v>7</v>
      </c>
      <c r="F348">
        <v>40</v>
      </c>
      <c r="G348">
        <v>9.5</v>
      </c>
      <c r="H348" t="s">
        <v>1144</v>
      </c>
      <c r="I348" t="s">
        <v>1343</v>
      </c>
      <c r="J348" t="s">
        <v>1415</v>
      </c>
      <c r="K348" t="s">
        <v>1419</v>
      </c>
    </row>
    <row r="349" spans="1:11" x14ac:dyDescent="0.25">
      <c r="A349" t="s">
        <v>1775</v>
      </c>
      <c r="B349" s="2">
        <v>45410</v>
      </c>
      <c r="C349" t="s">
        <v>267</v>
      </c>
      <c r="D349" t="s">
        <v>1012</v>
      </c>
      <c r="E349">
        <v>7</v>
      </c>
      <c r="F349">
        <v>40</v>
      </c>
      <c r="G349">
        <v>13.33</v>
      </c>
      <c r="H349" t="s">
        <v>1133</v>
      </c>
      <c r="I349" t="s">
        <v>1332</v>
      </c>
      <c r="J349" t="s">
        <v>1416</v>
      </c>
      <c r="K349" t="s">
        <v>1425</v>
      </c>
    </row>
    <row r="350" spans="1:11" x14ac:dyDescent="0.25">
      <c r="A350" t="s">
        <v>1776</v>
      </c>
      <c r="B350" s="2">
        <v>45410</v>
      </c>
      <c r="C350" t="s">
        <v>326</v>
      </c>
      <c r="D350" t="s">
        <v>1012</v>
      </c>
      <c r="E350">
        <v>9</v>
      </c>
      <c r="F350">
        <v>40</v>
      </c>
      <c r="G350">
        <v>15.98</v>
      </c>
      <c r="H350" t="s">
        <v>1101</v>
      </c>
      <c r="I350" t="s">
        <v>1300</v>
      </c>
      <c r="J350" t="s">
        <v>1417</v>
      </c>
      <c r="K350" t="s">
        <v>1421</v>
      </c>
    </row>
    <row r="351" spans="1:11" x14ac:dyDescent="0.25">
      <c r="A351" t="s">
        <v>1777</v>
      </c>
      <c r="B351" s="2">
        <v>45410</v>
      </c>
      <c r="C351" t="s">
        <v>503</v>
      </c>
      <c r="D351" t="s">
        <v>1013</v>
      </c>
      <c r="E351">
        <v>3</v>
      </c>
      <c r="F351">
        <v>25</v>
      </c>
      <c r="G351">
        <v>8.76</v>
      </c>
      <c r="H351" t="s">
        <v>1176</v>
      </c>
      <c r="I351" t="s">
        <v>1375</v>
      </c>
      <c r="J351" t="s">
        <v>1416</v>
      </c>
      <c r="K351" t="s">
        <v>1422</v>
      </c>
    </row>
    <row r="352" spans="1:11" x14ac:dyDescent="0.25">
      <c r="A352" t="s">
        <v>1778</v>
      </c>
      <c r="B352" s="2">
        <v>45410</v>
      </c>
      <c r="C352" t="s">
        <v>1003</v>
      </c>
      <c r="D352" t="s">
        <v>1013</v>
      </c>
      <c r="E352">
        <v>2</v>
      </c>
      <c r="F352">
        <v>25</v>
      </c>
      <c r="G352">
        <v>7.85</v>
      </c>
      <c r="H352" t="s">
        <v>1183</v>
      </c>
      <c r="I352" t="s">
        <v>1382</v>
      </c>
      <c r="J352" t="s">
        <v>1414</v>
      </c>
      <c r="K352" t="s">
        <v>1424</v>
      </c>
    </row>
    <row r="353" spans="1:11" x14ac:dyDescent="0.25">
      <c r="A353" t="s">
        <v>1779</v>
      </c>
      <c r="B353" s="2">
        <v>45411</v>
      </c>
      <c r="C353" t="s">
        <v>103</v>
      </c>
      <c r="D353" t="s">
        <v>1014</v>
      </c>
      <c r="E353">
        <v>10</v>
      </c>
      <c r="F353">
        <v>15</v>
      </c>
      <c r="G353">
        <v>3.96</v>
      </c>
      <c r="H353" t="s">
        <v>1027</v>
      </c>
      <c r="I353" t="s">
        <v>1226</v>
      </c>
      <c r="J353" t="s">
        <v>1414</v>
      </c>
      <c r="K353" t="s">
        <v>1420</v>
      </c>
    </row>
    <row r="354" spans="1:11" x14ac:dyDescent="0.25">
      <c r="A354" t="s">
        <v>1780</v>
      </c>
      <c r="B354" s="2">
        <v>45411</v>
      </c>
      <c r="C354" t="s">
        <v>161</v>
      </c>
      <c r="D354" t="s">
        <v>1012</v>
      </c>
      <c r="E354">
        <v>3</v>
      </c>
      <c r="F354">
        <v>40</v>
      </c>
      <c r="G354">
        <v>12.56</v>
      </c>
      <c r="H354" t="s">
        <v>1123</v>
      </c>
      <c r="I354" t="s">
        <v>1322</v>
      </c>
      <c r="J354" t="s">
        <v>1414</v>
      </c>
      <c r="K354" t="s">
        <v>1425</v>
      </c>
    </row>
    <row r="355" spans="1:11" x14ac:dyDescent="0.25">
      <c r="A355" t="s">
        <v>1781</v>
      </c>
      <c r="B355" s="2">
        <v>45411</v>
      </c>
      <c r="C355" t="s">
        <v>983</v>
      </c>
      <c r="D355" t="s">
        <v>1015</v>
      </c>
      <c r="E355">
        <v>5</v>
      </c>
      <c r="F355">
        <v>10</v>
      </c>
      <c r="G355">
        <v>2.34</v>
      </c>
      <c r="H355" t="s">
        <v>1136</v>
      </c>
      <c r="I355" t="s">
        <v>1335</v>
      </c>
      <c r="J355" t="s">
        <v>1414</v>
      </c>
      <c r="K355" t="s">
        <v>1423</v>
      </c>
    </row>
    <row r="356" spans="1:11" x14ac:dyDescent="0.25">
      <c r="A356" t="s">
        <v>1782</v>
      </c>
      <c r="B356" s="2">
        <v>45412</v>
      </c>
      <c r="C356" t="s">
        <v>258</v>
      </c>
      <c r="D356" t="s">
        <v>1012</v>
      </c>
      <c r="E356">
        <v>5</v>
      </c>
      <c r="F356">
        <v>40</v>
      </c>
      <c r="G356">
        <v>15.01</v>
      </c>
      <c r="H356" t="s">
        <v>1123</v>
      </c>
      <c r="I356" t="s">
        <v>1322</v>
      </c>
      <c r="J356" t="s">
        <v>1415</v>
      </c>
      <c r="K356" t="s">
        <v>1427</v>
      </c>
    </row>
    <row r="357" spans="1:11" x14ac:dyDescent="0.25">
      <c r="A357" t="s">
        <v>1783</v>
      </c>
      <c r="B357" s="2">
        <v>45412</v>
      </c>
      <c r="C357" t="s">
        <v>615</v>
      </c>
      <c r="D357" t="s">
        <v>1013</v>
      </c>
      <c r="E357">
        <v>3</v>
      </c>
      <c r="F357">
        <v>25</v>
      </c>
      <c r="G357">
        <v>5.86</v>
      </c>
      <c r="H357" t="s">
        <v>1121</v>
      </c>
      <c r="I357" t="s">
        <v>1320</v>
      </c>
      <c r="J357" t="s">
        <v>1414</v>
      </c>
      <c r="K357" t="s">
        <v>1422</v>
      </c>
    </row>
    <row r="358" spans="1:11" x14ac:dyDescent="0.25">
      <c r="A358" t="s">
        <v>1784</v>
      </c>
      <c r="B358" s="2">
        <v>45412</v>
      </c>
      <c r="C358" t="s">
        <v>958</v>
      </c>
      <c r="D358" t="s">
        <v>1012</v>
      </c>
      <c r="E358">
        <v>10</v>
      </c>
      <c r="F358">
        <v>40</v>
      </c>
      <c r="G358">
        <v>12.59</v>
      </c>
      <c r="H358" t="s">
        <v>1026</v>
      </c>
      <c r="I358" t="s">
        <v>1225</v>
      </c>
      <c r="J358" t="s">
        <v>1414</v>
      </c>
      <c r="K358" t="s">
        <v>1419</v>
      </c>
    </row>
    <row r="359" spans="1:11" x14ac:dyDescent="0.25">
      <c r="A359" t="s">
        <v>1785</v>
      </c>
      <c r="B359" s="2">
        <v>45414</v>
      </c>
      <c r="C359" t="s">
        <v>222</v>
      </c>
      <c r="D359" t="s">
        <v>1013</v>
      </c>
      <c r="E359">
        <v>2</v>
      </c>
      <c r="F359">
        <v>25</v>
      </c>
      <c r="G359">
        <v>8.5500000000000007</v>
      </c>
      <c r="H359" t="s">
        <v>1146</v>
      </c>
      <c r="I359" t="s">
        <v>1345</v>
      </c>
      <c r="J359" t="s">
        <v>1416</v>
      </c>
      <c r="K359" t="s">
        <v>1426</v>
      </c>
    </row>
    <row r="360" spans="1:11" x14ac:dyDescent="0.25">
      <c r="A360" t="s">
        <v>1786</v>
      </c>
      <c r="B360" s="2">
        <v>45414</v>
      </c>
      <c r="C360" t="s">
        <v>569</v>
      </c>
      <c r="D360" t="s">
        <v>1011</v>
      </c>
      <c r="E360">
        <v>1</v>
      </c>
      <c r="F360">
        <v>12</v>
      </c>
      <c r="G360">
        <v>3</v>
      </c>
      <c r="H360" t="s">
        <v>1209</v>
      </c>
      <c r="I360" t="s">
        <v>1408</v>
      </c>
      <c r="J360" t="s">
        <v>1414</v>
      </c>
      <c r="K360" t="s">
        <v>1422</v>
      </c>
    </row>
    <row r="361" spans="1:11" x14ac:dyDescent="0.25">
      <c r="A361" t="s">
        <v>1787</v>
      </c>
      <c r="B361" s="2">
        <v>45414</v>
      </c>
      <c r="C361" t="s">
        <v>585</v>
      </c>
      <c r="D361" t="s">
        <v>1015</v>
      </c>
      <c r="E361">
        <v>7</v>
      </c>
      <c r="F361">
        <v>10</v>
      </c>
      <c r="G361">
        <v>3.06</v>
      </c>
      <c r="H361" t="s">
        <v>1210</v>
      </c>
      <c r="I361" t="s">
        <v>1409</v>
      </c>
      <c r="J361" t="s">
        <v>1414</v>
      </c>
      <c r="K361" t="s">
        <v>1426</v>
      </c>
    </row>
    <row r="362" spans="1:11" x14ac:dyDescent="0.25">
      <c r="A362" t="s">
        <v>1788</v>
      </c>
      <c r="B362" s="2">
        <v>45414</v>
      </c>
      <c r="C362" t="s">
        <v>751</v>
      </c>
      <c r="D362" t="s">
        <v>1012</v>
      </c>
      <c r="E362">
        <v>9</v>
      </c>
      <c r="F362">
        <v>40</v>
      </c>
      <c r="G362">
        <v>9.19</v>
      </c>
      <c r="H362" t="s">
        <v>1088</v>
      </c>
      <c r="I362" t="s">
        <v>1287</v>
      </c>
      <c r="J362" t="s">
        <v>1416</v>
      </c>
      <c r="K362" t="s">
        <v>1418</v>
      </c>
    </row>
    <row r="363" spans="1:11" x14ac:dyDescent="0.25">
      <c r="A363" t="s">
        <v>1789</v>
      </c>
      <c r="B363" s="2">
        <v>45415</v>
      </c>
      <c r="C363" t="s">
        <v>327</v>
      </c>
      <c r="D363" t="s">
        <v>1012</v>
      </c>
      <c r="E363">
        <v>4</v>
      </c>
      <c r="F363">
        <v>40</v>
      </c>
      <c r="G363">
        <v>13.33</v>
      </c>
      <c r="H363" t="s">
        <v>1173</v>
      </c>
      <c r="I363" t="s">
        <v>1372</v>
      </c>
      <c r="J363" t="s">
        <v>1417</v>
      </c>
      <c r="K363" t="s">
        <v>1426</v>
      </c>
    </row>
    <row r="364" spans="1:11" x14ac:dyDescent="0.25">
      <c r="A364" t="s">
        <v>1790</v>
      </c>
      <c r="B364" s="2">
        <v>45415</v>
      </c>
      <c r="C364" t="s">
        <v>342</v>
      </c>
      <c r="D364" t="s">
        <v>1012</v>
      </c>
      <c r="E364">
        <v>1</v>
      </c>
      <c r="F364">
        <v>40</v>
      </c>
      <c r="G364">
        <v>9.2200000000000006</v>
      </c>
      <c r="H364" t="s">
        <v>1081</v>
      </c>
      <c r="I364" t="s">
        <v>1280</v>
      </c>
      <c r="J364" t="s">
        <v>1414</v>
      </c>
      <c r="K364" t="s">
        <v>1419</v>
      </c>
    </row>
    <row r="365" spans="1:11" x14ac:dyDescent="0.25">
      <c r="A365" t="s">
        <v>1791</v>
      </c>
      <c r="B365" s="2">
        <v>45415</v>
      </c>
      <c r="C365" t="s">
        <v>382</v>
      </c>
      <c r="D365" t="s">
        <v>1013</v>
      </c>
      <c r="E365">
        <v>7</v>
      </c>
      <c r="F365">
        <v>25</v>
      </c>
      <c r="G365">
        <v>7.3</v>
      </c>
      <c r="H365" t="s">
        <v>1183</v>
      </c>
      <c r="I365" t="s">
        <v>1382</v>
      </c>
      <c r="J365" t="s">
        <v>1414</v>
      </c>
      <c r="K365" t="s">
        <v>1419</v>
      </c>
    </row>
    <row r="366" spans="1:11" x14ac:dyDescent="0.25">
      <c r="A366" t="s">
        <v>1792</v>
      </c>
      <c r="B366" s="2">
        <v>45415</v>
      </c>
      <c r="C366" t="s">
        <v>452</v>
      </c>
      <c r="D366" t="s">
        <v>1014</v>
      </c>
      <c r="E366">
        <v>4</v>
      </c>
      <c r="F366">
        <v>15</v>
      </c>
      <c r="G366">
        <v>3.43</v>
      </c>
      <c r="H366" t="s">
        <v>1183</v>
      </c>
      <c r="I366" t="s">
        <v>1382</v>
      </c>
      <c r="J366" t="s">
        <v>1414</v>
      </c>
      <c r="K366" t="s">
        <v>1421</v>
      </c>
    </row>
    <row r="367" spans="1:11" x14ac:dyDescent="0.25">
      <c r="A367" t="s">
        <v>1793</v>
      </c>
      <c r="B367" s="2">
        <v>45415</v>
      </c>
      <c r="C367" t="s">
        <v>567</v>
      </c>
      <c r="D367" t="s">
        <v>1011</v>
      </c>
      <c r="E367">
        <v>5</v>
      </c>
      <c r="F367">
        <v>12</v>
      </c>
      <c r="G367">
        <v>3.51</v>
      </c>
      <c r="H367" t="s">
        <v>1034</v>
      </c>
      <c r="I367" t="s">
        <v>1233</v>
      </c>
      <c r="J367" t="s">
        <v>1415</v>
      </c>
      <c r="K367" t="s">
        <v>1421</v>
      </c>
    </row>
    <row r="368" spans="1:11" x14ac:dyDescent="0.25">
      <c r="A368" t="s">
        <v>1794</v>
      </c>
      <c r="B368" s="2">
        <v>45415</v>
      </c>
      <c r="C368" t="s">
        <v>846</v>
      </c>
      <c r="D368" t="s">
        <v>1014</v>
      </c>
      <c r="E368">
        <v>8</v>
      </c>
      <c r="G368">
        <v>4.95</v>
      </c>
      <c r="H368" t="s">
        <v>1031</v>
      </c>
      <c r="I368" t="s">
        <v>1230</v>
      </c>
      <c r="J368" t="s">
        <v>1414</v>
      </c>
      <c r="K368" t="s">
        <v>1427</v>
      </c>
    </row>
    <row r="369" spans="1:11" x14ac:dyDescent="0.25">
      <c r="A369" t="s">
        <v>1795</v>
      </c>
      <c r="B369" s="2">
        <v>45416</v>
      </c>
      <c r="C369" t="s">
        <v>40</v>
      </c>
      <c r="D369" t="s">
        <v>1014</v>
      </c>
      <c r="E369">
        <v>1</v>
      </c>
      <c r="F369">
        <v>15</v>
      </c>
      <c r="G369">
        <v>4</v>
      </c>
      <c r="H369" t="s">
        <v>1020</v>
      </c>
      <c r="I369" t="s">
        <v>1219</v>
      </c>
      <c r="J369" t="s">
        <v>1415</v>
      </c>
      <c r="K369" t="s">
        <v>1424</v>
      </c>
    </row>
    <row r="370" spans="1:11" x14ac:dyDescent="0.25">
      <c r="A370" t="s">
        <v>1796</v>
      </c>
      <c r="B370" s="2">
        <v>45416</v>
      </c>
      <c r="C370" t="s">
        <v>740</v>
      </c>
      <c r="D370" t="s">
        <v>1013</v>
      </c>
      <c r="E370">
        <v>3</v>
      </c>
      <c r="F370">
        <v>25</v>
      </c>
      <c r="G370">
        <v>5.04</v>
      </c>
      <c r="H370" t="s">
        <v>1146</v>
      </c>
      <c r="I370" t="s">
        <v>1345</v>
      </c>
      <c r="J370" t="s">
        <v>1416</v>
      </c>
      <c r="K370" t="s">
        <v>1424</v>
      </c>
    </row>
    <row r="371" spans="1:11" x14ac:dyDescent="0.25">
      <c r="A371" t="s">
        <v>1797</v>
      </c>
      <c r="B371" s="2">
        <v>45416</v>
      </c>
      <c r="C371" t="s">
        <v>835</v>
      </c>
      <c r="D371" t="s">
        <v>1011</v>
      </c>
      <c r="E371">
        <v>3</v>
      </c>
      <c r="F371">
        <v>12</v>
      </c>
      <c r="G371">
        <v>4.1399999999999997</v>
      </c>
      <c r="H371" t="s">
        <v>1038</v>
      </c>
      <c r="I371" t="s">
        <v>1237</v>
      </c>
      <c r="J371" t="s">
        <v>1416</v>
      </c>
      <c r="K371" t="s">
        <v>1425</v>
      </c>
    </row>
    <row r="372" spans="1:11" x14ac:dyDescent="0.25">
      <c r="A372" t="s">
        <v>1798</v>
      </c>
      <c r="B372" s="2">
        <v>45417</v>
      </c>
      <c r="C372" t="s">
        <v>168</v>
      </c>
      <c r="D372" t="s">
        <v>1013</v>
      </c>
      <c r="E372">
        <v>2</v>
      </c>
      <c r="F372">
        <v>25</v>
      </c>
      <c r="G372">
        <v>9.6199999999999992</v>
      </c>
      <c r="H372" t="s">
        <v>1037</v>
      </c>
      <c r="I372" t="s">
        <v>1236</v>
      </c>
      <c r="J372" t="s">
        <v>1416</v>
      </c>
      <c r="K372" t="s">
        <v>1422</v>
      </c>
    </row>
    <row r="373" spans="1:11" x14ac:dyDescent="0.25">
      <c r="A373" t="s">
        <v>1799</v>
      </c>
      <c r="B373" s="2">
        <v>45417</v>
      </c>
      <c r="C373" t="s">
        <v>302</v>
      </c>
      <c r="D373" t="s">
        <v>1012</v>
      </c>
      <c r="E373">
        <v>6</v>
      </c>
      <c r="F373">
        <v>40</v>
      </c>
      <c r="G373">
        <v>15.42</v>
      </c>
      <c r="H373" t="s">
        <v>1043</v>
      </c>
      <c r="I373" t="s">
        <v>1242</v>
      </c>
      <c r="J373" t="s">
        <v>1414</v>
      </c>
      <c r="K373" t="s">
        <v>1422</v>
      </c>
    </row>
    <row r="374" spans="1:11" x14ac:dyDescent="0.25">
      <c r="A374" t="s">
        <v>1800</v>
      </c>
      <c r="B374" s="2">
        <v>45417</v>
      </c>
      <c r="C374" t="s">
        <v>610</v>
      </c>
      <c r="D374" t="s">
        <v>1015</v>
      </c>
      <c r="E374">
        <v>9</v>
      </c>
      <c r="G374">
        <v>3.13</v>
      </c>
      <c r="H374" t="s">
        <v>1121</v>
      </c>
      <c r="I374" t="s">
        <v>1320</v>
      </c>
      <c r="J374" t="s">
        <v>1414</v>
      </c>
      <c r="K374" t="s">
        <v>1419</v>
      </c>
    </row>
    <row r="375" spans="1:11" x14ac:dyDescent="0.25">
      <c r="A375" t="s">
        <v>1801</v>
      </c>
      <c r="B375" s="2">
        <v>45417</v>
      </c>
      <c r="C375" t="s">
        <v>972</v>
      </c>
      <c r="D375" t="s">
        <v>1014</v>
      </c>
      <c r="E375">
        <v>10</v>
      </c>
      <c r="F375">
        <v>15</v>
      </c>
      <c r="G375">
        <v>4.9800000000000004</v>
      </c>
      <c r="H375" t="s">
        <v>1034</v>
      </c>
      <c r="I375" t="s">
        <v>1233</v>
      </c>
      <c r="J375" t="s">
        <v>1414</v>
      </c>
      <c r="K375" t="s">
        <v>1419</v>
      </c>
    </row>
    <row r="376" spans="1:11" x14ac:dyDescent="0.25">
      <c r="A376" t="s">
        <v>1802</v>
      </c>
      <c r="B376" s="2">
        <v>45418</v>
      </c>
      <c r="C376" t="s">
        <v>44</v>
      </c>
      <c r="D376" t="s">
        <v>1013</v>
      </c>
      <c r="E376">
        <v>2</v>
      </c>
      <c r="F376">
        <v>25</v>
      </c>
      <c r="G376">
        <v>9.25</v>
      </c>
      <c r="H376" t="s">
        <v>1043</v>
      </c>
      <c r="I376" t="s">
        <v>1242</v>
      </c>
      <c r="J376" t="s">
        <v>1415</v>
      </c>
      <c r="K376" t="s">
        <v>1420</v>
      </c>
    </row>
    <row r="377" spans="1:11" x14ac:dyDescent="0.25">
      <c r="A377" t="s">
        <v>1803</v>
      </c>
      <c r="B377" s="2">
        <v>45419</v>
      </c>
      <c r="C377" t="s">
        <v>12</v>
      </c>
      <c r="D377" t="s">
        <v>1011</v>
      </c>
      <c r="E377">
        <v>4</v>
      </c>
      <c r="F377">
        <v>12</v>
      </c>
      <c r="G377">
        <v>4.3600000000000003</v>
      </c>
      <c r="H377" t="s">
        <v>1017</v>
      </c>
      <c r="I377" t="s">
        <v>1216</v>
      </c>
      <c r="J377" t="s">
        <v>1415</v>
      </c>
      <c r="K377" t="s">
        <v>1419</v>
      </c>
    </row>
    <row r="378" spans="1:11" x14ac:dyDescent="0.25">
      <c r="A378" t="s">
        <v>1804</v>
      </c>
      <c r="B378" s="2">
        <v>45419</v>
      </c>
      <c r="C378" t="s">
        <v>71</v>
      </c>
      <c r="D378" t="s">
        <v>1013</v>
      </c>
      <c r="E378">
        <v>7</v>
      </c>
      <c r="F378">
        <v>25</v>
      </c>
      <c r="G378">
        <v>5.6</v>
      </c>
      <c r="H378" t="s">
        <v>1065</v>
      </c>
      <c r="I378" t="s">
        <v>1264</v>
      </c>
      <c r="J378" t="s">
        <v>1416</v>
      </c>
      <c r="K378" t="s">
        <v>1420</v>
      </c>
    </row>
    <row r="379" spans="1:11" x14ac:dyDescent="0.25">
      <c r="A379" t="s">
        <v>1805</v>
      </c>
      <c r="B379" s="2">
        <v>45419</v>
      </c>
      <c r="C379" t="s">
        <v>584</v>
      </c>
      <c r="D379" t="s">
        <v>1012</v>
      </c>
      <c r="E379">
        <v>5</v>
      </c>
      <c r="F379">
        <v>40</v>
      </c>
      <c r="G379">
        <v>13.32</v>
      </c>
      <c r="H379" t="s">
        <v>1125</v>
      </c>
      <c r="I379" t="s">
        <v>1324</v>
      </c>
      <c r="J379" t="s">
        <v>1414</v>
      </c>
      <c r="K379" t="s">
        <v>1421</v>
      </c>
    </row>
    <row r="380" spans="1:11" x14ac:dyDescent="0.25">
      <c r="A380" t="s">
        <v>1806</v>
      </c>
      <c r="B380" s="2">
        <v>45419</v>
      </c>
      <c r="C380" t="s">
        <v>633</v>
      </c>
      <c r="D380" t="s">
        <v>1011</v>
      </c>
      <c r="E380">
        <v>7</v>
      </c>
      <c r="F380">
        <v>12</v>
      </c>
      <c r="G380">
        <v>3.05</v>
      </c>
      <c r="H380" t="s">
        <v>1078</v>
      </c>
      <c r="I380" t="s">
        <v>1277</v>
      </c>
      <c r="J380" t="s">
        <v>1414</v>
      </c>
      <c r="K380" t="s">
        <v>1423</v>
      </c>
    </row>
    <row r="381" spans="1:11" x14ac:dyDescent="0.25">
      <c r="A381" t="s">
        <v>1807</v>
      </c>
      <c r="B381" s="2">
        <v>45420</v>
      </c>
      <c r="C381" t="s">
        <v>41</v>
      </c>
      <c r="D381" t="s">
        <v>1011</v>
      </c>
      <c r="E381">
        <v>8</v>
      </c>
      <c r="F381">
        <v>12</v>
      </c>
      <c r="G381">
        <v>4.37</v>
      </c>
      <c r="H381" t="s">
        <v>1041</v>
      </c>
      <c r="I381" t="s">
        <v>1240</v>
      </c>
      <c r="J381" t="s">
        <v>1414</v>
      </c>
      <c r="K381" t="s">
        <v>1418</v>
      </c>
    </row>
    <row r="382" spans="1:11" x14ac:dyDescent="0.25">
      <c r="A382" t="s">
        <v>1808</v>
      </c>
      <c r="B382" s="2">
        <v>45420</v>
      </c>
      <c r="C382" t="s">
        <v>613</v>
      </c>
      <c r="D382" t="s">
        <v>1012</v>
      </c>
      <c r="E382">
        <v>2</v>
      </c>
      <c r="F382">
        <v>40</v>
      </c>
      <c r="G382">
        <v>13.53</v>
      </c>
      <c r="H382" t="s">
        <v>1126</v>
      </c>
      <c r="I382" t="s">
        <v>1325</v>
      </c>
      <c r="J382" t="s">
        <v>1414</v>
      </c>
      <c r="K382" t="s">
        <v>1421</v>
      </c>
    </row>
    <row r="383" spans="1:11" x14ac:dyDescent="0.25">
      <c r="A383" t="s">
        <v>1809</v>
      </c>
      <c r="B383" s="2">
        <v>45421</v>
      </c>
      <c r="C383" t="s">
        <v>255</v>
      </c>
      <c r="D383" t="s">
        <v>1012</v>
      </c>
      <c r="E383">
        <v>6</v>
      </c>
      <c r="F383">
        <v>40</v>
      </c>
      <c r="G383">
        <v>13.84</v>
      </c>
      <c r="H383" t="s">
        <v>1024</v>
      </c>
      <c r="I383" t="s">
        <v>1223</v>
      </c>
      <c r="J383" t="s">
        <v>1414</v>
      </c>
      <c r="K383" t="s">
        <v>1426</v>
      </c>
    </row>
    <row r="384" spans="1:11" x14ac:dyDescent="0.25">
      <c r="A384" t="s">
        <v>1810</v>
      </c>
      <c r="B384" s="2">
        <v>45421</v>
      </c>
      <c r="C384" t="s">
        <v>739</v>
      </c>
      <c r="D384" t="s">
        <v>1015</v>
      </c>
      <c r="E384">
        <v>8</v>
      </c>
      <c r="F384">
        <v>10</v>
      </c>
      <c r="G384">
        <v>2.94</v>
      </c>
      <c r="H384" t="s">
        <v>1078</v>
      </c>
      <c r="I384" t="s">
        <v>1277</v>
      </c>
      <c r="J384" t="s">
        <v>1414</v>
      </c>
      <c r="K384" t="s">
        <v>1425</v>
      </c>
    </row>
    <row r="385" spans="1:11" x14ac:dyDescent="0.25">
      <c r="A385" t="s">
        <v>1811</v>
      </c>
      <c r="B385" s="2">
        <v>45421</v>
      </c>
      <c r="C385" t="s">
        <v>965</v>
      </c>
      <c r="D385" t="s">
        <v>1015</v>
      </c>
      <c r="E385">
        <v>9</v>
      </c>
      <c r="F385">
        <v>10</v>
      </c>
      <c r="G385">
        <v>2.81</v>
      </c>
      <c r="H385" t="s">
        <v>1037</v>
      </c>
      <c r="I385" t="s">
        <v>1236</v>
      </c>
      <c r="J385" t="s">
        <v>1416</v>
      </c>
      <c r="K385" t="s">
        <v>1420</v>
      </c>
    </row>
    <row r="386" spans="1:11" x14ac:dyDescent="0.25">
      <c r="A386" t="s">
        <v>1812</v>
      </c>
      <c r="B386" s="2">
        <v>45422</v>
      </c>
      <c r="C386" t="s">
        <v>157</v>
      </c>
      <c r="D386" t="s">
        <v>1014</v>
      </c>
      <c r="E386">
        <v>1</v>
      </c>
      <c r="F386">
        <v>15</v>
      </c>
      <c r="G386">
        <v>4.66</v>
      </c>
      <c r="H386" t="s">
        <v>1107</v>
      </c>
      <c r="I386" t="s">
        <v>1306</v>
      </c>
      <c r="J386" t="s">
        <v>1414</v>
      </c>
      <c r="K386" t="s">
        <v>1422</v>
      </c>
    </row>
    <row r="387" spans="1:11" x14ac:dyDescent="0.25">
      <c r="A387" t="s">
        <v>1813</v>
      </c>
      <c r="B387" s="2">
        <v>45422</v>
      </c>
      <c r="C387" t="s">
        <v>570</v>
      </c>
      <c r="D387" t="s">
        <v>1015</v>
      </c>
      <c r="E387">
        <v>3</v>
      </c>
      <c r="F387">
        <v>10</v>
      </c>
      <c r="G387">
        <v>3.02</v>
      </c>
      <c r="H387" t="s">
        <v>1173</v>
      </c>
      <c r="I387" t="s">
        <v>1372</v>
      </c>
      <c r="J387" t="s">
        <v>1416</v>
      </c>
      <c r="K387" t="s">
        <v>1425</v>
      </c>
    </row>
    <row r="388" spans="1:11" x14ac:dyDescent="0.25">
      <c r="A388" t="s">
        <v>1814</v>
      </c>
      <c r="B388" s="2">
        <v>45422</v>
      </c>
      <c r="C388" t="s">
        <v>768</v>
      </c>
      <c r="D388" t="s">
        <v>1014</v>
      </c>
      <c r="E388">
        <v>6</v>
      </c>
      <c r="F388">
        <v>15</v>
      </c>
      <c r="G388">
        <v>4.8</v>
      </c>
      <c r="H388" t="s">
        <v>1169</v>
      </c>
      <c r="I388" t="s">
        <v>1368</v>
      </c>
      <c r="J388" t="s">
        <v>1414</v>
      </c>
      <c r="K388" t="s">
        <v>1427</v>
      </c>
    </row>
    <row r="389" spans="1:11" x14ac:dyDescent="0.25">
      <c r="A389" t="s">
        <v>1815</v>
      </c>
      <c r="B389" s="2">
        <v>45422</v>
      </c>
      <c r="C389" t="s">
        <v>944</v>
      </c>
      <c r="D389" t="s">
        <v>1012</v>
      </c>
      <c r="E389">
        <v>9</v>
      </c>
      <c r="G389">
        <v>14.62</v>
      </c>
      <c r="H389" t="s">
        <v>1142</v>
      </c>
      <c r="I389" t="s">
        <v>1341</v>
      </c>
      <c r="J389" t="s">
        <v>1417</v>
      </c>
      <c r="K389" t="s">
        <v>1425</v>
      </c>
    </row>
    <row r="390" spans="1:11" x14ac:dyDescent="0.25">
      <c r="A390" t="s">
        <v>1816</v>
      </c>
      <c r="B390" s="2">
        <v>45423</v>
      </c>
      <c r="C390" t="s">
        <v>137</v>
      </c>
      <c r="D390" t="s">
        <v>1014</v>
      </c>
      <c r="E390">
        <v>5</v>
      </c>
      <c r="F390">
        <v>15</v>
      </c>
      <c r="G390">
        <v>3.13</v>
      </c>
      <c r="H390" t="s">
        <v>1112</v>
      </c>
      <c r="I390" t="s">
        <v>1311</v>
      </c>
      <c r="J390" t="s">
        <v>1414</v>
      </c>
      <c r="K390" t="s">
        <v>1425</v>
      </c>
    </row>
    <row r="391" spans="1:11" x14ac:dyDescent="0.25">
      <c r="A391" t="s">
        <v>1817</v>
      </c>
      <c r="B391" s="2">
        <v>45423</v>
      </c>
      <c r="C391" t="s">
        <v>223</v>
      </c>
      <c r="D391" t="s">
        <v>1012</v>
      </c>
      <c r="E391">
        <v>1</v>
      </c>
      <c r="F391">
        <v>40</v>
      </c>
      <c r="G391">
        <v>13.15</v>
      </c>
      <c r="H391" t="s">
        <v>1121</v>
      </c>
      <c r="I391" t="s">
        <v>1320</v>
      </c>
      <c r="J391" t="s">
        <v>1414</v>
      </c>
      <c r="K391" t="s">
        <v>1418</v>
      </c>
    </row>
    <row r="392" spans="1:11" x14ac:dyDescent="0.25">
      <c r="A392" t="s">
        <v>1818</v>
      </c>
      <c r="B392" s="2">
        <v>45423</v>
      </c>
      <c r="C392" t="s">
        <v>563</v>
      </c>
      <c r="D392" t="s">
        <v>1012</v>
      </c>
      <c r="E392">
        <v>9</v>
      </c>
      <c r="F392">
        <v>40</v>
      </c>
      <c r="G392">
        <v>13.31</v>
      </c>
      <c r="H392" t="s">
        <v>1081</v>
      </c>
      <c r="I392" t="s">
        <v>1280</v>
      </c>
      <c r="J392" t="s">
        <v>1414</v>
      </c>
      <c r="K392" t="s">
        <v>1424</v>
      </c>
    </row>
    <row r="393" spans="1:11" x14ac:dyDescent="0.25">
      <c r="A393" t="s">
        <v>1819</v>
      </c>
      <c r="B393" s="2">
        <v>45423</v>
      </c>
      <c r="C393" t="s">
        <v>745</v>
      </c>
      <c r="D393" t="s">
        <v>1011</v>
      </c>
      <c r="E393">
        <v>10</v>
      </c>
      <c r="F393">
        <v>12</v>
      </c>
      <c r="G393">
        <v>3.7</v>
      </c>
      <c r="H393" t="s">
        <v>1112</v>
      </c>
      <c r="I393" t="s">
        <v>1311</v>
      </c>
      <c r="J393" t="s">
        <v>1414</v>
      </c>
      <c r="K393" t="s">
        <v>1422</v>
      </c>
    </row>
    <row r="394" spans="1:11" x14ac:dyDescent="0.25">
      <c r="A394" t="s">
        <v>1820</v>
      </c>
      <c r="B394" s="2">
        <v>45423</v>
      </c>
      <c r="C394" t="s">
        <v>953</v>
      </c>
      <c r="D394" t="s">
        <v>1015</v>
      </c>
      <c r="E394">
        <v>3</v>
      </c>
      <c r="F394">
        <v>10</v>
      </c>
      <c r="G394">
        <v>3.68</v>
      </c>
      <c r="H394" t="s">
        <v>1076</v>
      </c>
      <c r="I394" t="s">
        <v>1275</v>
      </c>
      <c r="J394" t="s">
        <v>1415</v>
      </c>
      <c r="K394" t="s">
        <v>1427</v>
      </c>
    </row>
    <row r="395" spans="1:11" x14ac:dyDescent="0.25">
      <c r="A395" t="s">
        <v>1821</v>
      </c>
      <c r="B395" s="2">
        <v>45424</v>
      </c>
      <c r="C395" t="s">
        <v>48</v>
      </c>
      <c r="D395" t="s">
        <v>1013</v>
      </c>
      <c r="E395">
        <v>7</v>
      </c>
      <c r="F395">
        <v>25</v>
      </c>
      <c r="G395">
        <v>5.54</v>
      </c>
      <c r="H395" t="s">
        <v>1047</v>
      </c>
      <c r="I395" t="s">
        <v>1246</v>
      </c>
      <c r="J395" t="s">
        <v>1414</v>
      </c>
      <c r="K395" t="s">
        <v>1418</v>
      </c>
    </row>
    <row r="396" spans="1:11" x14ac:dyDescent="0.25">
      <c r="A396" t="s">
        <v>1822</v>
      </c>
      <c r="B396" s="2">
        <v>45424</v>
      </c>
      <c r="C396" t="s">
        <v>200</v>
      </c>
      <c r="D396" t="s">
        <v>1014</v>
      </c>
      <c r="E396">
        <v>2</v>
      </c>
      <c r="F396">
        <v>15</v>
      </c>
      <c r="G396">
        <v>3.17</v>
      </c>
      <c r="H396" t="s">
        <v>1066</v>
      </c>
      <c r="I396" t="s">
        <v>1265</v>
      </c>
      <c r="J396" t="s">
        <v>1416</v>
      </c>
      <c r="K396" t="s">
        <v>1426</v>
      </c>
    </row>
    <row r="397" spans="1:11" x14ac:dyDescent="0.25">
      <c r="A397" t="s">
        <v>1823</v>
      </c>
      <c r="B397" s="2">
        <v>45424</v>
      </c>
      <c r="C397" t="s">
        <v>769</v>
      </c>
      <c r="D397" t="s">
        <v>1012</v>
      </c>
      <c r="E397">
        <v>8</v>
      </c>
      <c r="G397">
        <v>13.61</v>
      </c>
      <c r="H397" t="s">
        <v>1146</v>
      </c>
      <c r="I397" t="s">
        <v>1345</v>
      </c>
      <c r="J397" t="s">
        <v>1414</v>
      </c>
      <c r="K397" t="s">
        <v>1427</v>
      </c>
    </row>
    <row r="398" spans="1:11" x14ac:dyDescent="0.25">
      <c r="A398" t="s">
        <v>1824</v>
      </c>
      <c r="B398" s="2">
        <v>45425</v>
      </c>
      <c r="C398" t="s">
        <v>275</v>
      </c>
      <c r="D398" t="s">
        <v>1015</v>
      </c>
      <c r="E398">
        <v>1</v>
      </c>
      <c r="F398">
        <v>10</v>
      </c>
      <c r="G398">
        <v>2.72</v>
      </c>
      <c r="H398" t="s">
        <v>1026</v>
      </c>
      <c r="I398" t="s">
        <v>1225</v>
      </c>
      <c r="J398" t="s">
        <v>1417</v>
      </c>
      <c r="K398" t="s">
        <v>1418</v>
      </c>
    </row>
    <row r="399" spans="1:11" x14ac:dyDescent="0.25">
      <c r="A399" t="s">
        <v>1825</v>
      </c>
      <c r="B399" s="2">
        <v>45425</v>
      </c>
      <c r="C399" t="s">
        <v>483</v>
      </c>
      <c r="D399" t="s">
        <v>1015</v>
      </c>
      <c r="E399">
        <v>3</v>
      </c>
      <c r="F399">
        <v>10</v>
      </c>
      <c r="G399">
        <v>2.4700000000000002</v>
      </c>
      <c r="H399" t="s">
        <v>1020</v>
      </c>
      <c r="I399" t="s">
        <v>1219</v>
      </c>
      <c r="J399" t="s">
        <v>1414</v>
      </c>
      <c r="K399" t="s">
        <v>1420</v>
      </c>
    </row>
    <row r="400" spans="1:11" x14ac:dyDescent="0.25">
      <c r="A400" t="s">
        <v>1826</v>
      </c>
      <c r="B400" s="2">
        <v>45426</v>
      </c>
      <c r="C400" t="s">
        <v>73</v>
      </c>
      <c r="D400" t="s">
        <v>1014</v>
      </c>
      <c r="E400">
        <v>6</v>
      </c>
      <c r="F400">
        <v>15</v>
      </c>
      <c r="G400">
        <v>5.97</v>
      </c>
      <c r="H400" t="s">
        <v>1067</v>
      </c>
      <c r="I400" t="s">
        <v>1266</v>
      </c>
      <c r="J400" t="s">
        <v>1414</v>
      </c>
      <c r="K400" t="s">
        <v>1426</v>
      </c>
    </row>
    <row r="401" spans="1:11" x14ac:dyDescent="0.25">
      <c r="A401" t="s">
        <v>1827</v>
      </c>
      <c r="B401" s="2">
        <v>45426</v>
      </c>
      <c r="C401" t="s">
        <v>586</v>
      </c>
      <c r="D401" t="s">
        <v>1015</v>
      </c>
      <c r="E401">
        <v>7</v>
      </c>
      <c r="F401">
        <v>10</v>
      </c>
      <c r="G401">
        <v>2.06</v>
      </c>
      <c r="H401" t="s">
        <v>1157</v>
      </c>
      <c r="I401" t="s">
        <v>1356</v>
      </c>
      <c r="J401" t="s">
        <v>1414</v>
      </c>
      <c r="K401" t="s">
        <v>1419</v>
      </c>
    </row>
    <row r="402" spans="1:11" x14ac:dyDescent="0.25">
      <c r="A402" t="s">
        <v>1828</v>
      </c>
      <c r="B402" s="2">
        <v>45426</v>
      </c>
      <c r="C402" t="s">
        <v>601</v>
      </c>
      <c r="D402" t="s">
        <v>1012</v>
      </c>
      <c r="E402">
        <v>3</v>
      </c>
      <c r="F402">
        <v>40</v>
      </c>
      <c r="G402">
        <v>9.3000000000000007</v>
      </c>
      <c r="H402" t="s">
        <v>1087</v>
      </c>
      <c r="I402" t="s">
        <v>1286</v>
      </c>
      <c r="J402" t="s">
        <v>1414</v>
      </c>
      <c r="K402" t="s">
        <v>1422</v>
      </c>
    </row>
    <row r="403" spans="1:11" x14ac:dyDescent="0.25">
      <c r="A403" t="s">
        <v>1829</v>
      </c>
      <c r="B403" s="2">
        <v>45426</v>
      </c>
      <c r="C403" t="s">
        <v>800</v>
      </c>
      <c r="D403" t="s">
        <v>1013</v>
      </c>
      <c r="E403">
        <v>9</v>
      </c>
      <c r="F403">
        <v>25</v>
      </c>
      <c r="G403">
        <v>8.24</v>
      </c>
      <c r="H403" t="s">
        <v>1076</v>
      </c>
      <c r="I403" t="s">
        <v>1275</v>
      </c>
      <c r="J403" t="s">
        <v>1416</v>
      </c>
      <c r="K403" t="s">
        <v>1421</v>
      </c>
    </row>
    <row r="404" spans="1:11" x14ac:dyDescent="0.25">
      <c r="A404" t="s">
        <v>1830</v>
      </c>
      <c r="B404" s="2">
        <v>45426</v>
      </c>
      <c r="C404" t="s">
        <v>837</v>
      </c>
      <c r="D404" t="s">
        <v>1011</v>
      </c>
      <c r="E404">
        <v>2</v>
      </c>
      <c r="F404">
        <v>12</v>
      </c>
      <c r="G404">
        <v>4.5999999999999996</v>
      </c>
      <c r="H404" t="s">
        <v>1082</v>
      </c>
      <c r="I404" t="s">
        <v>1281</v>
      </c>
      <c r="J404" t="s">
        <v>1414</v>
      </c>
      <c r="K404" t="s">
        <v>1420</v>
      </c>
    </row>
    <row r="405" spans="1:11" x14ac:dyDescent="0.25">
      <c r="A405" t="s">
        <v>1831</v>
      </c>
      <c r="B405" s="2">
        <v>45426</v>
      </c>
      <c r="C405" t="s">
        <v>903</v>
      </c>
      <c r="D405" t="s">
        <v>1012</v>
      </c>
      <c r="E405">
        <v>4</v>
      </c>
      <c r="F405">
        <v>40</v>
      </c>
      <c r="G405">
        <v>14.68</v>
      </c>
      <c r="H405" t="s">
        <v>1140</v>
      </c>
      <c r="I405" t="s">
        <v>1339</v>
      </c>
      <c r="J405" t="s">
        <v>1414</v>
      </c>
      <c r="K405" t="s">
        <v>1423</v>
      </c>
    </row>
    <row r="406" spans="1:11" x14ac:dyDescent="0.25">
      <c r="A406" t="s">
        <v>1832</v>
      </c>
      <c r="B406" s="2">
        <v>45426</v>
      </c>
      <c r="C406" t="s">
        <v>976</v>
      </c>
      <c r="D406" t="s">
        <v>1011</v>
      </c>
      <c r="E406">
        <v>6</v>
      </c>
      <c r="F406">
        <v>12</v>
      </c>
      <c r="G406">
        <v>3.84</v>
      </c>
      <c r="H406" t="s">
        <v>1154</v>
      </c>
      <c r="I406" t="s">
        <v>1353</v>
      </c>
      <c r="J406" t="s">
        <v>1417</v>
      </c>
      <c r="K406" t="s">
        <v>1421</v>
      </c>
    </row>
    <row r="407" spans="1:11" x14ac:dyDescent="0.25">
      <c r="A407" t="s">
        <v>1833</v>
      </c>
      <c r="B407" s="2">
        <v>45427</v>
      </c>
      <c r="C407" t="s">
        <v>879</v>
      </c>
      <c r="D407" t="s">
        <v>1012</v>
      </c>
      <c r="E407">
        <v>7</v>
      </c>
      <c r="F407">
        <v>40</v>
      </c>
      <c r="G407">
        <v>11.74</v>
      </c>
      <c r="H407" t="s">
        <v>1154</v>
      </c>
      <c r="I407" t="s">
        <v>1353</v>
      </c>
      <c r="J407" t="s">
        <v>1414</v>
      </c>
      <c r="K407" t="s">
        <v>1422</v>
      </c>
    </row>
    <row r="408" spans="1:11" x14ac:dyDescent="0.25">
      <c r="A408" t="s">
        <v>1834</v>
      </c>
      <c r="B408" s="2">
        <v>45428</v>
      </c>
      <c r="C408" t="s">
        <v>130</v>
      </c>
      <c r="D408" t="s">
        <v>1015</v>
      </c>
      <c r="E408">
        <v>2</v>
      </c>
      <c r="F408">
        <v>10</v>
      </c>
      <c r="G408">
        <v>2.6</v>
      </c>
      <c r="H408" t="s">
        <v>1107</v>
      </c>
      <c r="I408" t="s">
        <v>1306</v>
      </c>
      <c r="J408" t="s">
        <v>1414</v>
      </c>
      <c r="K408" t="s">
        <v>1422</v>
      </c>
    </row>
    <row r="409" spans="1:11" x14ac:dyDescent="0.25">
      <c r="A409" t="s">
        <v>1835</v>
      </c>
      <c r="B409" s="2">
        <v>45428</v>
      </c>
      <c r="C409" t="s">
        <v>148</v>
      </c>
      <c r="D409" t="s">
        <v>1013</v>
      </c>
      <c r="E409">
        <v>6</v>
      </c>
      <c r="F409">
        <v>25</v>
      </c>
      <c r="G409">
        <v>5.69</v>
      </c>
      <c r="H409" t="s">
        <v>1047</v>
      </c>
      <c r="I409" t="s">
        <v>1246</v>
      </c>
      <c r="J409" t="s">
        <v>1414</v>
      </c>
      <c r="K409" t="s">
        <v>1422</v>
      </c>
    </row>
    <row r="410" spans="1:11" x14ac:dyDescent="0.25">
      <c r="A410" t="s">
        <v>1836</v>
      </c>
      <c r="B410" s="2">
        <v>45428</v>
      </c>
      <c r="C410" t="s">
        <v>565</v>
      </c>
      <c r="D410" t="s">
        <v>1013</v>
      </c>
      <c r="E410">
        <v>10</v>
      </c>
      <c r="G410">
        <v>9.11</v>
      </c>
      <c r="H410" t="s">
        <v>1017</v>
      </c>
      <c r="I410" t="s">
        <v>1216</v>
      </c>
      <c r="J410" t="s">
        <v>1414</v>
      </c>
      <c r="K410" t="s">
        <v>1420</v>
      </c>
    </row>
    <row r="411" spans="1:11" x14ac:dyDescent="0.25">
      <c r="A411" t="s">
        <v>1837</v>
      </c>
      <c r="B411" s="2">
        <v>45429</v>
      </c>
      <c r="C411" t="s">
        <v>895</v>
      </c>
      <c r="D411" t="s">
        <v>1012</v>
      </c>
      <c r="E411">
        <v>8</v>
      </c>
      <c r="F411">
        <v>40</v>
      </c>
      <c r="G411">
        <v>14.14</v>
      </c>
      <c r="H411" t="s">
        <v>1092</v>
      </c>
      <c r="I411" t="s">
        <v>1291</v>
      </c>
      <c r="J411" t="s">
        <v>1416</v>
      </c>
      <c r="K411" t="s">
        <v>1419</v>
      </c>
    </row>
    <row r="412" spans="1:11" x14ac:dyDescent="0.25">
      <c r="A412" t="s">
        <v>1838</v>
      </c>
      <c r="B412" s="2">
        <v>45430</v>
      </c>
      <c r="C412" t="s">
        <v>120</v>
      </c>
      <c r="D412" t="s">
        <v>1015</v>
      </c>
      <c r="E412">
        <v>8</v>
      </c>
      <c r="F412">
        <v>10</v>
      </c>
      <c r="G412">
        <v>3.2</v>
      </c>
      <c r="H412" t="s">
        <v>1100</v>
      </c>
      <c r="I412" t="s">
        <v>1299</v>
      </c>
      <c r="J412" t="s">
        <v>1417</v>
      </c>
      <c r="K412" t="s">
        <v>1424</v>
      </c>
    </row>
    <row r="413" spans="1:11" x14ac:dyDescent="0.25">
      <c r="A413" t="s">
        <v>1839</v>
      </c>
      <c r="B413" s="2">
        <v>45430</v>
      </c>
      <c r="C413" t="s">
        <v>277</v>
      </c>
      <c r="D413" t="s">
        <v>1014</v>
      </c>
      <c r="E413">
        <v>8</v>
      </c>
      <c r="F413">
        <v>15</v>
      </c>
      <c r="G413">
        <v>5.1100000000000003</v>
      </c>
      <c r="H413" t="s">
        <v>1163</v>
      </c>
      <c r="I413" t="s">
        <v>1362</v>
      </c>
      <c r="J413" t="s">
        <v>1416</v>
      </c>
      <c r="K413" t="s">
        <v>1427</v>
      </c>
    </row>
    <row r="414" spans="1:11" x14ac:dyDescent="0.25">
      <c r="A414" t="s">
        <v>1840</v>
      </c>
      <c r="B414" s="2">
        <v>45430</v>
      </c>
      <c r="C414" t="s">
        <v>367</v>
      </c>
      <c r="D414" t="s">
        <v>1014</v>
      </c>
      <c r="E414">
        <v>1</v>
      </c>
      <c r="F414">
        <v>15</v>
      </c>
      <c r="G414">
        <v>3.13</v>
      </c>
      <c r="H414" t="s">
        <v>1044</v>
      </c>
      <c r="I414" t="s">
        <v>1243</v>
      </c>
      <c r="J414" t="s">
        <v>1414</v>
      </c>
      <c r="K414" t="s">
        <v>1422</v>
      </c>
    </row>
    <row r="415" spans="1:11" x14ac:dyDescent="0.25">
      <c r="A415" t="s">
        <v>1841</v>
      </c>
      <c r="B415" s="2">
        <v>45430</v>
      </c>
      <c r="C415" t="s">
        <v>402</v>
      </c>
      <c r="D415" t="s">
        <v>1013</v>
      </c>
      <c r="E415">
        <v>3</v>
      </c>
      <c r="F415">
        <v>25</v>
      </c>
      <c r="G415">
        <v>5.8</v>
      </c>
      <c r="H415" t="s">
        <v>1182</v>
      </c>
      <c r="I415" t="s">
        <v>1381</v>
      </c>
      <c r="J415" t="s">
        <v>1414</v>
      </c>
      <c r="K415" t="s">
        <v>1426</v>
      </c>
    </row>
    <row r="416" spans="1:11" x14ac:dyDescent="0.25">
      <c r="A416" t="s">
        <v>1842</v>
      </c>
      <c r="B416" s="2">
        <v>45430</v>
      </c>
      <c r="C416" t="s">
        <v>975</v>
      </c>
      <c r="D416" t="s">
        <v>1015</v>
      </c>
      <c r="E416">
        <v>10</v>
      </c>
      <c r="F416">
        <v>10</v>
      </c>
      <c r="G416">
        <v>3.45</v>
      </c>
      <c r="H416" t="s">
        <v>1207</v>
      </c>
      <c r="I416" t="s">
        <v>1406</v>
      </c>
      <c r="J416" t="s">
        <v>1414</v>
      </c>
      <c r="K416" t="s">
        <v>1425</v>
      </c>
    </row>
    <row r="417" spans="1:11" x14ac:dyDescent="0.25">
      <c r="A417" t="s">
        <v>1843</v>
      </c>
      <c r="B417" s="2">
        <v>45431</v>
      </c>
      <c r="C417" t="s">
        <v>32</v>
      </c>
      <c r="D417" t="s">
        <v>1012</v>
      </c>
      <c r="E417">
        <v>8</v>
      </c>
      <c r="F417">
        <v>40</v>
      </c>
      <c r="G417">
        <v>11.29</v>
      </c>
      <c r="H417" t="s">
        <v>1035</v>
      </c>
      <c r="I417" t="s">
        <v>1234</v>
      </c>
      <c r="J417" t="s">
        <v>1415</v>
      </c>
      <c r="K417" t="s">
        <v>1421</v>
      </c>
    </row>
    <row r="418" spans="1:11" x14ac:dyDescent="0.25">
      <c r="A418" t="s">
        <v>1844</v>
      </c>
      <c r="B418" s="2">
        <v>45431</v>
      </c>
      <c r="C418" t="s">
        <v>159</v>
      </c>
      <c r="D418" t="s">
        <v>1011</v>
      </c>
      <c r="E418">
        <v>6</v>
      </c>
      <c r="F418">
        <v>12</v>
      </c>
      <c r="G418">
        <v>3.5</v>
      </c>
      <c r="H418" t="s">
        <v>1022</v>
      </c>
      <c r="I418" t="s">
        <v>1221</v>
      </c>
      <c r="J418" t="s">
        <v>1414</v>
      </c>
      <c r="K418" t="s">
        <v>1424</v>
      </c>
    </row>
    <row r="419" spans="1:11" x14ac:dyDescent="0.25">
      <c r="A419" t="s">
        <v>1845</v>
      </c>
      <c r="B419" s="2">
        <v>45431</v>
      </c>
      <c r="C419" t="s">
        <v>297</v>
      </c>
      <c r="D419" t="s">
        <v>1014</v>
      </c>
      <c r="E419">
        <v>8</v>
      </c>
      <c r="F419">
        <v>15</v>
      </c>
      <c r="G419">
        <v>5.56</v>
      </c>
      <c r="H419" t="s">
        <v>1114</v>
      </c>
      <c r="I419" t="s">
        <v>1313</v>
      </c>
      <c r="J419" t="s">
        <v>1416</v>
      </c>
      <c r="K419" t="s">
        <v>1424</v>
      </c>
    </row>
    <row r="420" spans="1:11" x14ac:dyDescent="0.25">
      <c r="A420" t="s">
        <v>1846</v>
      </c>
      <c r="B420" s="2">
        <v>45431</v>
      </c>
      <c r="C420" t="s">
        <v>387</v>
      </c>
      <c r="D420" t="s">
        <v>1011</v>
      </c>
      <c r="E420">
        <v>3</v>
      </c>
      <c r="G420">
        <v>3.51</v>
      </c>
      <c r="H420" t="s">
        <v>1109</v>
      </c>
      <c r="I420" t="s">
        <v>1308</v>
      </c>
      <c r="J420" t="s">
        <v>1414</v>
      </c>
      <c r="K420" t="s">
        <v>1422</v>
      </c>
    </row>
    <row r="421" spans="1:11" x14ac:dyDescent="0.25">
      <c r="A421" t="s">
        <v>1847</v>
      </c>
      <c r="B421" s="2">
        <v>45431</v>
      </c>
      <c r="C421" t="s">
        <v>832</v>
      </c>
      <c r="D421" t="s">
        <v>1013</v>
      </c>
      <c r="E421">
        <v>6</v>
      </c>
      <c r="F421">
        <v>25</v>
      </c>
      <c r="G421">
        <v>6.75</v>
      </c>
      <c r="H421" t="s">
        <v>1066</v>
      </c>
      <c r="I421" t="s">
        <v>1265</v>
      </c>
      <c r="J421" t="s">
        <v>1416</v>
      </c>
      <c r="K421" t="s">
        <v>1425</v>
      </c>
    </row>
    <row r="422" spans="1:11" x14ac:dyDescent="0.25">
      <c r="A422" t="s">
        <v>1848</v>
      </c>
      <c r="B422" s="2">
        <v>45432</v>
      </c>
      <c r="C422" t="s">
        <v>399</v>
      </c>
      <c r="D422" t="s">
        <v>1011</v>
      </c>
      <c r="E422">
        <v>1</v>
      </c>
      <c r="F422">
        <v>12</v>
      </c>
      <c r="G422">
        <v>4</v>
      </c>
      <c r="H422" t="s">
        <v>1159</v>
      </c>
      <c r="I422" t="s">
        <v>1358</v>
      </c>
      <c r="J422" t="s">
        <v>1416</v>
      </c>
      <c r="K422" t="s">
        <v>1425</v>
      </c>
    </row>
    <row r="423" spans="1:11" x14ac:dyDescent="0.25">
      <c r="A423" t="s">
        <v>1849</v>
      </c>
      <c r="B423" s="2">
        <v>45433</v>
      </c>
      <c r="C423" t="s">
        <v>314</v>
      </c>
      <c r="D423" t="s">
        <v>1012</v>
      </c>
      <c r="E423">
        <v>7</v>
      </c>
      <c r="F423">
        <v>40</v>
      </c>
      <c r="G423">
        <v>14.84</v>
      </c>
      <c r="H423" t="s">
        <v>1049</v>
      </c>
      <c r="I423" t="s">
        <v>1248</v>
      </c>
      <c r="J423" t="s">
        <v>1414</v>
      </c>
      <c r="K423" t="s">
        <v>1421</v>
      </c>
    </row>
    <row r="424" spans="1:11" x14ac:dyDescent="0.25">
      <c r="A424" t="s">
        <v>1850</v>
      </c>
      <c r="B424" s="2">
        <v>45433</v>
      </c>
      <c r="C424" t="s">
        <v>683</v>
      </c>
      <c r="D424" t="s">
        <v>1012</v>
      </c>
      <c r="E424">
        <v>5</v>
      </c>
      <c r="G424">
        <v>10.58</v>
      </c>
      <c r="H424" t="s">
        <v>1131</v>
      </c>
      <c r="I424" t="s">
        <v>1330</v>
      </c>
      <c r="J424" t="s">
        <v>1414</v>
      </c>
      <c r="K424" t="s">
        <v>1422</v>
      </c>
    </row>
    <row r="425" spans="1:11" x14ac:dyDescent="0.25">
      <c r="A425" t="s">
        <v>1851</v>
      </c>
      <c r="B425" s="2">
        <v>45433</v>
      </c>
      <c r="C425" t="s">
        <v>869</v>
      </c>
      <c r="D425" t="s">
        <v>1014</v>
      </c>
      <c r="E425">
        <v>9</v>
      </c>
      <c r="F425">
        <v>15</v>
      </c>
      <c r="G425">
        <v>5.77</v>
      </c>
      <c r="H425" t="s">
        <v>1114</v>
      </c>
      <c r="I425" t="s">
        <v>1313</v>
      </c>
      <c r="J425" t="s">
        <v>1414</v>
      </c>
      <c r="K425" t="s">
        <v>1418</v>
      </c>
    </row>
    <row r="426" spans="1:11" x14ac:dyDescent="0.25">
      <c r="A426" t="s">
        <v>1852</v>
      </c>
      <c r="B426" s="2">
        <v>45434</v>
      </c>
      <c r="C426" t="s">
        <v>665</v>
      </c>
      <c r="D426" t="s">
        <v>1014</v>
      </c>
      <c r="E426">
        <v>5</v>
      </c>
      <c r="F426">
        <v>15</v>
      </c>
      <c r="G426">
        <v>5.92</v>
      </c>
      <c r="H426" t="s">
        <v>1102</v>
      </c>
      <c r="I426" t="s">
        <v>1301</v>
      </c>
      <c r="J426" t="s">
        <v>1414</v>
      </c>
      <c r="K426" t="s">
        <v>1426</v>
      </c>
    </row>
    <row r="427" spans="1:11" x14ac:dyDescent="0.25">
      <c r="A427" t="s">
        <v>1853</v>
      </c>
      <c r="B427" s="2">
        <v>45435</v>
      </c>
      <c r="C427" t="s">
        <v>57</v>
      </c>
      <c r="D427" t="s">
        <v>1012</v>
      </c>
      <c r="E427">
        <v>9</v>
      </c>
      <c r="F427">
        <v>40</v>
      </c>
      <c r="G427">
        <v>10.53</v>
      </c>
      <c r="H427" t="s">
        <v>1055</v>
      </c>
      <c r="I427" t="s">
        <v>1254</v>
      </c>
      <c r="J427" t="s">
        <v>1416</v>
      </c>
      <c r="K427" t="s">
        <v>1418</v>
      </c>
    </row>
    <row r="428" spans="1:11" x14ac:dyDescent="0.25">
      <c r="A428" t="s">
        <v>1854</v>
      </c>
      <c r="B428" s="2">
        <v>45435</v>
      </c>
      <c r="C428" t="s">
        <v>383</v>
      </c>
      <c r="D428" t="s">
        <v>1014</v>
      </c>
      <c r="E428">
        <v>10</v>
      </c>
      <c r="F428">
        <v>15</v>
      </c>
      <c r="G428">
        <v>3.43</v>
      </c>
      <c r="H428" t="s">
        <v>1145</v>
      </c>
      <c r="I428" t="s">
        <v>1344</v>
      </c>
      <c r="J428" t="s">
        <v>1414</v>
      </c>
      <c r="K428" t="s">
        <v>1422</v>
      </c>
    </row>
    <row r="429" spans="1:11" x14ac:dyDescent="0.25">
      <c r="A429" t="s">
        <v>1855</v>
      </c>
      <c r="B429" s="2">
        <v>45435</v>
      </c>
      <c r="C429" t="s">
        <v>779</v>
      </c>
      <c r="D429" t="s">
        <v>1012</v>
      </c>
      <c r="E429">
        <v>1</v>
      </c>
      <c r="F429">
        <v>40</v>
      </c>
      <c r="G429">
        <v>12.59</v>
      </c>
      <c r="H429" t="s">
        <v>1097</v>
      </c>
      <c r="I429" t="s">
        <v>1296</v>
      </c>
      <c r="J429" t="s">
        <v>1414</v>
      </c>
      <c r="K429" t="s">
        <v>1425</v>
      </c>
    </row>
    <row r="430" spans="1:11" x14ac:dyDescent="0.25">
      <c r="A430" t="s">
        <v>1856</v>
      </c>
      <c r="B430" s="2">
        <v>45435</v>
      </c>
      <c r="C430" t="s">
        <v>792</v>
      </c>
      <c r="D430" t="s">
        <v>1011</v>
      </c>
      <c r="E430">
        <v>3</v>
      </c>
      <c r="F430">
        <v>12</v>
      </c>
      <c r="G430">
        <v>3.18</v>
      </c>
      <c r="H430" t="s">
        <v>1122</v>
      </c>
      <c r="I430" t="s">
        <v>1321</v>
      </c>
      <c r="J430" t="s">
        <v>1414</v>
      </c>
      <c r="K430" t="s">
        <v>1423</v>
      </c>
    </row>
    <row r="431" spans="1:11" x14ac:dyDescent="0.25">
      <c r="A431" t="s">
        <v>1857</v>
      </c>
      <c r="B431" s="2">
        <v>45435</v>
      </c>
      <c r="C431" t="s">
        <v>936</v>
      </c>
      <c r="D431" t="s">
        <v>1012</v>
      </c>
      <c r="E431">
        <v>9</v>
      </c>
      <c r="F431">
        <v>40</v>
      </c>
      <c r="G431">
        <v>8.0399999999999991</v>
      </c>
      <c r="H431" t="s">
        <v>1202</v>
      </c>
      <c r="I431" t="s">
        <v>1401</v>
      </c>
      <c r="J431" t="s">
        <v>1415</v>
      </c>
      <c r="K431" t="s">
        <v>1421</v>
      </c>
    </row>
    <row r="432" spans="1:11" x14ac:dyDescent="0.25">
      <c r="A432" t="s">
        <v>1858</v>
      </c>
      <c r="B432" s="2">
        <v>45436</v>
      </c>
      <c r="C432" t="s">
        <v>360</v>
      </c>
      <c r="D432" t="s">
        <v>1013</v>
      </c>
      <c r="E432">
        <v>6</v>
      </c>
      <c r="F432">
        <v>25</v>
      </c>
      <c r="G432">
        <v>6.37</v>
      </c>
      <c r="H432" t="s">
        <v>1134</v>
      </c>
      <c r="I432" t="s">
        <v>1333</v>
      </c>
      <c r="J432" t="s">
        <v>1416</v>
      </c>
      <c r="K432" t="s">
        <v>1420</v>
      </c>
    </row>
    <row r="433" spans="1:11" x14ac:dyDescent="0.25">
      <c r="A433" t="s">
        <v>1859</v>
      </c>
      <c r="B433" s="2">
        <v>45436</v>
      </c>
      <c r="C433" t="s">
        <v>619</v>
      </c>
      <c r="D433" t="s">
        <v>1013</v>
      </c>
      <c r="E433">
        <v>2</v>
      </c>
      <c r="G433">
        <v>9.68</v>
      </c>
      <c r="H433" t="s">
        <v>1207</v>
      </c>
      <c r="I433" t="s">
        <v>1406</v>
      </c>
      <c r="J433" t="s">
        <v>1416</v>
      </c>
      <c r="K433" t="s">
        <v>1423</v>
      </c>
    </row>
    <row r="434" spans="1:11" x14ac:dyDescent="0.25">
      <c r="A434" t="s">
        <v>1860</v>
      </c>
      <c r="B434" s="2">
        <v>45437</v>
      </c>
      <c r="C434" t="s">
        <v>106</v>
      </c>
      <c r="D434" t="s">
        <v>1013</v>
      </c>
      <c r="E434">
        <v>4</v>
      </c>
      <c r="F434">
        <v>25</v>
      </c>
      <c r="G434">
        <v>6.63</v>
      </c>
      <c r="H434" t="s">
        <v>1088</v>
      </c>
      <c r="I434" t="s">
        <v>1287</v>
      </c>
      <c r="J434" t="s">
        <v>1416</v>
      </c>
      <c r="K434" t="s">
        <v>1422</v>
      </c>
    </row>
    <row r="435" spans="1:11" x14ac:dyDescent="0.25">
      <c r="A435" t="s">
        <v>1861</v>
      </c>
      <c r="B435" s="2">
        <v>45437</v>
      </c>
      <c r="C435" t="s">
        <v>678</v>
      </c>
      <c r="D435" t="s">
        <v>1014</v>
      </c>
      <c r="E435">
        <v>5</v>
      </c>
      <c r="G435">
        <v>5.99</v>
      </c>
      <c r="H435" t="s">
        <v>1072</v>
      </c>
      <c r="I435" t="s">
        <v>1271</v>
      </c>
      <c r="J435" t="s">
        <v>1414</v>
      </c>
      <c r="K435" t="s">
        <v>1424</v>
      </c>
    </row>
    <row r="436" spans="1:11" x14ac:dyDescent="0.25">
      <c r="A436" t="s">
        <v>1862</v>
      </c>
      <c r="B436" s="2">
        <v>45437</v>
      </c>
      <c r="C436" t="s">
        <v>968</v>
      </c>
      <c r="D436" t="s">
        <v>1014</v>
      </c>
      <c r="E436">
        <v>8</v>
      </c>
      <c r="F436">
        <v>15</v>
      </c>
      <c r="G436">
        <v>4.1100000000000003</v>
      </c>
      <c r="H436" t="s">
        <v>1166</v>
      </c>
      <c r="I436" t="s">
        <v>1365</v>
      </c>
      <c r="J436" t="s">
        <v>1417</v>
      </c>
      <c r="K436" t="s">
        <v>1418</v>
      </c>
    </row>
    <row r="437" spans="1:11" x14ac:dyDescent="0.25">
      <c r="A437" t="s">
        <v>1863</v>
      </c>
      <c r="B437" s="2">
        <v>45438</v>
      </c>
      <c r="C437" t="s">
        <v>717</v>
      </c>
      <c r="D437" t="s">
        <v>1015</v>
      </c>
      <c r="E437">
        <v>1</v>
      </c>
      <c r="F437">
        <v>10</v>
      </c>
      <c r="G437">
        <v>2.81</v>
      </c>
      <c r="H437" t="s">
        <v>1095</v>
      </c>
      <c r="I437" t="s">
        <v>1294</v>
      </c>
      <c r="J437" t="s">
        <v>1414</v>
      </c>
      <c r="K437" t="s">
        <v>1418</v>
      </c>
    </row>
    <row r="438" spans="1:11" x14ac:dyDescent="0.25">
      <c r="A438" t="s">
        <v>1864</v>
      </c>
      <c r="B438" s="2">
        <v>45439</v>
      </c>
      <c r="C438" t="s">
        <v>274</v>
      </c>
      <c r="D438" t="s">
        <v>1012</v>
      </c>
      <c r="E438">
        <v>5</v>
      </c>
      <c r="F438">
        <v>40</v>
      </c>
      <c r="G438">
        <v>9.7200000000000006</v>
      </c>
      <c r="H438" t="s">
        <v>1161</v>
      </c>
      <c r="I438" t="s">
        <v>1360</v>
      </c>
      <c r="J438" t="s">
        <v>1415</v>
      </c>
      <c r="K438" t="s">
        <v>1421</v>
      </c>
    </row>
    <row r="439" spans="1:11" x14ac:dyDescent="0.25">
      <c r="A439" t="s">
        <v>1865</v>
      </c>
      <c r="B439" s="2">
        <v>45439</v>
      </c>
      <c r="C439" t="s">
        <v>955</v>
      </c>
      <c r="D439" t="s">
        <v>1011</v>
      </c>
      <c r="E439">
        <v>8</v>
      </c>
      <c r="F439">
        <v>12</v>
      </c>
      <c r="G439">
        <v>4.46</v>
      </c>
      <c r="H439" t="s">
        <v>1190</v>
      </c>
      <c r="I439" t="s">
        <v>1389</v>
      </c>
      <c r="J439" t="s">
        <v>1415</v>
      </c>
      <c r="K439" t="s">
        <v>1427</v>
      </c>
    </row>
    <row r="440" spans="1:11" x14ac:dyDescent="0.25">
      <c r="A440" t="s">
        <v>1866</v>
      </c>
      <c r="B440" s="2">
        <v>45440</v>
      </c>
      <c r="C440" t="s">
        <v>266</v>
      </c>
      <c r="D440" t="s">
        <v>1013</v>
      </c>
      <c r="E440">
        <v>5</v>
      </c>
      <c r="F440">
        <v>25</v>
      </c>
      <c r="G440">
        <v>7.88</v>
      </c>
      <c r="H440" t="s">
        <v>1131</v>
      </c>
      <c r="I440" t="s">
        <v>1330</v>
      </c>
      <c r="J440" t="s">
        <v>1414</v>
      </c>
      <c r="K440" t="s">
        <v>1421</v>
      </c>
    </row>
    <row r="441" spans="1:11" x14ac:dyDescent="0.25">
      <c r="A441" t="s">
        <v>1867</v>
      </c>
      <c r="B441" s="2">
        <v>45440</v>
      </c>
      <c r="C441" t="s">
        <v>340</v>
      </c>
      <c r="D441" t="s">
        <v>1014</v>
      </c>
      <c r="E441">
        <v>1</v>
      </c>
      <c r="F441">
        <v>15</v>
      </c>
      <c r="G441">
        <v>4.3499999999999996</v>
      </c>
      <c r="H441" t="s">
        <v>1175</v>
      </c>
      <c r="I441" t="s">
        <v>1374</v>
      </c>
      <c r="J441" t="s">
        <v>1414</v>
      </c>
      <c r="K441" t="s">
        <v>1423</v>
      </c>
    </row>
    <row r="442" spans="1:11" x14ac:dyDescent="0.25">
      <c r="A442" t="s">
        <v>1868</v>
      </c>
      <c r="B442" s="2">
        <v>45440</v>
      </c>
      <c r="C442" t="s">
        <v>357</v>
      </c>
      <c r="D442" t="s">
        <v>1013</v>
      </c>
      <c r="E442">
        <v>2</v>
      </c>
      <c r="G442">
        <v>6.85</v>
      </c>
      <c r="H442" t="s">
        <v>1110</v>
      </c>
      <c r="I442" t="s">
        <v>1309</v>
      </c>
      <c r="J442" t="s">
        <v>1416</v>
      </c>
      <c r="K442" t="s">
        <v>1421</v>
      </c>
    </row>
    <row r="443" spans="1:11" x14ac:dyDescent="0.25">
      <c r="A443" t="s">
        <v>1869</v>
      </c>
      <c r="B443" s="2">
        <v>45440</v>
      </c>
      <c r="C443" t="s">
        <v>467</v>
      </c>
      <c r="D443" t="s">
        <v>1011</v>
      </c>
      <c r="E443">
        <v>9</v>
      </c>
      <c r="F443">
        <v>12</v>
      </c>
      <c r="G443">
        <v>4.32</v>
      </c>
      <c r="H443" t="s">
        <v>1196</v>
      </c>
      <c r="I443" t="s">
        <v>1395</v>
      </c>
      <c r="J443" t="s">
        <v>1414</v>
      </c>
      <c r="K443" t="s">
        <v>1420</v>
      </c>
    </row>
    <row r="444" spans="1:11" x14ac:dyDescent="0.25">
      <c r="A444" t="s">
        <v>1870</v>
      </c>
      <c r="B444" s="2">
        <v>45440</v>
      </c>
      <c r="C444" t="s">
        <v>575</v>
      </c>
      <c r="D444" t="s">
        <v>1014</v>
      </c>
      <c r="E444">
        <v>4</v>
      </c>
      <c r="F444">
        <v>15</v>
      </c>
      <c r="G444">
        <v>5.41</v>
      </c>
      <c r="H444" t="s">
        <v>1079</v>
      </c>
      <c r="I444" t="s">
        <v>1278</v>
      </c>
      <c r="J444" t="s">
        <v>1416</v>
      </c>
      <c r="K444" t="s">
        <v>1420</v>
      </c>
    </row>
    <row r="445" spans="1:11" x14ac:dyDescent="0.25">
      <c r="A445" t="s">
        <v>1871</v>
      </c>
      <c r="B445" s="2">
        <v>45441</v>
      </c>
      <c r="C445" t="s">
        <v>80</v>
      </c>
      <c r="D445" t="s">
        <v>1012</v>
      </c>
      <c r="E445">
        <v>6</v>
      </c>
      <c r="F445">
        <v>40</v>
      </c>
      <c r="G445">
        <v>9.43</v>
      </c>
      <c r="H445" t="s">
        <v>1072</v>
      </c>
      <c r="I445" t="s">
        <v>1271</v>
      </c>
      <c r="J445" t="s">
        <v>1414</v>
      </c>
      <c r="K445" t="s">
        <v>1419</v>
      </c>
    </row>
    <row r="446" spans="1:11" x14ac:dyDescent="0.25">
      <c r="A446" t="s">
        <v>1872</v>
      </c>
      <c r="B446" s="2">
        <v>45441</v>
      </c>
      <c r="C446" t="s">
        <v>112</v>
      </c>
      <c r="D446" t="s">
        <v>1012</v>
      </c>
      <c r="E446">
        <v>4</v>
      </c>
      <c r="F446">
        <v>40</v>
      </c>
      <c r="G446">
        <v>13.02</v>
      </c>
      <c r="H446" t="s">
        <v>1039</v>
      </c>
      <c r="I446" t="s">
        <v>1238</v>
      </c>
      <c r="J446" t="s">
        <v>1414</v>
      </c>
      <c r="K446" t="s">
        <v>1418</v>
      </c>
    </row>
    <row r="447" spans="1:11" x14ac:dyDescent="0.25">
      <c r="A447" t="s">
        <v>1873</v>
      </c>
      <c r="B447" s="2">
        <v>45442</v>
      </c>
      <c r="C447" t="s">
        <v>93</v>
      </c>
      <c r="D447" t="s">
        <v>1014</v>
      </c>
      <c r="E447">
        <v>1</v>
      </c>
      <c r="F447">
        <v>15</v>
      </c>
      <c r="G447">
        <v>3.05</v>
      </c>
      <c r="H447" t="s">
        <v>1079</v>
      </c>
      <c r="I447" t="s">
        <v>1278</v>
      </c>
      <c r="J447" t="s">
        <v>1414</v>
      </c>
      <c r="K447" t="s">
        <v>1422</v>
      </c>
    </row>
    <row r="448" spans="1:11" x14ac:dyDescent="0.25">
      <c r="A448" t="s">
        <v>1874</v>
      </c>
      <c r="B448" s="2">
        <v>45442</v>
      </c>
      <c r="C448" t="s">
        <v>715</v>
      </c>
      <c r="D448" t="s">
        <v>1011</v>
      </c>
      <c r="E448">
        <v>7</v>
      </c>
      <c r="F448">
        <v>12</v>
      </c>
      <c r="G448">
        <v>4.2</v>
      </c>
      <c r="H448" t="s">
        <v>1096</v>
      </c>
      <c r="I448" t="s">
        <v>1295</v>
      </c>
      <c r="J448" t="s">
        <v>1414</v>
      </c>
      <c r="K448" t="s">
        <v>1424</v>
      </c>
    </row>
    <row r="449" spans="1:11" x14ac:dyDescent="0.25">
      <c r="A449" t="s">
        <v>1875</v>
      </c>
      <c r="B449" s="2">
        <v>45443</v>
      </c>
      <c r="C449" t="s">
        <v>324</v>
      </c>
      <c r="D449" t="s">
        <v>1012</v>
      </c>
      <c r="E449">
        <v>3</v>
      </c>
      <c r="F449">
        <v>40</v>
      </c>
      <c r="G449">
        <v>14.46</v>
      </c>
      <c r="H449" t="s">
        <v>1131</v>
      </c>
      <c r="I449" t="s">
        <v>1330</v>
      </c>
      <c r="J449" t="s">
        <v>1414</v>
      </c>
      <c r="K449" t="s">
        <v>1424</v>
      </c>
    </row>
    <row r="450" spans="1:11" x14ac:dyDescent="0.25">
      <c r="A450" t="s">
        <v>1876</v>
      </c>
      <c r="B450" s="2">
        <v>45443</v>
      </c>
      <c r="C450" t="s">
        <v>545</v>
      </c>
      <c r="D450" t="s">
        <v>1011</v>
      </c>
      <c r="E450">
        <v>10</v>
      </c>
      <c r="F450">
        <v>12</v>
      </c>
      <c r="G450">
        <v>4.5999999999999996</v>
      </c>
      <c r="H450" t="s">
        <v>1114</v>
      </c>
      <c r="I450" t="s">
        <v>1313</v>
      </c>
      <c r="J450" t="s">
        <v>1414</v>
      </c>
      <c r="K450" t="s">
        <v>1418</v>
      </c>
    </row>
    <row r="451" spans="1:11" x14ac:dyDescent="0.25">
      <c r="A451" t="s">
        <v>1877</v>
      </c>
      <c r="B451" s="2">
        <v>45445</v>
      </c>
      <c r="C451" t="s">
        <v>86</v>
      </c>
      <c r="D451" t="s">
        <v>1011</v>
      </c>
      <c r="E451">
        <v>4</v>
      </c>
      <c r="F451">
        <v>12</v>
      </c>
      <c r="G451">
        <v>4.3899999999999997</v>
      </c>
      <c r="H451" t="s">
        <v>1075</v>
      </c>
      <c r="I451" t="s">
        <v>1274</v>
      </c>
      <c r="J451" t="s">
        <v>1416</v>
      </c>
      <c r="K451" t="s">
        <v>1425</v>
      </c>
    </row>
    <row r="452" spans="1:11" x14ac:dyDescent="0.25">
      <c r="A452" t="s">
        <v>1878</v>
      </c>
      <c r="B452" s="2">
        <v>45445</v>
      </c>
      <c r="C452" t="s">
        <v>405</v>
      </c>
      <c r="D452" t="s">
        <v>1012</v>
      </c>
      <c r="E452">
        <v>10</v>
      </c>
      <c r="F452">
        <v>40</v>
      </c>
      <c r="G452">
        <v>9.85</v>
      </c>
      <c r="H452" t="s">
        <v>1134</v>
      </c>
      <c r="I452" t="s">
        <v>1333</v>
      </c>
      <c r="J452" t="s">
        <v>1414</v>
      </c>
      <c r="K452" t="s">
        <v>1418</v>
      </c>
    </row>
    <row r="453" spans="1:11" x14ac:dyDescent="0.25">
      <c r="A453" t="s">
        <v>1879</v>
      </c>
      <c r="B453" s="2">
        <v>45446</v>
      </c>
      <c r="C453" t="s">
        <v>180</v>
      </c>
      <c r="D453" t="s">
        <v>1011</v>
      </c>
      <c r="E453">
        <v>5</v>
      </c>
      <c r="F453">
        <v>12</v>
      </c>
      <c r="G453">
        <v>3.43</v>
      </c>
      <c r="H453" t="s">
        <v>1131</v>
      </c>
      <c r="I453" t="s">
        <v>1330</v>
      </c>
      <c r="J453" t="s">
        <v>1414</v>
      </c>
      <c r="K453" t="s">
        <v>1427</v>
      </c>
    </row>
    <row r="454" spans="1:11" x14ac:dyDescent="0.25">
      <c r="A454" t="s">
        <v>1880</v>
      </c>
      <c r="B454" s="2">
        <v>45446</v>
      </c>
      <c r="C454" t="s">
        <v>291</v>
      </c>
      <c r="D454" t="s">
        <v>1015</v>
      </c>
      <c r="E454">
        <v>5</v>
      </c>
      <c r="F454">
        <v>10</v>
      </c>
      <c r="G454">
        <v>3.46</v>
      </c>
      <c r="H454" t="s">
        <v>1152</v>
      </c>
      <c r="I454" t="s">
        <v>1351</v>
      </c>
      <c r="J454" t="s">
        <v>1414</v>
      </c>
      <c r="K454" t="s">
        <v>1418</v>
      </c>
    </row>
    <row r="455" spans="1:11" x14ac:dyDescent="0.25">
      <c r="A455" t="s">
        <v>1881</v>
      </c>
      <c r="B455" s="2">
        <v>45446</v>
      </c>
      <c r="C455" t="s">
        <v>534</v>
      </c>
      <c r="D455" t="s">
        <v>1013</v>
      </c>
      <c r="E455">
        <v>1</v>
      </c>
      <c r="F455">
        <v>25</v>
      </c>
      <c r="G455">
        <v>9.2100000000000009</v>
      </c>
      <c r="H455" t="s">
        <v>1092</v>
      </c>
      <c r="I455" t="s">
        <v>1291</v>
      </c>
      <c r="J455" t="s">
        <v>1416</v>
      </c>
      <c r="K455" t="s">
        <v>1418</v>
      </c>
    </row>
    <row r="456" spans="1:11" x14ac:dyDescent="0.25">
      <c r="A456" t="s">
        <v>1882</v>
      </c>
      <c r="B456" s="2">
        <v>45446</v>
      </c>
      <c r="C456" t="s">
        <v>918</v>
      </c>
      <c r="D456" t="s">
        <v>1011</v>
      </c>
      <c r="E456">
        <v>7</v>
      </c>
      <c r="F456">
        <v>12</v>
      </c>
      <c r="G456">
        <v>3.5</v>
      </c>
      <c r="H456" t="s">
        <v>1069</v>
      </c>
      <c r="I456" t="s">
        <v>1268</v>
      </c>
      <c r="J456" t="s">
        <v>1414</v>
      </c>
      <c r="K456" t="s">
        <v>1423</v>
      </c>
    </row>
    <row r="457" spans="1:11" x14ac:dyDescent="0.25">
      <c r="A457" t="s">
        <v>1883</v>
      </c>
      <c r="B457" s="2">
        <v>45446</v>
      </c>
      <c r="C457" t="s">
        <v>979</v>
      </c>
      <c r="D457" t="s">
        <v>1014</v>
      </c>
      <c r="E457">
        <v>6</v>
      </c>
      <c r="F457">
        <v>15</v>
      </c>
      <c r="G457">
        <v>5.4</v>
      </c>
      <c r="H457" t="s">
        <v>1155</v>
      </c>
      <c r="I457" t="s">
        <v>1354</v>
      </c>
      <c r="J457" t="s">
        <v>1414</v>
      </c>
      <c r="K457" t="s">
        <v>1418</v>
      </c>
    </row>
    <row r="458" spans="1:11" x14ac:dyDescent="0.25">
      <c r="A458" t="s">
        <v>1884</v>
      </c>
      <c r="B458" s="2">
        <v>45447</v>
      </c>
      <c r="C458" t="s">
        <v>371</v>
      </c>
      <c r="D458" t="s">
        <v>1013</v>
      </c>
      <c r="E458">
        <v>6</v>
      </c>
      <c r="F458">
        <v>25</v>
      </c>
      <c r="G458">
        <v>6.04</v>
      </c>
      <c r="H458" t="s">
        <v>1030</v>
      </c>
      <c r="I458" t="s">
        <v>1229</v>
      </c>
      <c r="J458" t="s">
        <v>1414</v>
      </c>
      <c r="K458" t="s">
        <v>1426</v>
      </c>
    </row>
    <row r="459" spans="1:11" x14ac:dyDescent="0.25">
      <c r="A459" t="s">
        <v>1885</v>
      </c>
      <c r="B459" s="2">
        <v>45447</v>
      </c>
      <c r="C459" t="s">
        <v>842</v>
      </c>
      <c r="D459" t="s">
        <v>1015</v>
      </c>
      <c r="E459">
        <v>10</v>
      </c>
      <c r="F459">
        <v>10</v>
      </c>
      <c r="G459">
        <v>3.34</v>
      </c>
      <c r="H459" t="s">
        <v>1161</v>
      </c>
      <c r="I459" t="s">
        <v>1360</v>
      </c>
      <c r="J459" t="s">
        <v>1415</v>
      </c>
      <c r="K459" t="s">
        <v>1423</v>
      </c>
    </row>
    <row r="460" spans="1:11" x14ac:dyDescent="0.25">
      <c r="A460" t="s">
        <v>1886</v>
      </c>
      <c r="B460" s="2">
        <v>45447</v>
      </c>
      <c r="C460" t="s">
        <v>861</v>
      </c>
      <c r="D460" t="s">
        <v>1011</v>
      </c>
      <c r="E460">
        <v>3</v>
      </c>
      <c r="F460">
        <v>12</v>
      </c>
      <c r="G460">
        <v>3.94</v>
      </c>
      <c r="H460" t="s">
        <v>1026</v>
      </c>
      <c r="I460" t="s">
        <v>1225</v>
      </c>
      <c r="J460" t="s">
        <v>1417</v>
      </c>
      <c r="K460" t="s">
        <v>1421</v>
      </c>
    </row>
    <row r="461" spans="1:11" x14ac:dyDescent="0.25">
      <c r="A461" t="s">
        <v>1887</v>
      </c>
      <c r="B461" s="2">
        <v>45448</v>
      </c>
      <c r="C461" t="s">
        <v>984</v>
      </c>
      <c r="D461" t="s">
        <v>1015</v>
      </c>
      <c r="E461">
        <v>3</v>
      </c>
      <c r="F461">
        <v>10</v>
      </c>
      <c r="G461">
        <v>3.12</v>
      </c>
      <c r="H461" t="s">
        <v>1064</v>
      </c>
      <c r="I461" t="s">
        <v>1263</v>
      </c>
      <c r="J461" t="s">
        <v>1416</v>
      </c>
      <c r="K461" t="s">
        <v>1427</v>
      </c>
    </row>
    <row r="462" spans="1:11" x14ac:dyDescent="0.25">
      <c r="A462" t="s">
        <v>1888</v>
      </c>
      <c r="B462" s="2">
        <v>45450</v>
      </c>
      <c r="C462" t="s">
        <v>175</v>
      </c>
      <c r="D462" t="s">
        <v>1011</v>
      </c>
      <c r="E462">
        <v>7</v>
      </c>
      <c r="F462">
        <v>12</v>
      </c>
      <c r="G462">
        <v>4.5599999999999996</v>
      </c>
      <c r="H462" t="s">
        <v>1061</v>
      </c>
      <c r="I462" t="s">
        <v>1260</v>
      </c>
      <c r="J462" t="s">
        <v>1414</v>
      </c>
      <c r="K462" t="s">
        <v>1422</v>
      </c>
    </row>
    <row r="463" spans="1:11" x14ac:dyDescent="0.25">
      <c r="A463" t="s">
        <v>1889</v>
      </c>
      <c r="B463" s="2">
        <v>45450</v>
      </c>
      <c r="C463" t="s">
        <v>825</v>
      </c>
      <c r="D463" t="s">
        <v>1013</v>
      </c>
      <c r="E463">
        <v>3</v>
      </c>
      <c r="F463">
        <v>25</v>
      </c>
      <c r="G463">
        <v>6.29</v>
      </c>
      <c r="H463" t="s">
        <v>1037</v>
      </c>
      <c r="I463" t="s">
        <v>1236</v>
      </c>
      <c r="J463" t="s">
        <v>1414</v>
      </c>
      <c r="K463" t="s">
        <v>1419</v>
      </c>
    </row>
    <row r="464" spans="1:11" x14ac:dyDescent="0.25">
      <c r="A464" t="s">
        <v>1890</v>
      </c>
      <c r="B464" s="2">
        <v>45450</v>
      </c>
      <c r="C464" t="s">
        <v>937</v>
      </c>
      <c r="D464" t="s">
        <v>1012</v>
      </c>
      <c r="E464">
        <v>2</v>
      </c>
      <c r="F464">
        <v>40</v>
      </c>
      <c r="G464">
        <v>8.93</v>
      </c>
      <c r="H464" t="s">
        <v>1160</v>
      </c>
      <c r="I464" t="s">
        <v>1359</v>
      </c>
      <c r="J464" t="s">
        <v>1415</v>
      </c>
      <c r="K464" t="s">
        <v>1419</v>
      </c>
    </row>
    <row r="465" spans="1:11" x14ac:dyDescent="0.25">
      <c r="A465" t="s">
        <v>1891</v>
      </c>
      <c r="B465" s="2">
        <v>45451</v>
      </c>
      <c r="C465" t="s">
        <v>88</v>
      </c>
      <c r="D465" t="s">
        <v>1013</v>
      </c>
      <c r="E465">
        <v>3</v>
      </c>
      <c r="F465">
        <v>25</v>
      </c>
      <c r="G465">
        <v>9.02</v>
      </c>
      <c r="H465" t="s">
        <v>1046</v>
      </c>
      <c r="I465" t="s">
        <v>1245</v>
      </c>
      <c r="J465" t="s">
        <v>1416</v>
      </c>
      <c r="K465" t="s">
        <v>1423</v>
      </c>
    </row>
    <row r="466" spans="1:11" x14ac:dyDescent="0.25">
      <c r="A466" t="s">
        <v>1892</v>
      </c>
      <c r="B466" s="2">
        <v>45451</v>
      </c>
      <c r="C466" t="s">
        <v>89</v>
      </c>
      <c r="D466" t="s">
        <v>1011</v>
      </c>
      <c r="E466">
        <v>2</v>
      </c>
      <c r="F466">
        <v>12</v>
      </c>
      <c r="G466">
        <v>4.6100000000000003</v>
      </c>
      <c r="H466" t="s">
        <v>1076</v>
      </c>
      <c r="I466" t="s">
        <v>1275</v>
      </c>
      <c r="J466" t="s">
        <v>1416</v>
      </c>
      <c r="K466" t="s">
        <v>1425</v>
      </c>
    </row>
    <row r="467" spans="1:11" x14ac:dyDescent="0.25">
      <c r="A467" t="s">
        <v>1893</v>
      </c>
      <c r="B467" s="2">
        <v>45451</v>
      </c>
      <c r="C467" t="s">
        <v>337</v>
      </c>
      <c r="D467" t="s">
        <v>1015</v>
      </c>
      <c r="E467">
        <v>6</v>
      </c>
      <c r="F467">
        <v>10</v>
      </c>
      <c r="G467">
        <v>3.13</v>
      </c>
      <c r="H467" t="s">
        <v>1084</v>
      </c>
      <c r="I467" t="s">
        <v>1283</v>
      </c>
      <c r="J467" t="s">
        <v>1414</v>
      </c>
      <c r="K467" t="s">
        <v>1422</v>
      </c>
    </row>
    <row r="468" spans="1:11" x14ac:dyDescent="0.25">
      <c r="A468" t="s">
        <v>1894</v>
      </c>
      <c r="B468" s="2">
        <v>45451</v>
      </c>
      <c r="C468" t="s">
        <v>588</v>
      </c>
      <c r="D468" t="s">
        <v>1012</v>
      </c>
      <c r="E468">
        <v>4</v>
      </c>
      <c r="F468">
        <v>40</v>
      </c>
      <c r="G468">
        <v>10.47</v>
      </c>
      <c r="H468" t="s">
        <v>1029</v>
      </c>
      <c r="I468" t="s">
        <v>1228</v>
      </c>
      <c r="J468" t="s">
        <v>1416</v>
      </c>
      <c r="K468" t="s">
        <v>1421</v>
      </c>
    </row>
    <row r="469" spans="1:11" x14ac:dyDescent="0.25">
      <c r="A469" t="s">
        <v>1895</v>
      </c>
      <c r="B469" s="2">
        <v>45452</v>
      </c>
      <c r="C469" t="s">
        <v>993</v>
      </c>
      <c r="D469" t="s">
        <v>1014</v>
      </c>
      <c r="E469">
        <v>9</v>
      </c>
      <c r="F469">
        <v>15</v>
      </c>
      <c r="G469">
        <v>4.75</v>
      </c>
      <c r="H469" t="s">
        <v>1147</v>
      </c>
      <c r="I469" t="s">
        <v>1346</v>
      </c>
      <c r="J469" t="s">
        <v>1417</v>
      </c>
      <c r="K469" t="s">
        <v>1422</v>
      </c>
    </row>
    <row r="470" spans="1:11" x14ac:dyDescent="0.25">
      <c r="A470" t="s">
        <v>1896</v>
      </c>
      <c r="B470" s="2">
        <v>45453</v>
      </c>
      <c r="C470" t="s">
        <v>579</v>
      </c>
      <c r="D470" t="s">
        <v>1014</v>
      </c>
      <c r="E470">
        <v>5</v>
      </c>
      <c r="F470">
        <v>15</v>
      </c>
      <c r="G470">
        <v>4.28</v>
      </c>
      <c r="H470" t="s">
        <v>1164</v>
      </c>
      <c r="I470" t="s">
        <v>1363</v>
      </c>
      <c r="J470" t="s">
        <v>1414</v>
      </c>
      <c r="K470" t="s">
        <v>1424</v>
      </c>
    </row>
    <row r="471" spans="1:11" x14ac:dyDescent="0.25">
      <c r="A471" t="s">
        <v>1897</v>
      </c>
      <c r="B471" s="2">
        <v>45455</v>
      </c>
      <c r="C471" t="s">
        <v>261</v>
      </c>
      <c r="D471" t="s">
        <v>1011</v>
      </c>
      <c r="E471">
        <v>1</v>
      </c>
      <c r="F471">
        <v>12</v>
      </c>
      <c r="G471">
        <v>3.81</v>
      </c>
      <c r="H471" t="s">
        <v>1127</v>
      </c>
      <c r="I471" t="s">
        <v>1326</v>
      </c>
      <c r="J471" t="s">
        <v>1414</v>
      </c>
      <c r="K471" t="s">
        <v>1423</v>
      </c>
    </row>
    <row r="472" spans="1:11" x14ac:dyDescent="0.25">
      <c r="A472" t="s">
        <v>1898</v>
      </c>
      <c r="B472" s="2">
        <v>45455</v>
      </c>
      <c r="C472" t="s">
        <v>865</v>
      </c>
      <c r="D472" t="s">
        <v>1011</v>
      </c>
      <c r="E472">
        <v>3</v>
      </c>
      <c r="F472">
        <v>12</v>
      </c>
      <c r="G472">
        <v>4.78</v>
      </c>
      <c r="H472" t="s">
        <v>1095</v>
      </c>
      <c r="I472" t="s">
        <v>1294</v>
      </c>
      <c r="J472" t="s">
        <v>1414</v>
      </c>
      <c r="K472" t="s">
        <v>1421</v>
      </c>
    </row>
    <row r="473" spans="1:11" x14ac:dyDescent="0.25">
      <c r="A473" t="s">
        <v>1899</v>
      </c>
      <c r="B473" s="2">
        <v>45456</v>
      </c>
      <c r="C473" t="s">
        <v>1007</v>
      </c>
      <c r="D473" t="s">
        <v>1013</v>
      </c>
      <c r="E473">
        <v>5</v>
      </c>
      <c r="F473">
        <v>25</v>
      </c>
      <c r="G473">
        <v>6.67</v>
      </c>
      <c r="H473" t="s">
        <v>1062</v>
      </c>
      <c r="I473" t="s">
        <v>1261</v>
      </c>
      <c r="J473" t="s">
        <v>1416</v>
      </c>
      <c r="K473" t="s">
        <v>1424</v>
      </c>
    </row>
    <row r="474" spans="1:11" x14ac:dyDescent="0.25">
      <c r="A474" t="s">
        <v>1900</v>
      </c>
      <c r="B474" s="2">
        <v>45457</v>
      </c>
      <c r="C474" t="s">
        <v>70</v>
      </c>
      <c r="D474" t="s">
        <v>1011</v>
      </c>
      <c r="E474">
        <v>2</v>
      </c>
      <c r="G474">
        <v>3.25</v>
      </c>
      <c r="H474" t="s">
        <v>1064</v>
      </c>
      <c r="I474" t="s">
        <v>1263</v>
      </c>
      <c r="J474" t="s">
        <v>1416</v>
      </c>
      <c r="K474" t="s">
        <v>1420</v>
      </c>
    </row>
    <row r="475" spans="1:11" x14ac:dyDescent="0.25">
      <c r="A475" t="s">
        <v>1901</v>
      </c>
      <c r="B475" s="2">
        <v>45457</v>
      </c>
      <c r="C475" t="s">
        <v>283</v>
      </c>
      <c r="D475" t="s">
        <v>1014</v>
      </c>
      <c r="E475">
        <v>6</v>
      </c>
      <c r="F475">
        <v>15</v>
      </c>
      <c r="G475">
        <v>5.6</v>
      </c>
      <c r="H475" t="s">
        <v>1076</v>
      </c>
      <c r="I475" t="s">
        <v>1275</v>
      </c>
      <c r="J475" t="s">
        <v>1414</v>
      </c>
      <c r="K475" t="s">
        <v>1421</v>
      </c>
    </row>
    <row r="476" spans="1:11" x14ac:dyDescent="0.25">
      <c r="A476" t="s">
        <v>1902</v>
      </c>
      <c r="B476" s="2">
        <v>45457</v>
      </c>
      <c r="C476" t="s">
        <v>995</v>
      </c>
      <c r="D476" t="s">
        <v>1015</v>
      </c>
      <c r="E476">
        <v>8</v>
      </c>
      <c r="F476">
        <v>10</v>
      </c>
      <c r="G476">
        <v>2.0699999999999998</v>
      </c>
      <c r="H476" t="s">
        <v>1138</v>
      </c>
      <c r="I476" t="s">
        <v>1337</v>
      </c>
      <c r="J476" t="s">
        <v>1416</v>
      </c>
      <c r="K476" t="s">
        <v>1426</v>
      </c>
    </row>
    <row r="477" spans="1:11" x14ac:dyDescent="0.25">
      <c r="A477" t="s">
        <v>1903</v>
      </c>
      <c r="B477" s="2">
        <v>45458</v>
      </c>
      <c r="C477" t="s">
        <v>599</v>
      </c>
      <c r="D477" t="s">
        <v>1014</v>
      </c>
      <c r="E477">
        <v>6</v>
      </c>
      <c r="F477">
        <v>15</v>
      </c>
      <c r="G477">
        <v>4.13</v>
      </c>
      <c r="H477" t="s">
        <v>1060</v>
      </c>
      <c r="I477" t="s">
        <v>1259</v>
      </c>
      <c r="J477" t="s">
        <v>1415</v>
      </c>
      <c r="K477" t="s">
        <v>1420</v>
      </c>
    </row>
    <row r="478" spans="1:11" x14ac:dyDescent="0.25">
      <c r="A478" t="s">
        <v>1904</v>
      </c>
      <c r="B478" s="2">
        <v>45459</v>
      </c>
      <c r="C478" t="s">
        <v>116</v>
      </c>
      <c r="D478" t="s">
        <v>1014</v>
      </c>
      <c r="E478">
        <v>4</v>
      </c>
      <c r="F478">
        <v>15</v>
      </c>
      <c r="G478">
        <v>4.33</v>
      </c>
      <c r="H478" t="s">
        <v>1096</v>
      </c>
      <c r="I478" t="s">
        <v>1295</v>
      </c>
      <c r="J478" t="s">
        <v>1414</v>
      </c>
      <c r="K478" t="s">
        <v>1425</v>
      </c>
    </row>
    <row r="479" spans="1:11" x14ac:dyDescent="0.25">
      <c r="A479" t="s">
        <v>1905</v>
      </c>
      <c r="B479" s="2">
        <v>45459</v>
      </c>
      <c r="C479" t="s">
        <v>562</v>
      </c>
      <c r="D479" t="s">
        <v>1013</v>
      </c>
      <c r="E479">
        <v>5</v>
      </c>
      <c r="F479">
        <v>25</v>
      </c>
      <c r="G479">
        <v>9.07</v>
      </c>
      <c r="H479" t="s">
        <v>1208</v>
      </c>
      <c r="I479" t="s">
        <v>1407</v>
      </c>
      <c r="J479" t="s">
        <v>1414</v>
      </c>
      <c r="K479" t="s">
        <v>1420</v>
      </c>
    </row>
    <row r="480" spans="1:11" x14ac:dyDescent="0.25">
      <c r="A480" t="s">
        <v>1906</v>
      </c>
      <c r="B480" s="2">
        <v>45460</v>
      </c>
      <c r="C480" t="s">
        <v>199</v>
      </c>
      <c r="D480" t="s">
        <v>1014</v>
      </c>
      <c r="E480">
        <v>9</v>
      </c>
      <c r="F480">
        <v>15</v>
      </c>
      <c r="G480">
        <v>5.65</v>
      </c>
      <c r="H480" t="s">
        <v>1031</v>
      </c>
      <c r="I480" t="s">
        <v>1230</v>
      </c>
      <c r="J480" t="s">
        <v>1414</v>
      </c>
      <c r="K480" t="s">
        <v>1424</v>
      </c>
    </row>
    <row r="481" spans="1:11" x14ac:dyDescent="0.25">
      <c r="A481" t="s">
        <v>1907</v>
      </c>
      <c r="B481" s="2">
        <v>45460</v>
      </c>
      <c r="C481" t="s">
        <v>626</v>
      </c>
      <c r="D481" t="s">
        <v>1011</v>
      </c>
      <c r="E481">
        <v>2</v>
      </c>
      <c r="F481">
        <v>12</v>
      </c>
      <c r="G481">
        <v>3.36</v>
      </c>
      <c r="H481" t="s">
        <v>1117</v>
      </c>
      <c r="I481" t="s">
        <v>1316</v>
      </c>
      <c r="J481" t="s">
        <v>1414</v>
      </c>
      <c r="K481" t="s">
        <v>1422</v>
      </c>
    </row>
    <row r="482" spans="1:11" x14ac:dyDescent="0.25">
      <c r="A482" t="s">
        <v>1908</v>
      </c>
      <c r="B482" s="2">
        <v>45460</v>
      </c>
      <c r="C482" t="s">
        <v>761</v>
      </c>
      <c r="D482" t="s">
        <v>1015</v>
      </c>
      <c r="E482">
        <v>10</v>
      </c>
      <c r="F482">
        <v>10</v>
      </c>
      <c r="G482">
        <v>2.37</v>
      </c>
      <c r="H482" t="s">
        <v>1200</v>
      </c>
      <c r="I482" t="s">
        <v>1399</v>
      </c>
      <c r="J482" t="s">
        <v>1414</v>
      </c>
      <c r="K482" t="s">
        <v>1423</v>
      </c>
    </row>
    <row r="483" spans="1:11" x14ac:dyDescent="0.25">
      <c r="A483" t="s">
        <v>1909</v>
      </c>
      <c r="B483" s="2">
        <v>45461</v>
      </c>
      <c r="C483" t="s">
        <v>64</v>
      </c>
      <c r="D483" t="s">
        <v>1014</v>
      </c>
      <c r="E483">
        <v>9</v>
      </c>
      <c r="F483">
        <v>15</v>
      </c>
      <c r="G483">
        <v>3.76</v>
      </c>
      <c r="H483" t="s">
        <v>1060</v>
      </c>
      <c r="I483" t="s">
        <v>1259</v>
      </c>
      <c r="J483" t="s">
        <v>1416</v>
      </c>
      <c r="K483" t="s">
        <v>1421</v>
      </c>
    </row>
    <row r="484" spans="1:11" x14ac:dyDescent="0.25">
      <c r="A484" t="s">
        <v>1910</v>
      </c>
      <c r="B484" s="2">
        <v>45461</v>
      </c>
      <c r="C484" t="s">
        <v>650</v>
      </c>
      <c r="D484" t="s">
        <v>1012</v>
      </c>
      <c r="E484">
        <v>3</v>
      </c>
      <c r="F484">
        <v>40</v>
      </c>
      <c r="G484">
        <v>11.38</v>
      </c>
      <c r="H484" t="s">
        <v>1195</v>
      </c>
      <c r="I484" t="s">
        <v>1394</v>
      </c>
      <c r="J484" t="s">
        <v>1415</v>
      </c>
      <c r="K484" t="s">
        <v>1426</v>
      </c>
    </row>
    <row r="485" spans="1:11" x14ac:dyDescent="0.25">
      <c r="A485" t="s">
        <v>1911</v>
      </c>
      <c r="B485" s="2">
        <v>45461</v>
      </c>
      <c r="C485" t="s">
        <v>656</v>
      </c>
      <c r="D485" t="s">
        <v>1015</v>
      </c>
      <c r="E485">
        <v>8</v>
      </c>
      <c r="F485">
        <v>10</v>
      </c>
      <c r="G485">
        <v>3.88</v>
      </c>
      <c r="H485" t="s">
        <v>1096</v>
      </c>
      <c r="I485" t="s">
        <v>1295</v>
      </c>
      <c r="J485" t="s">
        <v>1414</v>
      </c>
      <c r="K485" t="s">
        <v>1418</v>
      </c>
    </row>
    <row r="486" spans="1:11" x14ac:dyDescent="0.25">
      <c r="A486" t="s">
        <v>1912</v>
      </c>
      <c r="B486" s="2">
        <v>45461</v>
      </c>
      <c r="C486" t="s">
        <v>994</v>
      </c>
      <c r="D486" t="s">
        <v>1012</v>
      </c>
      <c r="E486">
        <v>10</v>
      </c>
      <c r="G486">
        <v>13.77</v>
      </c>
      <c r="H486" t="s">
        <v>1075</v>
      </c>
      <c r="I486" t="s">
        <v>1274</v>
      </c>
      <c r="J486" t="s">
        <v>1415</v>
      </c>
      <c r="K486" t="s">
        <v>1423</v>
      </c>
    </row>
    <row r="487" spans="1:11" x14ac:dyDescent="0.25">
      <c r="A487" t="s">
        <v>1913</v>
      </c>
      <c r="B487" s="2">
        <v>45462</v>
      </c>
      <c r="C487" t="s">
        <v>133</v>
      </c>
      <c r="D487" t="s">
        <v>1012</v>
      </c>
      <c r="E487">
        <v>6</v>
      </c>
      <c r="F487">
        <v>40</v>
      </c>
      <c r="G487">
        <v>8.89</v>
      </c>
      <c r="H487" t="s">
        <v>1110</v>
      </c>
      <c r="I487" t="s">
        <v>1309</v>
      </c>
      <c r="J487" t="s">
        <v>1414</v>
      </c>
      <c r="K487" t="s">
        <v>1424</v>
      </c>
    </row>
    <row r="488" spans="1:11" x14ac:dyDescent="0.25">
      <c r="A488" t="s">
        <v>1914</v>
      </c>
      <c r="B488" s="2">
        <v>45462</v>
      </c>
      <c r="C488" t="s">
        <v>814</v>
      </c>
      <c r="D488" t="s">
        <v>1012</v>
      </c>
      <c r="E488">
        <v>3</v>
      </c>
      <c r="F488">
        <v>40</v>
      </c>
      <c r="G488">
        <v>11.64</v>
      </c>
      <c r="H488" t="s">
        <v>1080</v>
      </c>
      <c r="I488" t="s">
        <v>1279</v>
      </c>
      <c r="J488" t="s">
        <v>1414</v>
      </c>
      <c r="K488" t="s">
        <v>1421</v>
      </c>
    </row>
    <row r="489" spans="1:11" x14ac:dyDescent="0.25">
      <c r="A489" t="s">
        <v>1915</v>
      </c>
      <c r="B489" s="2">
        <v>45462</v>
      </c>
      <c r="C489" t="s">
        <v>890</v>
      </c>
      <c r="D489" t="s">
        <v>1014</v>
      </c>
      <c r="E489">
        <v>6</v>
      </c>
      <c r="F489">
        <v>15</v>
      </c>
      <c r="G489">
        <v>4.5599999999999996</v>
      </c>
      <c r="H489" t="s">
        <v>1099</v>
      </c>
      <c r="I489" t="s">
        <v>1298</v>
      </c>
      <c r="J489" t="s">
        <v>1417</v>
      </c>
      <c r="K489" t="s">
        <v>1423</v>
      </c>
    </row>
    <row r="490" spans="1:11" x14ac:dyDescent="0.25">
      <c r="A490" t="s">
        <v>1916</v>
      </c>
      <c r="B490" s="2">
        <v>45462</v>
      </c>
      <c r="C490" t="s">
        <v>977</v>
      </c>
      <c r="D490" t="s">
        <v>1011</v>
      </c>
      <c r="E490">
        <v>5</v>
      </c>
      <c r="F490">
        <v>12</v>
      </c>
      <c r="G490">
        <v>4.3499999999999996</v>
      </c>
      <c r="H490" t="s">
        <v>1110</v>
      </c>
      <c r="I490" t="s">
        <v>1309</v>
      </c>
      <c r="J490" t="s">
        <v>1414</v>
      </c>
      <c r="K490" t="s">
        <v>1426</v>
      </c>
    </row>
    <row r="491" spans="1:11" x14ac:dyDescent="0.25">
      <c r="A491" t="s">
        <v>1917</v>
      </c>
      <c r="B491" s="2">
        <v>45463</v>
      </c>
      <c r="C491" t="s">
        <v>364</v>
      </c>
      <c r="D491" t="s">
        <v>1013</v>
      </c>
      <c r="E491">
        <v>10</v>
      </c>
      <c r="F491">
        <v>25</v>
      </c>
      <c r="G491">
        <v>6.8</v>
      </c>
      <c r="H491" t="s">
        <v>1050</v>
      </c>
      <c r="I491" t="s">
        <v>1249</v>
      </c>
      <c r="J491" t="s">
        <v>1414</v>
      </c>
      <c r="K491" t="s">
        <v>1419</v>
      </c>
    </row>
    <row r="492" spans="1:11" x14ac:dyDescent="0.25">
      <c r="A492" t="s">
        <v>1918</v>
      </c>
      <c r="B492" s="2">
        <v>45464</v>
      </c>
      <c r="C492" t="s">
        <v>663</v>
      </c>
      <c r="D492" t="s">
        <v>1011</v>
      </c>
      <c r="E492">
        <v>4</v>
      </c>
      <c r="F492">
        <v>12</v>
      </c>
      <c r="G492">
        <v>3.38</v>
      </c>
      <c r="H492" t="s">
        <v>1058</v>
      </c>
      <c r="I492" t="s">
        <v>1257</v>
      </c>
      <c r="J492" t="s">
        <v>1417</v>
      </c>
      <c r="K492" t="s">
        <v>1427</v>
      </c>
    </row>
    <row r="493" spans="1:11" x14ac:dyDescent="0.25">
      <c r="A493" t="s">
        <v>1919</v>
      </c>
      <c r="B493" s="2">
        <v>45464</v>
      </c>
      <c r="C493" t="s">
        <v>839</v>
      </c>
      <c r="D493" t="s">
        <v>1015</v>
      </c>
      <c r="E493">
        <v>4</v>
      </c>
      <c r="F493">
        <v>10</v>
      </c>
      <c r="G493">
        <v>3.23</v>
      </c>
      <c r="H493" t="s">
        <v>1207</v>
      </c>
      <c r="I493" t="s">
        <v>1406</v>
      </c>
      <c r="J493" t="s">
        <v>1417</v>
      </c>
      <c r="K493" t="s">
        <v>1427</v>
      </c>
    </row>
    <row r="494" spans="1:11" x14ac:dyDescent="0.25">
      <c r="A494" t="s">
        <v>1920</v>
      </c>
      <c r="B494" s="2">
        <v>45465</v>
      </c>
      <c r="C494" t="s">
        <v>631</v>
      </c>
      <c r="D494" t="s">
        <v>1011</v>
      </c>
      <c r="E494">
        <v>8</v>
      </c>
      <c r="F494">
        <v>12</v>
      </c>
      <c r="G494">
        <v>4.22</v>
      </c>
      <c r="H494" t="s">
        <v>1087</v>
      </c>
      <c r="I494" t="s">
        <v>1286</v>
      </c>
      <c r="J494" t="s">
        <v>1417</v>
      </c>
      <c r="K494" t="s">
        <v>1422</v>
      </c>
    </row>
    <row r="495" spans="1:11" x14ac:dyDescent="0.25">
      <c r="A495" t="s">
        <v>1921</v>
      </c>
      <c r="B495" s="2">
        <v>45465</v>
      </c>
      <c r="C495" t="s">
        <v>896</v>
      </c>
      <c r="D495" t="s">
        <v>1011</v>
      </c>
      <c r="E495">
        <v>9</v>
      </c>
      <c r="F495">
        <v>12</v>
      </c>
      <c r="G495">
        <v>4.3</v>
      </c>
      <c r="H495" t="s">
        <v>1139</v>
      </c>
      <c r="I495" t="s">
        <v>1338</v>
      </c>
      <c r="J495" t="s">
        <v>1416</v>
      </c>
      <c r="K495" t="s">
        <v>1420</v>
      </c>
    </row>
    <row r="496" spans="1:11" x14ac:dyDescent="0.25">
      <c r="A496" t="s">
        <v>1922</v>
      </c>
      <c r="B496" s="2">
        <v>45465</v>
      </c>
      <c r="C496" t="s">
        <v>914</v>
      </c>
      <c r="D496" t="s">
        <v>1011</v>
      </c>
      <c r="E496">
        <v>7</v>
      </c>
      <c r="F496">
        <v>12</v>
      </c>
      <c r="G496">
        <v>2.96</v>
      </c>
      <c r="H496" t="s">
        <v>1204</v>
      </c>
      <c r="I496" t="s">
        <v>1403</v>
      </c>
      <c r="J496" t="s">
        <v>1414</v>
      </c>
      <c r="K496" t="s">
        <v>1427</v>
      </c>
    </row>
    <row r="497" spans="1:11" x14ac:dyDescent="0.25">
      <c r="A497" t="s">
        <v>1923</v>
      </c>
      <c r="B497" s="2">
        <v>45466</v>
      </c>
      <c r="C497" t="s">
        <v>268</v>
      </c>
      <c r="D497" t="s">
        <v>1015</v>
      </c>
      <c r="E497">
        <v>9</v>
      </c>
      <c r="F497">
        <v>10</v>
      </c>
      <c r="G497">
        <v>2.59</v>
      </c>
      <c r="H497" t="s">
        <v>1160</v>
      </c>
      <c r="I497" t="s">
        <v>1359</v>
      </c>
      <c r="J497" t="s">
        <v>1414</v>
      </c>
      <c r="K497" t="s">
        <v>1421</v>
      </c>
    </row>
    <row r="498" spans="1:11" x14ac:dyDescent="0.25">
      <c r="A498" t="s">
        <v>1924</v>
      </c>
      <c r="B498" s="2">
        <v>45466</v>
      </c>
      <c r="C498" t="s">
        <v>919</v>
      </c>
      <c r="D498" t="s">
        <v>1011</v>
      </c>
      <c r="E498">
        <v>10</v>
      </c>
      <c r="F498">
        <v>12</v>
      </c>
      <c r="G498">
        <v>4.32</v>
      </c>
      <c r="H498" t="s">
        <v>1087</v>
      </c>
      <c r="I498" t="s">
        <v>1286</v>
      </c>
      <c r="J498" t="s">
        <v>1414</v>
      </c>
      <c r="K498" t="s">
        <v>1425</v>
      </c>
    </row>
    <row r="499" spans="1:11" x14ac:dyDescent="0.25">
      <c r="A499" t="s">
        <v>1925</v>
      </c>
      <c r="B499" s="2">
        <v>45466</v>
      </c>
      <c r="C499" t="s">
        <v>923</v>
      </c>
      <c r="D499" t="s">
        <v>1012</v>
      </c>
      <c r="E499">
        <v>1</v>
      </c>
      <c r="F499">
        <v>40</v>
      </c>
      <c r="G499">
        <v>10.67</v>
      </c>
      <c r="H499" t="s">
        <v>1040</v>
      </c>
      <c r="I499" t="s">
        <v>1239</v>
      </c>
      <c r="J499" t="s">
        <v>1414</v>
      </c>
      <c r="K499" t="s">
        <v>1427</v>
      </c>
    </row>
    <row r="500" spans="1:11" x14ac:dyDescent="0.25">
      <c r="A500" t="s">
        <v>1926</v>
      </c>
      <c r="B500" s="2">
        <v>45466</v>
      </c>
      <c r="C500" t="s">
        <v>945</v>
      </c>
      <c r="D500" t="s">
        <v>1012</v>
      </c>
      <c r="E500">
        <v>3</v>
      </c>
      <c r="F500">
        <v>40</v>
      </c>
      <c r="G500">
        <v>9.52</v>
      </c>
      <c r="H500" t="s">
        <v>1048</v>
      </c>
      <c r="I500" t="s">
        <v>1247</v>
      </c>
      <c r="J500" t="s">
        <v>1414</v>
      </c>
      <c r="K500" t="s">
        <v>1425</v>
      </c>
    </row>
    <row r="501" spans="1:11" x14ac:dyDescent="0.25">
      <c r="A501" t="s">
        <v>1927</v>
      </c>
      <c r="B501" s="2">
        <v>45466</v>
      </c>
      <c r="C501" t="s">
        <v>988</v>
      </c>
      <c r="D501" t="s">
        <v>1012</v>
      </c>
      <c r="E501">
        <v>8</v>
      </c>
      <c r="F501">
        <v>40</v>
      </c>
      <c r="G501">
        <v>13.53</v>
      </c>
      <c r="H501" t="s">
        <v>1116</v>
      </c>
      <c r="I501" t="s">
        <v>1315</v>
      </c>
      <c r="J501" t="s">
        <v>1414</v>
      </c>
      <c r="K501" t="s">
        <v>1424</v>
      </c>
    </row>
    <row r="502" spans="1:11" x14ac:dyDescent="0.25">
      <c r="A502" t="s">
        <v>1928</v>
      </c>
      <c r="B502" s="2">
        <v>45467</v>
      </c>
      <c r="C502" t="s">
        <v>27</v>
      </c>
      <c r="D502" t="s">
        <v>1012</v>
      </c>
      <c r="E502">
        <v>2</v>
      </c>
      <c r="F502">
        <v>40</v>
      </c>
      <c r="G502">
        <v>11.47</v>
      </c>
      <c r="H502" t="s">
        <v>1030</v>
      </c>
      <c r="I502" t="s">
        <v>1229</v>
      </c>
      <c r="J502" t="s">
        <v>1414</v>
      </c>
      <c r="K502" t="s">
        <v>1426</v>
      </c>
    </row>
    <row r="503" spans="1:11" x14ac:dyDescent="0.25">
      <c r="A503" t="s">
        <v>1929</v>
      </c>
      <c r="B503" s="2">
        <v>45467</v>
      </c>
      <c r="C503" t="s">
        <v>706</v>
      </c>
      <c r="D503" t="s">
        <v>1013</v>
      </c>
      <c r="E503">
        <v>4</v>
      </c>
      <c r="F503">
        <v>25</v>
      </c>
      <c r="G503">
        <v>6.06</v>
      </c>
      <c r="H503" t="s">
        <v>1083</v>
      </c>
      <c r="I503" t="s">
        <v>1282</v>
      </c>
      <c r="J503" t="s">
        <v>1416</v>
      </c>
      <c r="K503" t="s">
        <v>1421</v>
      </c>
    </row>
    <row r="504" spans="1:11" x14ac:dyDescent="0.25">
      <c r="A504" t="s">
        <v>1930</v>
      </c>
      <c r="B504" s="2">
        <v>45468</v>
      </c>
      <c r="C504" t="s">
        <v>97</v>
      </c>
      <c r="D504" t="s">
        <v>1014</v>
      </c>
      <c r="E504">
        <v>5</v>
      </c>
      <c r="F504">
        <v>15</v>
      </c>
      <c r="G504">
        <v>3.29</v>
      </c>
      <c r="H504" t="s">
        <v>1082</v>
      </c>
      <c r="I504" t="s">
        <v>1281</v>
      </c>
      <c r="J504" t="s">
        <v>1414</v>
      </c>
      <c r="K504" t="s">
        <v>1426</v>
      </c>
    </row>
    <row r="505" spans="1:11" x14ac:dyDescent="0.25">
      <c r="A505" t="s">
        <v>1931</v>
      </c>
      <c r="B505" s="2">
        <v>45468</v>
      </c>
      <c r="C505" t="s">
        <v>557</v>
      </c>
      <c r="D505" t="s">
        <v>1011</v>
      </c>
      <c r="E505">
        <v>9</v>
      </c>
      <c r="F505">
        <v>12</v>
      </c>
      <c r="G505">
        <v>4.29</v>
      </c>
      <c r="H505" t="s">
        <v>1054</v>
      </c>
      <c r="I505" t="s">
        <v>1253</v>
      </c>
      <c r="J505" t="s">
        <v>1414</v>
      </c>
      <c r="K505" t="s">
        <v>1420</v>
      </c>
    </row>
    <row r="506" spans="1:11" x14ac:dyDescent="0.25">
      <c r="A506" t="s">
        <v>1932</v>
      </c>
      <c r="B506" s="2">
        <v>45468</v>
      </c>
      <c r="C506" t="s">
        <v>858</v>
      </c>
      <c r="D506" t="s">
        <v>1011</v>
      </c>
      <c r="E506">
        <v>4</v>
      </c>
      <c r="F506">
        <v>12</v>
      </c>
      <c r="G506">
        <v>3.42</v>
      </c>
      <c r="H506" t="s">
        <v>1119</v>
      </c>
      <c r="I506" t="s">
        <v>1318</v>
      </c>
      <c r="J506" t="s">
        <v>1414</v>
      </c>
      <c r="K506" t="s">
        <v>1426</v>
      </c>
    </row>
    <row r="507" spans="1:11" x14ac:dyDescent="0.25">
      <c r="A507" t="s">
        <v>1933</v>
      </c>
      <c r="B507" s="2">
        <v>45469</v>
      </c>
      <c r="C507" t="s">
        <v>129</v>
      </c>
      <c r="D507" t="s">
        <v>1014</v>
      </c>
      <c r="E507">
        <v>6</v>
      </c>
      <c r="F507">
        <v>15</v>
      </c>
      <c r="G507">
        <v>5.73</v>
      </c>
      <c r="H507" t="s">
        <v>1106</v>
      </c>
      <c r="I507" t="s">
        <v>1305</v>
      </c>
      <c r="J507" t="s">
        <v>1416</v>
      </c>
      <c r="K507" t="s">
        <v>1422</v>
      </c>
    </row>
    <row r="508" spans="1:11" x14ac:dyDescent="0.25">
      <c r="A508" t="s">
        <v>1934</v>
      </c>
      <c r="B508" s="2">
        <v>45470</v>
      </c>
      <c r="C508" t="s">
        <v>185</v>
      </c>
      <c r="D508" t="s">
        <v>1011</v>
      </c>
      <c r="E508">
        <v>7</v>
      </c>
      <c r="F508">
        <v>12</v>
      </c>
      <c r="G508">
        <v>4.74</v>
      </c>
      <c r="H508" t="s">
        <v>1132</v>
      </c>
      <c r="I508" t="s">
        <v>1331</v>
      </c>
      <c r="J508" t="s">
        <v>1414</v>
      </c>
      <c r="K508" t="s">
        <v>1419</v>
      </c>
    </row>
    <row r="509" spans="1:11" x14ac:dyDescent="0.25">
      <c r="A509" t="s">
        <v>1935</v>
      </c>
      <c r="B509" s="2">
        <v>45470</v>
      </c>
      <c r="C509" t="s">
        <v>543</v>
      </c>
      <c r="D509" t="s">
        <v>1011</v>
      </c>
      <c r="E509">
        <v>3</v>
      </c>
      <c r="F509">
        <v>12</v>
      </c>
      <c r="G509">
        <v>2.81</v>
      </c>
      <c r="H509" t="s">
        <v>1185</v>
      </c>
      <c r="I509" t="s">
        <v>1384</v>
      </c>
      <c r="J509" t="s">
        <v>1414</v>
      </c>
      <c r="K509" t="s">
        <v>1424</v>
      </c>
    </row>
    <row r="510" spans="1:11" x14ac:dyDescent="0.25">
      <c r="A510" t="s">
        <v>1936</v>
      </c>
      <c r="B510" s="2">
        <v>45470</v>
      </c>
      <c r="C510" t="s">
        <v>649</v>
      </c>
      <c r="D510" t="s">
        <v>1012</v>
      </c>
      <c r="E510">
        <v>6</v>
      </c>
      <c r="F510">
        <v>40</v>
      </c>
      <c r="G510">
        <v>12.24</v>
      </c>
      <c r="H510" t="s">
        <v>1104</v>
      </c>
      <c r="I510" t="s">
        <v>1303</v>
      </c>
      <c r="J510" t="s">
        <v>1414</v>
      </c>
      <c r="K510" t="s">
        <v>1425</v>
      </c>
    </row>
    <row r="511" spans="1:11" x14ac:dyDescent="0.25">
      <c r="A511" t="s">
        <v>1937</v>
      </c>
      <c r="B511" s="2">
        <v>45472</v>
      </c>
      <c r="C511" t="s">
        <v>634</v>
      </c>
      <c r="D511" t="s">
        <v>1011</v>
      </c>
      <c r="E511">
        <v>10</v>
      </c>
      <c r="F511">
        <v>12</v>
      </c>
      <c r="G511">
        <v>4.72</v>
      </c>
      <c r="H511" t="s">
        <v>1150</v>
      </c>
      <c r="I511" t="s">
        <v>1349</v>
      </c>
      <c r="J511" t="s">
        <v>1414</v>
      </c>
      <c r="K511" t="s">
        <v>1424</v>
      </c>
    </row>
    <row r="512" spans="1:11" x14ac:dyDescent="0.25">
      <c r="A512" t="s">
        <v>1938</v>
      </c>
      <c r="B512" s="2">
        <v>45473</v>
      </c>
      <c r="C512" t="s">
        <v>227</v>
      </c>
      <c r="D512" t="s">
        <v>1011</v>
      </c>
      <c r="E512">
        <v>4</v>
      </c>
      <c r="F512">
        <v>12</v>
      </c>
      <c r="G512">
        <v>2.85</v>
      </c>
      <c r="H512" t="s">
        <v>1148</v>
      </c>
      <c r="I512" t="s">
        <v>1347</v>
      </c>
      <c r="J512" t="s">
        <v>1414</v>
      </c>
      <c r="K512" t="s">
        <v>1424</v>
      </c>
    </row>
    <row r="513" spans="1:11" x14ac:dyDescent="0.25">
      <c r="A513" t="s">
        <v>1939</v>
      </c>
      <c r="B513" s="2">
        <v>45473</v>
      </c>
      <c r="C513" t="s">
        <v>316</v>
      </c>
      <c r="D513" t="s">
        <v>1014</v>
      </c>
      <c r="E513">
        <v>4</v>
      </c>
      <c r="F513">
        <v>15</v>
      </c>
      <c r="G513">
        <v>5.4</v>
      </c>
      <c r="H513" t="s">
        <v>1135</v>
      </c>
      <c r="I513" t="s">
        <v>1334</v>
      </c>
      <c r="J513" t="s">
        <v>1414</v>
      </c>
      <c r="K513" t="s">
        <v>1418</v>
      </c>
    </row>
    <row r="514" spans="1:11" x14ac:dyDescent="0.25">
      <c r="A514" t="s">
        <v>1940</v>
      </c>
      <c r="B514" s="2">
        <v>45473</v>
      </c>
      <c r="C514" t="s">
        <v>916</v>
      </c>
      <c r="D514" t="s">
        <v>1015</v>
      </c>
      <c r="E514">
        <v>6</v>
      </c>
      <c r="F514">
        <v>10</v>
      </c>
      <c r="G514">
        <v>3.63</v>
      </c>
      <c r="H514" t="s">
        <v>1069</v>
      </c>
      <c r="I514" t="s">
        <v>1268</v>
      </c>
      <c r="J514" t="s">
        <v>1416</v>
      </c>
      <c r="K514" t="s">
        <v>1419</v>
      </c>
    </row>
    <row r="515" spans="1:11" x14ac:dyDescent="0.25">
      <c r="A515" t="s">
        <v>1941</v>
      </c>
      <c r="B515" s="2">
        <v>45473</v>
      </c>
      <c r="C515" t="s">
        <v>926</v>
      </c>
      <c r="D515" t="s">
        <v>1012</v>
      </c>
      <c r="E515">
        <v>9</v>
      </c>
      <c r="F515">
        <v>40</v>
      </c>
      <c r="G515">
        <v>10.5</v>
      </c>
      <c r="H515" t="s">
        <v>1082</v>
      </c>
      <c r="I515" t="s">
        <v>1281</v>
      </c>
      <c r="J515" t="s">
        <v>1416</v>
      </c>
      <c r="K515" t="s">
        <v>1427</v>
      </c>
    </row>
    <row r="516" spans="1:11" x14ac:dyDescent="0.25">
      <c r="A516" t="s">
        <v>1942</v>
      </c>
      <c r="B516" s="2">
        <v>45473</v>
      </c>
      <c r="C516" t="s">
        <v>987</v>
      </c>
      <c r="D516" t="s">
        <v>1013</v>
      </c>
      <c r="E516">
        <v>10</v>
      </c>
      <c r="F516">
        <v>25</v>
      </c>
      <c r="G516">
        <v>9.86</v>
      </c>
      <c r="H516" t="s">
        <v>1045</v>
      </c>
      <c r="I516" t="s">
        <v>1244</v>
      </c>
      <c r="J516" t="s">
        <v>1414</v>
      </c>
      <c r="K516" t="s">
        <v>1427</v>
      </c>
    </row>
    <row r="517" spans="1:11" x14ac:dyDescent="0.25">
      <c r="A517" t="s">
        <v>1943</v>
      </c>
      <c r="B517" s="2">
        <v>45474</v>
      </c>
      <c r="C517" t="s">
        <v>15</v>
      </c>
      <c r="D517" t="s">
        <v>1013</v>
      </c>
      <c r="E517">
        <v>6</v>
      </c>
      <c r="F517">
        <v>25</v>
      </c>
      <c r="G517">
        <v>9.43</v>
      </c>
      <c r="H517" t="s">
        <v>1020</v>
      </c>
      <c r="I517" t="s">
        <v>1219</v>
      </c>
      <c r="J517" t="s">
        <v>1414</v>
      </c>
      <c r="K517" t="s">
        <v>1421</v>
      </c>
    </row>
    <row r="518" spans="1:11" x14ac:dyDescent="0.25">
      <c r="A518" t="s">
        <v>1944</v>
      </c>
      <c r="B518" s="2">
        <v>45474</v>
      </c>
      <c r="C518" t="s">
        <v>66</v>
      </c>
      <c r="D518" t="s">
        <v>1013</v>
      </c>
      <c r="E518">
        <v>10</v>
      </c>
      <c r="F518">
        <v>25</v>
      </c>
      <c r="G518">
        <v>6.74</v>
      </c>
      <c r="H518" t="s">
        <v>1061</v>
      </c>
      <c r="I518" t="s">
        <v>1260</v>
      </c>
      <c r="J518" t="s">
        <v>1414</v>
      </c>
      <c r="K518" t="s">
        <v>1420</v>
      </c>
    </row>
    <row r="519" spans="1:11" x14ac:dyDescent="0.25">
      <c r="A519" t="s">
        <v>1945</v>
      </c>
      <c r="B519" s="2">
        <v>45474</v>
      </c>
      <c r="C519" t="s">
        <v>362</v>
      </c>
      <c r="D519" t="s">
        <v>1015</v>
      </c>
      <c r="E519">
        <v>3</v>
      </c>
      <c r="F519">
        <v>10</v>
      </c>
      <c r="G519">
        <v>2.65</v>
      </c>
      <c r="H519" t="s">
        <v>1115</v>
      </c>
      <c r="I519" t="s">
        <v>1314</v>
      </c>
      <c r="J519" t="s">
        <v>1414</v>
      </c>
      <c r="K519" t="s">
        <v>1422</v>
      </c>
    </row>
    <row r="520" spans="1:11" x14ac:dyDescent="0.25">
      <c r="A520" t="s">
        <v>1946</v>
      </c>
      <c r="B520" s="2">
        <v>45474</v>
      </c>
      <c r="C520" t="s">
        <v>560</v>
      </c>
      <c r="D520" t="s">
        <v>1013</v>
      </c>
      <c r="E520">
        <v>4</v>
      </c>
      <c r="F520">
        <v>25</v>
      </c>
      <c r="G520">
        <v>6.09</v>
      </c>
      <c r="H520" t="s">
        <v>1172</v>
      </c>
      <c r="I520" t="s">
        <v>1371</v>
      </c>
      <c r="J520" t="s">
        <v>1414</v>
      </c>
      <c r="K520" t="s">
        <v>1423</v>
      </c>
    </row>
    <row r="521" spans="1:11" x14ac:dyDescent="0.25">
      <c r="A521" t="s">
        <v>1947</v>
      </c>
      <c r="B521" s="2">
        <v>45475</v>
      </c>
      <c r="C521" t="s">
        <v>329</v>
      </c>
      <c r="D521" t="s">
        <v>1015</v>
      </c>
      <c r="E521">
        <v>4</v>
      </c>
      <c r="F521">
        <v>10</v>
      </c>
      <c r="G521">
        <v>3.41</v>
      </c>
      <c r="H521" t="s">
        <v>1174</v>
      </c>
      <c r="I521" t="s">
        <v>1373</v>
      </c>
      <c r="J521" t="s">
        <v>1414</v>
      </c>
      <c r="K521" t="s">
        <v>1426</v>
      </c>
    </row>
    <row r="522" spans="1:11" x14ac:dyDescent="0.25">
      <c r="A522" t="s">
        <v>1948</v>
      </c>
      <c r="B522" s="2">
        <v>45475</v>
      </c>
      <c r="C522" t="s">
        <v>908</v>
      </c>
      <c r="D522" t="s">
        <v>1012</v>
      </c>
      <c r="E522">
        <v>10</v>
      </c>
      <c r="F522">
        <v>40</v>
      </c>
      <c r="G522">
        <v>14.88</v>
      </c>
      <c r="H522" t="s">
        <v>1188</v>
      </c>
      <c r="I522" t="s">
        <v>1387</v>
      </c>
      <c r="J522" t="s">
        <v>1415</v>
      </c>
      <c r="K522" t="s">
        <v>1422</v>
      </c>
    </row>
    <row r="523" spans="1:11" x14ac:dyDescent="0.25">
      <c r="A523" t="s">
        <v>1949</v>
      </c>
      <c r="B523" s="2">
        <v>45476</v>
      </c>
      <c r="C523" t="s">
        <v>138</v>
      </c>
      <c r="D523" t="s">
        <v>1012</v>
      </c>
      <c r="E523">
        <v>8</v>
      </c>
      <c r="F523">
        <v>40</v>
      </c>
      <c r="G523">
        <v>13.65</v>
      </c>
      <c r="H523" t="s">
        <v>1113</v>
      </c>
      <c r="I523" t="s">
        <v>1312</v>
      </c>
      <c r="J523" t="s">
        <v>1416</v>
      </c>
      <c r="K523" t="s">
        <v>1426</v>
      </c>
    </row>
    <row r="524" spans="1:11" x14ac:dyDescent="0.25">
      <c r="A524" t="s">
        <v>1950</v>
      </c>
      <c r="B524" s="2">
        <v>45476</v>
      </c>
      <c r="C524" t="s">
        <v>475</v>
      </c>
      <c r="D524" t="s">
        <v>1013</v>
      </c>
      <c r="E524">
        <v>6</v>
      </c>
      <c r="F524">
        <v>25</v>
      </c>
      <c r="G524">
        <v>5.28</v>
      </c>
      <c r="H524" t="s">
        <v>1055</v>
      </c>
      <c r="I524" t="s">
        <v>1254</v>
      </c>
      <c r="J524" t="s">
        <v>1415</v>
      </c>
      <c r="K524" t="s">
        <v>1427</v>
      </c>
    </row>
    <row r="525" spans="1:11" x14ac:dyDescent="0.25">
      <c r="A525" t="s">
        <v>1951</v>
      </c>
      <c r="B525" s="2">
        <v>45476</v>
      </c>
      <c r="C525" t="s">
        <v>576</v>
      </c>
      <c r="D525" t="s">
        <v>1013</v>
      </c>
      <c r="E525">
        <v>2</v>
      </c>
      <c r="F525">
        <v>25</v>
      </c>
      <c r="G525">
        <v>8.89</v>
      </c>
      <c r="H525" t="s">
        <v>1082</v>
      </c>
      <c r="I525" t="s">
        <v>1281</v>
      </c>
      <c r="J525" t="s">
        <v>1414</v>
      </c>
      <c r="K525" t="s">
        <v>1424</v>
      </c>
    </row>
    <row r="526" spans="1:11" x14ac:dyDescent="0.25">
      <c r="A526" t="s">
        <v>1952</v>
      </c>
      <c r="B526" s="2">
        <v>45476</v>
      </c>
      <c r="C526" t="s">
        <v>967</v>
      </c>
      <c r="D526" t="s">
        <v>1011</v>
      </c>
      <c r="E526">
        <v>6</v>
      </c>
      <c r="F526">
        <v>12</v>
      </c>
      <c r="G526">
        <v>4.28</v>
      </c>
      <c r="H526" t="s">
        <v>1093</v>
      </c>
      <c r="I526" t="s">
        <v>1292</v>
      </c>
      <c r="J526" t="s">
        <v>1417</v>
      </c>
      <c r="K526" t="s">
        <v>1420</v>
      </c>
    </row>
    <row r="527" spans="1:11" x14ac:dyDescent="0.25">
      <c r="A527" t="s">
        <v>1953</v>
      </c>
      <c r="B527" s="2">
        <v>45477</v>
      </c>
      <c r="C527" t="s">
        <v>304</v>
      </c>
      <c r="D527" t="s">
        <v>1015</v>
      </c>
      <c r="E527">
        <v>8</v>
      </c>
      <c r="F527">
        <v>10</v>
      </c>
      <c r="G527">
        <v>3.74</v>
      </c>
      <c r="H527" t="s">
        <v>1137</v>
      </c>
      <c r="I527" t="s">
        <v>1336</v>
      </c>
      <c r="J527" t="s">
        <v>1416</v>
      </c>
      <c r="K527" t="s">
        <v>1422</v>
      </c>
    </row>
    <row r="528" spans="1:11" x14ac:dyDescent="0.25">
      <c r="A528" t="s">
        <v>1954</v>
      </c>
      <c r="B528" s="2">
        <v>45477</v>
      </c>
      <c r="C528" t="s">
        <v>330</v>
      </c>
      <c r="D528" t="s">
        <v>1013</v>
      </c>
      <c r="E528">
        <v>3</v>
      </c>
      <c r="F528">
        <v>25</v>
      </c>
      <c r="G528">
        <v>5.52</v>
      </c>
      <c r="H528" t="s">
        <v>1017</v>
      </c>
      <c r="I528" t="s">
        <v>1216</v>
      </c>
      <c r="J528" t="s">
        <v>1414</v>
      </c>
      <c r="K528" t="s">
        <v>1425</v>
      </c>
    </row>
    <row r="529" spans="1:11" x14ac:dyDescent="0.25">
      <c r="A529" t="s">
        <v>1955</v>
      </c>
      <c r="B529" s="2">
        <v>45477</v>
      </c>
      <c r="C529" t="s">
        <v>1000</v>
      </c>
      <c r="D529" t="s">
        <v>1012</v>
      </c>
      <c r="E529">
        <v>6</v>
      </c>
      <c r="F529">
        <v>40</v>
      </c>
      <c r="G529">
        <v>11.74</v>
      </c>
      <c r="H529" t="s">
        <v>1023</v>
      </c>
      <c r="I529" t="s">
        <v>1222</v>
      </c>
      <c r="J529" t="s">
        <v>1414</v>
      </c>
      <c r="K529" t="s">
        <v>1418</v>
      </c>
    </row>
    <row r="530" spans="1:11" x14ac:dyDescent="0.25">
      <c r="A530" t="s">
        <v>1956</v>
      </c>
      <c r="B530" s="2">
        <v>45478</v>
      </c>
      <c r="C530" t="s">
        <v>131</v>
      </c>
      <c r="D530" t="s">
        <v>1014</v>
      </c>
      <c r="E530">
        <v>2</v>
      </c>
      <c r="F530">
        <v>15</v>
      </c>
      <c r="G530">
        <v>4.2699999999999996</v>
      </c>
      <c r="H530" t="s">
        <v>1108</v>
      </c>
      <c r="I530" t="s">
        <v>1307</v>
      </c>
      <c r="J530" t="s">
        <v>1416</v>
      </c>
      <c r="K530" t="s">
        <v>1425</v>
      </c>
    </row>
    <row r="531" spans="1:11" x14ac:dyDescent="0.25">
      <c r="A531" t="s">
        <v>1957</v>
      </c>
      <c r="B531" s="2">
        <v>45478</v>
      </c>
      <c r="C531" t="s">
        <v>192</v>
      </c>
      <c r="D531" t="s">
        <v>1013</v>
      </c>
      <c r="E531">
        <v>10</v>
      </c>
      <c r="F531">
        <v>25</v>
      </c>
      <c r="G531">
        <v>9.14</v>
      </c>
      <c r="H531" t="s">
        <v>1098</v>
      </c>
      <c r="I531" t="s">
        <v>1297</v>
      </c>
      <c r="J531" t="s">
        <v>1416</v>
      </c>
      <c r="K531" t="s">
        <v>1422</v>
      </c>
    </row>
    <row r="532" spans="1:11" x14ac:dyDescent="0.25">
      <c r="A532" t="s">
        <v>1958</v>
      </c>
      <c r="B532" s="2">
        <v>45478</v>
      </c>
      <c r="C532" t="s">
        <v>346</v>
      </c>
      <c r="D532" t="s">
        <v>1012</v>
      </c>
      <c r="E532">
        <v>9</v>
      </c>
      <c r="F532">
        <v>40</v>
      </c>
      <c r="G532">
        <v>15.55</v>
      </c>
      <c r="H532" t="s">
        <v>1129</v>
      </c>
      <c r="I532" t="s">
        <v>1328</v>
      </c>
      <c r="J532" t="s">
        <v>1414</v>
      </c>
      <c r="K532" t="s">
        <v>1422</v>
      </c>
    </row>
    <row r="533" spans="1:11" x14ac:dyDescent="0.25">
      <c r="A533" t="s">
        <v>1959</v>
      </c>
      <c r="B533" s="2">
        <v>45478</v>
      </c>
      <c r="C533" t="s">
        <v>874</v>
      </c>
      <c r="D533" t="s">
        <v>1012</v>
      </c>
      <c r="E533">
        <v>7</v>
      </c>
      <c r="G533">
        <v>11.99</v>
      </c>
      <c r="H533" t="s">
        <v>1077</v>
      </c>
      <c r="I533" t="s">
        <v>1276</v>
      </c>
      <c r="J533" t="s">
        <v>1414</v>
      </c>
      <c r="K533" t="s">
        <v>1425</v>
      </c>
    </row>
    <row r="534" spans="1:11" x14ac:dyDescent="0.25">
      <c r="A534" t="s">
        <v>1960</v>
      </c>
      <c r="B534" s="2">
        <v>45479</v>
      </c>
      <c r="C534" t="s">
        <v>535</v>
      </c>
      <c r="D534" t="s">
        <v>1014</v>
      </c>
      <c r="E534">
        <v>4</v>
      </c>
      <c r="F534">
        <v>15</v>
      </c>
      <c r="G534">
        <v>4.22</v>
      </c>
      <c r="H534" t="s">
        <v>1201</v>
      </c>
      <c r="I534" t="s">
        <v>1400</v>
      </c>
      <c r="J534" t="s">
        <v>1415</v>
      </c>
      <c r="K534" t="s">
        <v>1423</v>
      </c>
    </row>
    <row r="535" spans="1:11" x14ac:dyDescent="0.25">
      <c r="A535" t="s">
        <v>1961</v>
      </c>
      <c r="B535" s="2">
        <v>45480</v>
      </c>
      <c r="C535" t="s">
        <v>422</v>
      </c>
      <c r="D535" t="s">
        <v>1011</v>
      </c>
      <c r="E535">
        <v>5</v>
      </c>
      <c r="F535">
        <v>12</v>
      </c>
      <c r="G535">
        <v>4.4800000000000004</v>
      </c>
      <c r="H535" t="s">
        <v>1024</v>
      </c>
      <c r="I535" t="s">
        <v>1223</v>
      </c>
      <c r="J535" t="s">
        <v>1415</v>
      </c>
      <c r="K535" t="s">
        <v>1423</v>
      </c>
    </row>
    <row r="536" spans="1:11" x14ac:dyDescent="0.25">
      <c r="A536" t="s">
        <v>1962</v>
      </c>
      <c r="B536" s="2">
        <v>45480</v>
      </c>
      <c r="C536" t="s">
        <v>524</v>
      </c>
      <c r="D536" t="s">
        <v>1014</v>
      </c>
      <c r="E536">
        <v>2</v>
      </c>
      <c r="F536">
        <v>15</v>
      </c>
      <c r="G536">
        <v>4.96</v>
      </c>
      <c r="H536" t="s">
        <v>1057</v>
      </c>
      <c r="I536" t="s">
        <v>1256</v>
      </c>
      <c r="J536" t="s">
        <v>1416</v>
      </c>
      <c r="K536" t="s">
        <v>1423</v>
      </c>
    </row>
    <row r="537" spans="1:11" x14ac:dyDescent="0.25">
      <c r="A537" t="s">
        <v>1963</v>
      </c>
      <c r="B537" s="2">
        <v>45482</v>
      </c>
      <c r="C537" t="s">
        <v>448</v>
      </c>
      <c r="D537" t="s">
        <v>1013</v>
      </c>
      <c r="E537">
        <v>5</v>
      </c>
      <c r="F537">
        <v>25</v>
      </c>
      <c r="G537">
        <v>7.6</v>
      </c>
      <c r="H537" t="s">
        <v>1074</v>
      </c>
      <c r="I537" t="s">
        <v>1273</v>
      </c>
      <c r="J537" t="s">
        <v>1414</v>
      </c>
      <c r="K537" t="s">
        <v>1420</v>
      </c>
    </row>
    <row r="538" spans="1:11" x14ac:dyDescent="0.25">
      <c r="A538" t="s">
        <v>1964</v>
      </c>
      <c r="B538" s="2">
        <v>45483</v>
      </c>
      <c r="C538" t="s">
        <v>238</v>
      </c>
      <c r="D538" t="s">
        <v>1011</v>
      </c>
      <c r="E538">
        <v>5</v>
      </c>
      <c r="F538">
        <v>12</v>
      </c>
      <c r="G538">
        <v>3.87</v>
      </c>
      <c r="H538" t="s">
        <v>1151</v>
      </c>
      <c r="I538" t="s">
        <v>1350</v>
      </c>
      <c r="J538" t="s">
        <v>1416</v>
      </c>
      <c r="K538" t="s">
        <v>1424</v>
      </c>
    </row>
    <row r="539" spans="1:11" x14ac:dyDescent="0.25">
      <c r="A539" t="s">
        <v>1965</v>
      </c>
      <c r="B539" s="2">
        <v>45483</v>
      </c>
      <c r="C539" t="s">
        <v>352</v>
      </c>
      <c r="D539" t="s">
        <v>1014</v>
      </c>
      <c r="E539">
        <v>6</v>
      </c>
      <c r="F539">
        <v>15</v>
      </c>
      <c r="G539">
        <v>3.58</v>
      </c>
      <c r="H539" t="s">
        <v>1026</v>
      </c>
      <c r="I539" t="s">
        <v>1225</v>
      </c>
      <c r="J539" t="s">
        <v>1414</v>
      </c>
      <c r="K539" t="s">
        <v>1426</v>
      </c>
    </row>
    <row r="540" spans="1:11" x14ac:dyDescent="0.25">
      <c r="A540" t="s">
        <v>1966</v>
      </c>
      <c r="B540" s="2">
        <v>45484</v>
      </c>
      <c r="C540" t="s">
        <v>395</v>
      </c>
      <c r="D540" t="s">
        <v>1014</v>
      </c>
      <c r="E540">
        <v>10</v>
      </c>
      <c r="G540">
        <v>5.77</v>
      </c>
      <c r="H540" t="s">
        <v>1094</v>
      </c>
      <c r="I540" t="s">
        <v>1293</v>
      </c>
      <c r="J540" t="s">
        <v>1414</v>
      </c>
      <c r="K540" t="s">
        <v>1426</v>
      </c>
    </row>
    <row r="541" spans="1:11" x14ac:dyDescent="0.25">
      <c r="A541" t="s">
        <v>1967</v>
      </c>
      <c r="B541" s="2">
        <v>45485</v>
      </c>
      <c r="C541" t="s">
        <v>155</v>
      </c>
      <c r="D541" t="s">
        <v>1012</v>
      </c>
      <c r="E541">
        <v>3</v>
      </c>
      <c r="F541">
        <v>40</v>
      </c>
      <c r="G541">
        <v>12.58</v>
      </c>
      <c r="H541" t="s">
        <v>1065</v>
      </c>
      <c r="I541" t="s">
        <v>1264</v>
      </c>
      <c r="J541" t="s">
        <v>1414</v>
      </c>
      <c r="K541" t="s">
        <v>1418</v>
      </c>
    </row>
    <row r="542" spans="1:11" x14ac:dyDescent="0.25">
      <c r="A542" t="s">
        <v>1968</v>
      </c>
      <c r="B542" s="2">
        <v>45485</v>
      </c>
      <c r="C542" t="s">
        <v>806</v>
      </c>
      <c r="D542" t="s">
        <v>1014</v>
      </c>
      <c r="E542">
        <v>9</v>
      </c>
      <c r="F542">
        <v>15</v>
      </c>
      <c r="G542">
        <v>5.0599999999999996</v>
      </c>
      <c r="H542" t="s">
        <v>1144</v>
      </c>
      <c r="I542" t="s">
        <v>1343</v>
      </c>
      <c r="J542" t="s">
        <v>1415</v>
      </c>
      <c r="K542" t="s">
        <v>1418</v>
      </c>
    </row>
    <row r="543" spans="1:11" x14ac:dyDescent="0.25">
      <c r="A543" t="s">
        <v>1969</v>
      </c>
      <c r="B543" s="2">
        <v>45485</v>
      </c>
      <c r="C543" t="s">
        <v>891</v>
      </c>
      <c r="D543" t="s">
        <v>1014</v>
      </c>
      <c r="E543">
        <v>9</v>
      </c>
      <c r="F543">
        <v>15</v>
      </c>
      <c r="G543">
        <v>4.67</v>
      </c>
      <c r="H543" t="s">
        <v>1055</v>
      </c>
      <c r="I543" t="s">
        <v>1254</v>
      </c>
      <c r="J543" t="s">
        <v>1414</v>
      </c>
      <c r="K543" t="s">
        <v>1427</v>
      </c>
    </row>
    <row r="544" spans="1:11" x14ac:dyDescent="0.25">
      <c r="A544" t="s">
        <v>1970</v>
      </c>
      <c r="B544" s="2">
        <v>45486</v>
      </c>
      <c r="C544" t="s">
        <v>373</v>
      </c>
      <c r="D544" t="s">
        <v>1015</v>
      </c>
      <c r="E544">
        <v>10</v>
      </c>
      <c r="F544">
        <v>10</v>
      </c>
      <c r="G544">
        <v>2.2200000000000002</v>
      </c>
      <c r="H544" t="s">
        <v>1180</v>
      </c>
      <c r="I544" t="s">
        <v>1379</v>
      </c>
      <c r="J544" t="s">
        <v>1417</v>
      </c>
      <c r="K544" t="s">
        <v>1423</v>
      </c>
    </row>
    <row r="545" spans="1:11" x14ac:dyDescent="0.25">
      <c r="A545" t="s">
        <v>1971</v>
      </c>
      <c r="B545" s="2">
        <v>45487</v>
      </c>
      <c r="C545" t="s">
        <v>177</v>
      </c>
      <c r="D545" t="s">
        <v>1015</v>
      </c>
      <c r="E545">
        <v>2</v>
      </c>
      <c r="F545">
        <v>10</v>
      </c>
      <c r="G545">
        <v>2.02</v>
      </c>
      <c r="H545" t="s">
        <v>1130</v>
      </c>
      <c r="I545" t="s">
        <v>1329</v>
      </c>
      <c r="J545" t="s">
        <v>1416</v>
      </c>
      <c r="K545" t="s">
        <v>1421</v>
      </c>
    </row>
    <row r="546" spans="1:11" x14ac:dyDescent="0.25">
      <c r="A546" t="s">
        <v>1972</v>
      </c>
      <c r="B546" s="2">
        <v>45487</v>
      </c>
      <c r="C546" t="s">
        <v>296</v>
      </c>
      <c r="D546" t="s">
        <v>1011</v>
      </c>
      <c r="E546">
        <v>5</v>
      </c>
      <c r="F546">
        <v>12</v>
      </c>
      <c r="G546">
        <v>2.5099999999999998</v>
      </c>
      <c r="H546" t="s">
        <v>1034</v>
      </c>
      <c r="I546" t="s">
        <v>1233</v>
      </c>
      <c r="J546" t="s">
        <v>1414</v>
      </c>
      <c r="K546" t="s">
        <v>1425</v>
      </c>
    </row>
    <row r="547" spans="1:11" x14ac:dyDescent="0.25">
      <c r="A547" t="s">
        <v>1973</v>
      </c>
      <c r="B547" s="2">
        <v>45487</v>
      </c>
      <c r="C547" t="s">
        <v>789</v>
      </c>
      <c r="D547" t="s">
        <v>1015</v>
      </c>
      <c r="E547">
        <v>4</v>
      </c>
      <c r="F547">
        <v>10</v>
      </c>
      <c r="G547">
        <v>3.9</v>
      </c>
      <c r="H547" t="s">
        <v>1089</v>
      </c>
      <c r="I547" t="s">
        <v>1288</v>
      </c>
      <c r="J547" t="s">
        <v>1416</v>
      </c>
      <c r="K547" t="s">
        <v>1423</v>
      </c>
    </row>
    <row r="548" spans="1:11" x14ac:dyDescent="0.25">
      <c r="A548" t="s">
        <v>1974</v>
      </c>
      <c r="B548" s="2">
        <v>45487</v>
      </c>
      <c r="C548" t="s">
        <v>893</v>
      </c>
      <c r="D548" t="s">
        <v>1012</v>
      </c>
      <c r="E548">
        <v>10</v>
      </c>
      <c r="F548">
        <v>40</v>
      </c>
      <c r="G548">
        <v>14.94</v>
      </c>
      <c r="H548" t="s">
        <v>1146</v>
      </c>
      <c r="I548" t="s">
        <v>1345</v>
      </c>
      <c r="J548" t="s">
        <v>1416</v>
      </c>
      <c r="K548" t="s">
        <v>1424</v>
      </c>
    </row>
    <row r="549" spans="1:11" x14ac:dyDescent="0.25">
      <c r="A549" t="s">
        <v>1975</v>
      </c>
      <c r="B549" s="2">
        <v>45488</v>
      </c>
      <c r="C549" t="s">
        <v>28</v>
      </c>
      <c r="D549" t="s">
        <v>1014</v>
      </c>
      <c r="E549">
        <v>6</v>
      </c>
      <c r="F549">
        <v>15</v>
      </c>
      <c r="G549">
        <v>3.49</v>
      </c>
      <c r="H549" t="s">
        <v>1031</v>
      </c>
      <c r="I549" t="s">
        <v>1230</v>
      </c>
      <c r="J549" t="s">
        <v>1415</v>
      </c>
      <c r="K549" t="s">
        <v>1419</v>
      </c>
    </row>
    <row r="550" spans="1:11" x14ac:dyDescent="0.25">
      <c r="A550" t="s">
        <v>1976</v>
      </c>
      <c r="B550" s="2">
        <v>45488</v>
      </c>
      <c r="C550" t="s">
        <v>216</v>
      </c>
      <c r="D550" t="s">
        <v>1012</v>
      </c>
      <c r="E550">
        <v>1</v>
      </c>
      <c r="F550">
        <v>40</v>
      </c>
      <c r="G550">
        <v>10.89</v>
      </c>
      <c r="H550" t="s">
        <v>1080</v>
      </c>
      <c r="I550" t="s">
        <v>1279</v>
      </c>
      <c r="J550" t="s">
        <v>1414</v>
      </c>
      <c r="K550" t="s">
        <v>1425</v>
      </c>
    </row>
    <row r="551" spans="1:11" x14ac:dyDescent="0.25">
      <c r="A551" t="s">
        <v>1977</v>
      </c>
      <c r="B551" s="2">
        <v>45488</v>
      </c>
      <c r="C551" t="s">
        <v>411</v>
      </c>
      <c r="D551" t="s">
        <v>1013</v>
      </c>
      <c r="E551">
        <v>3</v>
      </c>
      <c r="F551">
        <v>25</v>
      </c>
      <c r="G551">
        <v>6.64</v>
      </c>
      <c r="H551" t="s">
        <v>1182</v>
      </c>
      <c r="I551" t="s">
        <v>1381</v>
      </c>
      <c r="J551" t="s">
        <v>1414</v>
      </c>
      <c r="K551" t="s">
        <v>1422</v>
      </c>
    </row>
    <row r="552" spans="1:11" x14ac:dyDescent="0.25">
      <c r="A552" t="s">
        <v>1978</v>
      </c>
      <c r="B552" s="2">
        <v>45488</v>
      </c>
      <c r="C552" t="s">
        <v>612</v>
      </c>
      <c r="D552" t="s">
        <v>1013</v>
      </c>
      <c r="E552">
        <v>5</v>
      </c>
      <c r="F552">
        <v>25</v>
      </c>
      <c r="G552">
        <v>5.76</v>
      </c>
      <c r="H552" t="s">
        <v>1078</v>
      </c>
      <c r="I552" t="s">
        <v>1277</v>
      </c>
      <c r="J552" t="s">
        <v>1414</v>
      </c>
      <c r="K552" t="s">
        <v>1422</v>
      </c>
    </row>
    <row r="553" spans="1:11" x14ac:dyDescent="0.25">
      <c r="A553" t="s">
        <v>1979</v>
      </c>
      <c r="B553" s="2">
        <v>45488</v>
      </c>
      <c r="C553" t="s">
        <v>767</v>
      </c>
      <c r="D553" t="s">
        <v>1014</v>
      </c>
      <c r="E553">
        <v>2</v>
      </c>
      <c r="F553">
        <v>15</v>
      </c>
      <c r="G553">
        <v>5.21</v>
      </c>
      <c r="H553" t="s">
        <v>1151</v>
      </c>
      <c r="I553" t="s">
        <v>1350</v>
      </c>
      <c r="J553" t="s">
        <v>1414</v>
      </c>
      <c r="K553" t="s">
        <v>1420</v>
      </c>
    </row>
    <row r="554" spans="1:11" x14ac:dyDescent="0.25">
      <c r="A554" t="s">
        <v>1980</v>
      </c>
      <c r="B554" s="2">
        <v>45489</v>
      </c>
      <c r="C554" t="s">
        <v>190</v>
      </c>
      <c r="D554" t="s">
        <v>1015</v>
      </c>
      <c r="E554">
        <v>3</v>
      </c>
      <c r="F554">
        <v>10</v>
      </c>
      <c r="G554">
        <v>3.27</v>
      </c>
      <c r="H554" t="s">
        <v>1109</v>
      </c>
      <c r="I554" t="s">
        <v>1308</v>
      </c>
      <c r="J554" t="s">
        <v>1416</v>
      </c>
      <c r="K554" t="s">
        <v>1421</v>
      </c>
    </row>
    <row r="555" spans="1:11" x14ac:dyDescent="0.25">
      <c r="A555" t="s">
        <v>1981</v>
      </c>
      <c r="B555" s="2">
        <v>45489</v>
      </c>
      <c r="C555" t="s">
        <v>486</v>
      </c>
      <c r="D555" t="s">
        <v>1014</v>
      </c>
      <c r="E555">
        <v>4</v>
      </c>
      <c r="F555">
        <v>15</v>
      </c>
      <c r="G555">
        <v>5.98</v>
      </c>
      <c r="H555" t="s">
        <v>1146</v>
      </c>
      <c r="I555" t="s">
        <v>1345</v>
      </c>
      <c r="J555" t="s">
        <v>1414</v>
      </c>
      <c r="K555" t="s">
        <v>1422</v>
      </c>
    </row>
    <row r="556" spans="1:11" x14ac:dyDescent="0.25">
      <c r="A556" t="s">
        <v>1982</v>
      </c>
      <c r="B556" s="2">
        <v>45490</v>
      </c>
      <c r="C556" t="s">
        <v>345</v>
      </c>
      <c r="D556" t="s">
        <v>1015</v>
      </c>
      <c r="E556">
        <v>4</v>
      </c>
      <c r="F556">
        <v>10</v>
      </c>
      <c r="G556">
        <v>2.38</v>
      </c>
      <c r="H556" t="s">
        <v>1042</v>
      </c>
      <c r="I556" t="s">
        <v>1241</v>
      </c>
      <c r="J556" t="s">
        <v>1417</v>
      </c>
      <c r="K556" t="s">
        <v>1420</v>
      </c>
    </row>
    <row r="557" spans="1:11" x14ac:dyDescent="0.25">
      <c r="A557" t="s">
        <v>1983</v>
      </c>
      <c r="B557" s="2">
        <v>45490</v>
      </c>
      <c r="C557" t="s">
        <v>500</v>
      </c>
      <c r="D557" t="s">
        <v>1014</v>
      </c>
      <c r="E557">
        <v>7</v>
      </c>
      <c r="F557">
        <v>15</v>
      </c>
      <c r="G557">
        <v>4.13</v>
      </c>
      <c r="H557" t="s">
        <v>1165</v>
      </c>
      <c r="I557" t="s">
        <v>1364</v>
      </c>
      <c r="J557" t="s">
        <v>1414</v>
      </c>
      <c r="K557" t="s">
        <v>1427</v>
      </c>
    </row>
    <row r="558" spans="1:11" x14ac:dyDescent="0.25">
      <c r="A558" t="s">
        <v>1984</v>
      </c>
      <c r="B558" s="2">
        <v>45490</v>
      </c>
      <c r="C558" t="s">
        <v>775</v>
      </c>
      <c r="D558" t="s">
        <v>1013</v>
      </c>
      <c r="E558">
        <v>5</v>
      </c>
      <c r="F558">
        <v>25</v>
      </c>
      <c r="G558">
        <v>9.35</v>
      </c>
      <c r="H558" t="s">
        <v>1143</v>
      </c>
      <c r="I558" t="s">
        <v>1342</v>
      </c>
      <c r="J558" t="s">
        <v>1414</v>
      </c>
      <c r="K558" t="s">
        <v>1426</v>
      </c>
    </row>
    <row r="559" spans="1:11" x14ac:dyDescent="0.25">
      <c r="A559" t="s">
        <v>1985</v>
      </c>
      <c r="B559" s="2">
        <v>45490</v>
      </c>
      <c r="C559" t="s">
        <v>947</v>
      </c>
      <c r="D559" t="s">
        <v>1014</v>
      </c>
      <c r="E559">
        <v>8</v>
      </c>
      <c r="F559">
        <v>15</v>
      </c>
      <c r="G559">
        <v>3.62</v>
      </c>
      <c r="H559" t="s">
        <v>1120</v>
      </c>
      <c r="I559" t="s">
        <v>1319</v>
      </c>
      <c r="J559" t="s">
        <v>1417</v>
      </c>
      <c r="K559" t="s">
        <v>1421</v>
      </c>
    </row>
    <row r="560" spans="1:11" x14ac:dyDescent="0.25">
      <c r="A560" t="s">
        <v>1986</v>
      </c>
      <c r="B560" s="2">
        <v>45491</v>
      </c>
      <c r="C560" t="s">
        <v>359</v>
      </c>
      <c r="D560" t="s">
        <v>1013</v>
      </c>
      <c r="E560">
        <v>5</v>
      </c>
      <c r="F560">
        <v>25</v>
      </c>
      <c r="G560">
        <v>8.68</v>
      </c>
      <c r="H560" t="s">
        <v>1042</v>
      </c>
      <c r="I560" t="s">
        <v>1241</v>
      </c>
      <c r="J560" t="s">
        <v>1414</v>
      </c>
      <c r="K560" t="s">
        <v>1418</v>
      </c>
    </row>
    <row r="561" spans="1:11" x14ac:dyDescent="0.25">
      <c r="A561" t="s">
        <v>1987</v>
      </c>
      <c r="B561" s="2">
        <v>45491</v>
      </c>
      <c r="C561" t="s">
        <v>425</v>
      </c>
      <c r="D561" t="s">
        <v>1014</v>
      </c>
      <c r="E561">
        <v>10</v>
      </c>
      <c r="F561">
        <v>15</v>
      </c>
      <c r="G561">
        <v>3.4</v>
      </c>
      <c r="H561" t="s">
        <v>1092</v>
      </c>
      <c r="I561" t="s">
        <v>1291</v>
      </c>
      <c r="J561" t="s">
        <v>1415</v>
      </c>
      <c r="K561" t="s">
        <v>1420</v>
      </c>
    </row>
    <row r="562" spans="1:11" x14ac:dyDescent="0.25">
      <c r="A562" t="s">
        <v>1988</v>
      </c>
      <c r="B562" s="2">
        <v>45491</v>
      </c>
      <c r="C562" t="s">
        <v>555</v>
      </c>
      <c r="D562" t="s">
        <v>1012</v>
      </c>
      <c r="E562">
        <v>2</v>
      </c>
      <c r="F562">
        <v>40</v>
      </c>
      <c r="G562">
        <v>9.3000000000000007</v>
      </c>
      <c r="H562" t="s">
        <v>1016</v>
      </c>
      <c r="I562" t="s">
        <v>1215</v>
      </c>
      <c r="J562" t="s">
        <v>1414</v>
      </c>
      <c r="K562" t="s">
        <v>1427</v>
      </c>
    </row>
    <row r="563" spans="1:11" x14ac:dyDescent="0.25">
      <c r="A563" t="s">
        <v>1989</v>
      </c>
      <c r="B563" s="2">
        <v>45491</v>
      </c>
      <c r="C563" t="s">
        <v>694</v>
      </c>
      <c r="D563" t="s">
        <v>1014</v>
      </c>
      <c r="E563">
        <v>7</v>
      </c>
      <c r="F563">
        <v>15</v>
      </c>
      <c r="G563">
        <v>3.65</v>
      </c>
      <c r="H563" t="s">
        <v>1063</v>
      </c>
      <c r="I563" t="s">
        <v>1262</v>
      </c>
      <c r="J563" t="s">
        <v>1417</v>
      </c>
      <c r="K563" t="s">
        <v>1418</v>
      </c>
    </row>
    <row r="564" spans="1:11" x14ac:dyDescent="0.25">
      <c r="A564" t="s">
        <v>1990</v>
      </c>
      <c r="B564" s="2">
        <v>45491</v>
      </c>
      <c r="C564" t="s">
        <v>776</v>
      </c>
      <c r="D564" t="s">
        <v>1012</v>
      </c>
      <c r="E564">
        <v>2</v>
      </c>
      <c r="F564">
        <v>40</v>
      </c>
      <c r="G564">
        <v>14.04</v>
      </c>
      <c r="H564" t="s">
        <v>1077</v>
      </c>
      <c r="I564" t="s">
        <v>1276</v>
      </c>
      <c r="J564" t="s">
        <v>1416</v>
      </c>
      <c r="K564" t="s">
        <v>1419</v>
      </c>
    </row>
    <row r="565" spans="1:11" x14ac:dyDescent="0.25">
      <c r="A565" t="s">
        <v>1991</v>
      </c>
      <c r="B565" s="2">
        <v>45492</v>
      </c>
      <c r="C565" t="s">
        <v>627</v>
      </c>
      <c r="D565" t="s">
        <v>1013</v>
      </c>
      <c r="E565">
        <v>2</v>
      </c>
      <c r="F565">
        <v>25</v>
      </c>
      <c r="G565">
        <v>9.57</v>
      </c>
      <c r="H565" t="s">
        <v>1176</v>
      </c>
      <c r="I565" t="s">
        <v>1375</v>
      </c>
      <c r="J565" t="s">
        <v>1414</v>
      </c>
      <c r="K565" t="s">
        <v>1425</v>
      </c>
    </row>
    <row r="566" spans="1:11" x14ac:dyDescent="0.25">
      <c r="A566" t="s">
        <v>1992</v>
      </c>
      <c r="B566" s="2">
        <v>45493</v>
      </c>
      <c r="C566" t="s">
        <v>513</v>
      </c>
      <c r="D566" t="s">
        <v>1012</v>
      </c>
      <c r="E566">
        <v>3</v>
      </c>
      <c r="F566">
        <v>40</v>
      </c>
      <c r="G566">
        <v>12.77</v>
      </c>
      <c r="H566" t="s">
        <v>1062</v>
      </c>
      <c r="I566" t="s">
        <v>1261</v>
      </c>
      <c r="J566" t="s">
        <v>1414</v>
      </c>
      <c r="K566" t="s">
        <v>1421</v>
      </c>
    </row>
    <row r="567" spans="1:11" x14ac:dyDescent="0.25">
      <c r="A567" t="s">
        <v>1993</v>
      </c>
      <c r="B567" s="2">
        <v>45494</v>
      </c>
      <c r="C567" t="s">
        <v>144</v>
      </c>
      <c r="D567" t="s">
        <v>1014</v>
      </c>
      <c r="E567">
        <v>8</v>
      </c>
      <c r="F567">
        <v>15</v>
      </c>
      <c r="G567">
        <v>4.2699999999999996</v>
      </c>
      <c r="H567" t="s">
        <v>1052</v>
      </c>
      <c r="I567" t="s">
        <v>1251</v>
      </c>
      <c r="J567" t="s">
        <v>1416</v>
      </c>
      <c r="K567" t="s">
        <v>1424</v>
      </c>
    </row>
    <row r="568" spans="1:11" x14ac:dyDescent="0.25">
      <c r="A568" t="s">
        <v>1994</v>
      </c>
      <c r="B568" s="2">
        <v>45494</v>
      </c>
      <c r="C568" t="s">
        <v>276</v>
      </c>
      <c r="D568" t="s">
        <v>1013</v>
      </c>
      <c r="E568">
        <v>4</v>
      </c>
      <c r="G568">
        <v>8.75</v>
      </c>
      <c r="H568" t="s">
        <v>1162</v>
      </c>
      <c r="I568" t="s">
        <v>1361</v>
      </c>
      <c r="J568" t="s">
        <v>1414</v>
      </c>
      <c r="K568" t="s">
        <v>1424</v>
      </c>
    </row>
    <row r="569" spans="1:11" x14ac:dyDescent="0.25">
      <c r="A569" t="s">
        <v>1995</v>
      </c>
      <c r="B569" s="2">
        <v>45494</v>
      </c>
      <c r="C569" t="s">
        <v>892</v>
      </c>
      <c r="D569" t="s">
        <v>1012</v>
      </c>
      <c r="E569">
        <v>3</v>
      </c>
      <c r="F569">
        <v>40</v>
      </c>
      <c r="G569">
        <v>9.3699999999999992</v>
      </c>
      <c r="H569" t="s">
        <v>1175</v>
      </c>
      <c r="I569" t="s">
        <v>1374</v>
      </c>
      <c r="J569" t="s">
        <v>1414</v>
      </c>
      <c r="K569" t="s">
        <v>1418</v>
      </c>
    </row>
    <row r="570" spans="1:11" x14ac:dyDescent="0.25">
      <c r="A570" t="s">
        <v>1996</v>
      </c>
      <c r="B570" s="2">
        <v>45495</v>
      </c>
      <c r="C570" t="s">
        <v>183</v>
      </c>
      <c r="D570" t="s">
        <v>1012</v>
      </c>
      <c r="E570">
        <v>5</v>
      </c>
      <c r="F570">
        <v>40</v>
      </c>
      <c r="G570">
        <v>11</v>
      </c>
      <c r="H570" t="s">
        <v>1133</v>
      </c>
      <c r="I570" t="s">
        <v>1332</v>
      </c>
      <c r="J570" t="s">
        <v>1414</v>
      </c>
      <c r="K570" t="s">
        <v>1421</v>
      </c>
    </row>
    <row r="571" spans="1:11" x14ac:dyDescent="0.25">
      <c r="A571" t="s">
        <v>1997</v>
      </c>
      <c r="B571" s="2">
        <v>45495</v>
      </c>
      <c r="C571" t="s">
        <v>496</v>
      </c>
      <c r="D571" t="s">
        <v>1013</v>
      </c>
      <c r="E571">
        <v>10</v>
      </c>
      <c r="F571">
        <v>25</v>
      </c>
      <c r="G571">
        <v>5.0999999999999996</v>
      </c>
      <c r="H571" t="s">
        <v>1126</v>
      </c>
      <c r="I571" t="s">
        <v>1325</v>
      </c>
      <c r="J571" t="s">
        <v>1414</v>
      </c>
      <c r="K571" t="s">
        <v>1426</v>
      </c>
    </row>
    <row r="572" spans="1:11" x14ac:dyDescent="0.25">
      <c r="A572" t="s">
        <v>1998</v>
      </c>
      <c r="B572" s="2">
        <v>45495</v>
      </c>
      <c r="C572" t="s">
        <v>533</v>
      </c>
      <c r="D572" t="s">
        <v>1012</v>
      </c>
      <c r="E572">
        <v>8</v>
      </c>
      <c r="F572">
        <v>40</v>
      </c>
      <c r="G572">
        <v>10.119999999999999</v>
      </c>
      <c r="H572" t="s">
        <v>1206</v>
      </c>
      <c r="I572" t="s">
        <v>1405</v>
      </c>
      <c r="J572" t="s">
        <v>1414</v>
      </c>
      <c r="K572" t="s">
        <v>1427</v>
      </c>
    </row>
    <row r="573" spans="1:11" x14ac:dyDescent="0.25">
      <c r="A573" t="s">
        <v>1999</v>
      </c>
      <c r="B573" s="2">
        <v>45496</v>
      </c>
      <c r="C573" t="s">
        <v>248</v>
      </c>
      <c r="D573" t="s">
        <v>1014</v>
      </c>
      <c r="E573">
        <v>7</v>
      </c>
      <c r="F573">
        <v>15</v>
      </c>
      <c r="G573">
        <v>5.88</v>
      </c>
      <c r="H573" t="s">
        <v>1157</v>
      </c>
      <c r="I573" t="s">
        <v>1356</v>
      </c>
      <c r="J573" t="s">
        <v>1415</v>
      </c>
      <c r="K573" t="s">
        <v>1418</v>
      </c>
    </row>
    <row r="574" spans="1:11" x14ac:dyDescent="0.25">
      <c r="A574" t="s">
        <v>2000</v>
      </c>
      <c r="B574" s="2">
        <v>45496</v>
      </c>
      <c r="C574" t="s">
        <v>356</v>
      </c>
      <c r="D574" t="s">
        <v>1015</v>
      </c>
      <c r="E574">
        <v>1</v>
      </c>
      <c r="F574">
        <v>10</v>
      </c>
      <c r="G574">
        <v>2.21</v>
      </c>
      <c r="H574" t="s">
        <v>1062</v>
      </c>
      <c r="I574" t="s">
        <v>1261</v>
      </c>
      <c r="J574" t="s">
        <v>1414</v>
      </c>
      <c r="K574" t="s">
        <v>1420</v>
      </c>
    </row>
    <row r="575" spans="1:11" x14ac:dyDescent="0.25">
      <c r="A575" t="s">
        <v>2001</v>
      </c>
      <c r="B575" s="2">
        <v>45496</v>
      </c>
      <c r="C575" t="s">
        <v>795</v>
      </c>
      <c r="D575" t="s">
        <v>1012</v>
      </c>
      <c r="E575">
        <v>3</v>
      </c>
      <c r="F575">
        <v>40</v>
      </c>
      <c r="G575">
        <v>8.3800000000000008</v>
      </c>
      <c r="H575" t="s">
        <v>1149</v>
      </c>
      <c r="I575" t="s">
        <v>1348</v>
      </c>
      <c r="J575" t="s">
        <v>1414</v>
      </c>
      <c r="K575" t="s">
        <v>1422</v>
      </c>
    </row>
    <row r="576" spans="1:11" x14ac:dyDescent="0.25">
      <c r="A576" t="s">
        <v>2002</v>
      </c>
      <c r="B576" s="2">
        <v>45496</v>
      </c>
      <c r="C576" t="s">
        <v>818</v>
      </c>
      <c r="D576" t="s">
        <v>1011</v>
      </c>
      <c r="E576">
        <v>6</v>
      </c>
      <c r="F576">
        <v>12</v>
      </c>
      <c r="G576">
        <v>2.68</v>
      </c>
      <c r="H576" t="s">
        <v>1159</v>
      </c>
      <c r="I576" t="s">
        <v>1358</v>
      </c>
      <c r="J576" t="s">
        <v>1414</v>
      </c>
      <c r="K576" t="s">
        <v>1418</v>
      </c>
    </row>
    <row r="577" spans="1:11" x14ac:dyDescent="0.25">
      <c r="A577" t="s">
        <v>2003</v>
      </c>
      <c r="B577" s="2">
        <v>45498</v>
      </c>
      <c r="C577" t="s">
        <v>21</v>
      </c>
      <c r="D577" t="s">
        <v>1013</v>
      </c>
      <c r="E577">
        <v>8</v>
      </c>
      <c r="F577">
        <v>25</v>
      </c>
      <c r="G577">
        <v>6.6</v>
      </c>
      <c r="H577" t="s">
        <v>1024</v>
      </c>
      <c r="I577" t="s">
        <v>1223</v>
      </c>
      <c r="J577" t="s">
        <v>1414</v>
      </c>
      <c r="K577" t="s">
        <v>1423</v>
      </c>
    </row>
    <row r="578" spans="1:11" x14ac:dyDescent="0.25">
      <c r="A578" t="s">
        <v>2004</v>
      </c>
      <c r="B578" s="2">
        <v>45498</v>
      </c>
      <c r="C578" t="s">
        <v>172</v>
      </c>
      <c r="D578" t="s">
        <v>1012</v>
      </c>
      <c r="E578">
        <v>4</v>
      </c>
      <c r="F578">
        <v>40</v>
      </c>
      <c r="G578">
        <v>14.82</v>
      </c>
      <c r="H578" t="s">
        <v>1041</v>
      </c>
      <c r="I578" t="s">
        <v>1240</v>
      </c>
      <c r="J578" t="s">
        <v>1414</v>
      </c>
      <c r="K578" t="s">
        <v>1420</v>
      </c>
    </row>
    <row r="579" spans="1:11" x14ac:dyDescent="0.25">
      <c r="A579" t="s">
        <v>2005</v>
      </c>
      <c r="B579" s="2">
        <v>45498</v>
      </c>
      <c r="C579" t="s">
        <v>242</v>
      </c>
      <c r="D579" t="s">
        <v>1013</v>
      </c>
      <c r="E579">
        <v>7</v>
      </c>
      <c r="F579">
        <v>25</v>
      </c>
      <c r="G579">
        <v>8.67</v>
      </c>
      <c r="H579" t="s">
        <v>1142</v>
      </c>
      <c r="I579" t="s">
        <v>1341</v>
      </c>
      <c r="J579" t="s">
        <v>1416</v>
      </c>
      <c r="K579" t="s">
        <v>1419</v>
      </c>
    </row>
    <row r="580" spans="1:11" x14ac:dyDescent="0.25">
      <c r="A580" t="s">
        <v>2006</v>
      </c>
      <c r="B580" s="2">
        <v>45498</v>
      </c>
      <c r="C580" t="s">
        <v>254</v>
      </c>
      <c r="D580" t="s">
        <v>1014</v>
      </c>
      <c r="E580">
        <v>8</v>
      </c>
      <c r="F580">
        <v>15</v>
      </c>
      <c r="G580">
        <v>5.97</v>
      </c>
      <c r="H580" t="s">
        <v>1046</v>
      </c>
      <c r="I580" t="s">
        <v>1245</v>
      </c>
      <c r="J580" t="s">
        <v>1414</v>
      </c>
      <c r="K580" t="s">
        <v>1419</v>
      </c>
    </row>
    <row r="581" spans="1:11" x14ac:dyDescent="0.25">
      <c r="A581" t="s">
        <v>2007</v>
      </c>
      <c r="B581" s="2">
        <v>45498</v>
      </c>
      <c r="C581" t="s">
        <v>444</v>
      </c>
      <c r="D581" t="s">
        <v>1011</v>
      </c>
      <c r="E581">
        <v>4</v>
      </c>
      <c r="F581">
        <v>12</v>
      </c>
      <c r="G581">
        <v>3.9</v>
      </c>
      <c r="H581" t="s">
        <v>1192</v>
      </c>
      <c r="I581" t="s">
        <v>1391</v>
      </c>
      <c r="J581" t="s">
        <v>1414</v>
      </c>
      <c r="K581" t="s">
        <v>1420</v>
      </c>
    </row>
    <row r="582" spans="1:11" x14ac:dyDescent="0.25">
      <c r="A582" t="s">
        <v>2008</v>
      </c>
      <c r="B582" s="2">
        <v>45498</v>
      </c>
      <c r="C582" t="s">
        <v>689</v>
      </c>
      <c r="D582" t="s">
        <v>1015</v>
      </c>
      <c r="E582">
        <v>6</v>
      </c>
      <c r="F582">
        <v>10</v>
      </c>
      <c r="G582">
        <v>3.16</v>
      </c>
      <c r="H582" t="s">
        <v>1182</v>
      </c>
      <c r="I582" t="s">
        <v>1381</v>
      </c>
      <c r="J582" t="s">
        <v>1414</v>
      </c>
      <c r="K582" t="s">
        <v>1422</v>
      </c>
    </row>
    <row r="583" spans="1:11" x14ac:dyDescent="0.25">
      <c r="A583" t="s">
        <v>2009</v>
      </c>
      <c r="B583" s="2">
        <v>45498</v>
      </c>
      <c r="C583" t="s">
        <v>930</v>
      </c>
      <c r="D583" t="s">
        <v>1012</v>
      </c>
      <c r="E583">
        <v>3</v>
      </c>
      <c r="F583">
        <v>40</v>
      </c>
      <c r="G583">
        <v>11.05</v>
      </c>
      <c r="H583" t="s">
        <v>1180</v>
      </c>
      <c r="I583" t="s">
        <v>1379</v>
      </c>
      <c r="J583" t="s">
        <v>1416</v>
      </c>
      <c r="K583" t="s">
        <v>1421</v>
      </c>
    </row>
    <row r="584" spans="1:11" x14ac:dyDescent="0.25">
      <c r="A584" t="s">
        <v>2010</v>
      </c>
      <c r="B584" s="2">
        <v>45499</v>
      </c>
      <c r="C584" t="s">
        <v>115</v>
      </c>
      <c r="D584" t="s">
        <v>1012</v>
      </c>
      <c r="E584">
        <v>5</v>
      </c>
      <c r="G584">
        <v>12.94</v>
      </c>
      <c r="H584" t="s">
        <v>1095</v>
      </c>
      <c r="I584" t="s">
        <v>1294</v>
      </c>
      <c r="J584" t="s">
        <v>1414</v>
      </c>
      <c r="K584" t="s">
        <v>1423</v>
      </c>
    </row>
    <row r="585" spans="1:11" x14ac:dyDescent="0.25">
      <c r="A585" t="s">
        <v>2011</v>
      </c>
      <c r="B585" s="2">
        <v>45499</v>
      </c>
      <c r="C585" t="s">
        <v>700</v>
      </c>
      <c r="D585" t="s">
        <v>1015</v>
      </c>
      <c r="E585">
        <v>3</v>
      </c>
      <c r="F585">
        <v>10</v>
      </c>
      <c r="G585">
        <v>2.02</v>
      </c>
      <c r="H585" t="s">
        <v>1161</v>
      </c>
      <c r="I585" t="s">
        <v>1360</v>
      </c>
      <c r="J585" t="s">
        <v>1416</v>
      </c>
      <c r="K585" t="s">
        <v>1418</v>
      </c>
    </row>
    <row r="586" spans="1:11" x14ac:dyDescent="0.25">
      <c r="A586" t="s">
        <v>2012</v>
      </c>
      <c r="B586" s="2">
        <v>45500</v>
      </c>
      <c r="C586" t="s">
        <v>335</v>
      </c>
      <c r="D586" t="s">
        <v>1012</v>
      </c>
      <c r="E586">
        <v>6</v>
      </c>
      <c r="F586">
        <v>40</v>
      </c>
      <c r="G586">
        <v>13.06</v>
      </c>
      <c r="H586" t="s">
        <v>1160</v>
      </c>
      <c r="I586" t="s">
        <v>1359</v>
      </c>
      <c r="J586" t="s">
        <v>1414</v>
      </c>
      <c r="K586" t="s">
        <v>1423</v>
      </c>
    </row>
    <row r="587" spans="1:11" x14ac:dyDescent="0.25">
      <c r="A587" t="s">
        <v>2013</v>
      </c>
      <c r="B587" s="2">
        <v>45500</v>
      </c>
      <c r="C587" t="s">
        <v>517</v>
      </c>
      <c r="D587" t="s">
        <v>1013</v>
      </c>
      <c r="E587">
        <v>3</v>
      </c>
      <c r="F587">
        <v>25</v>
      </c>
      <c r="G587">
        <v>5.33</v>
      </c>
      <c r="H587" t="s">
        <v>1097</v>
      </c>
      <c r="I587" t="s">
        <v>1296</v>
      </c>
      <c r="J587" t="s">
        <v>1414</v>
      </c>
      <c r="K587" t="s">
        <v>1419</v>
      </c>
    </row>
    <row r="588" spans="1:11" x14ac:dyDescent="0.25">
      <c r="A588" t="s">
        <v>2014</v>
      </c>
      <c r="B588" s="2">
        <v>45500</v>
      </c>
      <c r="C588" t="s">
        <v>804</v>
      </c>
      <c r="D588" t="s">
        <v>1014</v>
      </c>
      <c r="E588">
        <v>6</v>
      </c>
      <c r="F588">
        <v>15</v>
      </c>
      <c r="G588">
        <v>5.32</v>
      </c>
      <c r="H588" t="s">
        <v>1089</v>
      </c>
      <c r="I588" t="s">
        <v>1288</v>
      </c>
      <c r="J588" t="s">
        <v>1414</v>
      </c>
      <c r="K588" t="s">
        <v>1423</v>
      </c>
    </row>
    <row r="589" spans="1:11" x14ac:dyDescent="0.25">
      <c r="A589" t="s">
        <v>2015</v>
      </c>
      <c r="B589" s="2">
        <v>45501</v>
      </c>
      <c r="C589" t="s">
        <v>959</v>
      </c>
      <c r="D589" t="s">
        <v>1013</v>
      </c>
      <c r="E589">
        <v>8</v>
      </c>
      <c r="F589">
        <v>25</v>
      </c>
      <c r="G589">
        <v>7.98</v>
      </c>
      <c r="H589" t="s">
        <v>1049</v>
      </c>
      <c r="I589" t="s">
        <v>1248</v>
      </c>
      <c r="J589" t="s">
        <v>1414</v>
      </c>
      <c r="K589" t="s">
        <v>1418</v>
      </c>
    </row>
    <row r="590" spans="1:11" x14ac:dyDescent="0.25">
      <c r="A590" t="s">
        <v>2016</v>
      </c>
      <c r="B590" s="2">
        <v>45503</v>
      </c>
      <c r="C590" t="s">
        <v>494</v>
      </c>
      <c r="D590" t="s">
        <v>1014</v>
      </c>
      <c r="E590">
        <v>9</v>
      </c>
      <c r="F590">
        <v>15</v>
      </c>
      <c r="G590">
        <v>5.59</v>
      </c>
      <c r="H590" t="s">
        <v>1202</v>
      </c>
      <c r="I590" t="s">
        <v>1401</v>
      </c>
      <c r="J590" t="s">
        <v>1414</v>
      </c>
      <c r="K590" t="s">
        <v>1422</v>
      </c>
    </row>
    <row r="591" spans="1:11" x14ac:dyDescent="0.25">
      <c r="A591" t="s">
        <v>2017</v>
      </c>
      <c r="B591" s="2">
        <v>45503</v>
      </c>
      <c r="C591" t="s">
        <v>729</v>
      </c>
      <c r="D591" t="s">
        <v>1012</v>
      </c>
      <c r="E591">
        <v>10</v>
      </c>
      <c r="F591">
        <v>40</v>
      </c>
      <c r="G591">
        <v>15.91</v>
      </c>
      <c r="H591" t="s">
        <v>1114</v>
      </c>
      <c r="I591" t="s">
        <v>1313</v>
      </c>
      <c r="J591" t="s">
        <v>1414</v>
      </c>
      <c r="K591" t="s">
        <v>1425</v>
      </c>
    </row>
    <row r="592" spans="1:11" x14ac:dyDescent="0.25">
      <c r="A592" t="s">
        <v>2018</v>
      </c>
      <c r="B592" s="2">
        <v>45504</v>
      </c>
      <c r="C592" t="s">
        <v>36</v>
      </c>
      <c r="D592" t="s">
        <v>1014</v>
      </c>
      <c r="E592">
        <v>9</v>
      </c>
      <c r="F592">
        <v>15</v>
      </c>
      <c r="G592">
        <v>5.14</v>
      </c>
      <c r="H592" t="s">
        <v>1038</v>
      </c>
      <c r="I592" t="s">
        <v>1237</v>
      </c>
      <c r="J592" t="s">
        <v>1414</v>
      </c>
      <c r="K592" t="s">
        <v>1419</v>
      </c>
    </row>
    <row r="593" spans="1:11" x14ac:dyDescent="0.25">
      <c r="A593" t="s">
        <v>2019</v>
      </c>
      <c r="B593" s="2">
        <v>45505</v>
      </c>
      <c r="C593" t="s">
        <v>644</v>
      </c>
      <c r="D593" t="s">
        <v>1013</v>
      </c>
      <c r="E593">
        <v>2</v>
      </c>
      <c r="F593">
        <v>25</v>
      </c>
      <c r="G593">
        <v>8.4</v>
      </c>
      <c r="H593" t="s">
        <v>1056</v>
      </c>
      <c r="I593" t="s">
        <v>1255</v>
      </c>
      <c r="J593" t="s">
        <v>1414</v>
      </c>
      <c r="K593" t="s">
        <v>1422</v>
      </c>
    </row>
    <row r="594" spans="1:11" x14ac:dyDescent="0.25">
      <c r="A594" t="s">
        <v>2020</v>
      </c>
      <c r="B594" s="2">
        <v>45505</v>
      </c>
      <c r="C594" t="s">
        <v>816</v>
      </c>
      <c r="D594" t="s">
        <v>1014</v>
      </c>
      <c r="E594">
        <v>2</v>
      </c>
      <c r="F594">
        <v>15</v>
      </c>
      <c r="G594">
        <v>4.3099999999999996</v>
      </c>
      <c r="H594" t="s">
        <v>1211</v>
      </c>
      <c r="I594" t="s">
        <v>1410</v>
      </c>
      <c r="J594" t="s">
        <v>1417</v>
      </c>
      <c r="K594" t="s">
        <v>1423</v>
      </c>
    </row>
    <row r="595" spans="1:11" x14ac:dyDescent="0.25">
      <c r="A595" t="s">
        <v>2021</v>
      </c>
      <c r="B595" s="2">
        <v>45505</v>
      </c>
      <c r="C595" t="s">
        <v>1001</v>
      </c>
      <c r="D595" t="s">
        <v>1012</v>
      </c>
      <c r="E595">
        <v>9</v>
      </c>
      <c r="F595">
        <v>40</v>
      </c>
      <c r="G595">
        <v>11.09</v>
      </c>
      <c r="H595" t="s">
        <v>1159</v>
      </c>
      <c r="I595" t="s">
        <v>1358</v>
      </c>
      <c r="J595" t="s">
        <v>1414</v>
      </c>
      <c r="K595" t="s">
        <v>1423</v>
      </c>
    </row>
    <row r="596" spans="1:11" x14ac:dyDescent="0.25">
      <c r="A596" t="s">
        <v>2022</v>
      </c>
      <c r="B596" s="2">
        <v>45507</v>
      </c>
      <c r="C596" t="s">
        <v>59</v>
      </c>
      <c r="D596" t="s">
        <v>1011</v>
      </c>
      <c r="E596">
        <v>2</v>
      </c>
      <c r="F596">
        <v>12</v>
      </c>
      <c r="G596">
        <v>3.35</v>
      </c>
      <c r="H596" t="s">
        <v>1057</v>
      </c>
      <c r="I596" t="s">
        <v>1256</v>
      </c>
      <c r="J596" t="s">
        <v>1415</v>
      </c>
      <c r="K596" t="s">
        <v>1426</v>
      </c>
    </row>
    <row r="597" spans="1:11" x14ac:dyDescent="0.25">
      <c r="A597" t="s">
        <v>2023</v>
      </c>
      <c r="B597" s="2">
        <v>45508</v>
      </c>
      <c r="C597" t="s">
        <v>51</v>
      </c>
      <c r="D597" t="s">
        <v>1011</v>
      </c>
      <c r="E597">
        <v>9</v>
      </c>
      <c r="F597">
        <v>12</v>
      </c>
      <c r="G597">
        <v>4.04</v>
      </c>
      <c r="H597" t="s">
        <v>1050</v>
      </c>
      <c r="I597" t="s">
        <v>1249</v>
      </c>
      <c r="J597" t="s">
        <v>1416</v>
      </c>
      <c r="K597" t="s">
        <v>1427</v>
      </c>
    </row>
    <row r="598" spans="1:11" x14ac:dyDescent="0.25">
      <c r="A598" t="s">
        <v>2024</v>
      </c>
      <c r="B598" s="2">
        <v>45508</v>
      </c>
      <c r="C598" t="s">
        <v>186</v>
      </c>
      <c r="D598" t="s">
        <v>1013</v>
      </c>
      <c r="E598">
        <v>2</v>
      </c>
      <c r="F598">
        <v>25</v>
      </c>
      <c r="G598">
        <v>7.09</v>
      </c>
      <c r="H598" t="s">
        <v>1096</v>
      </c>
      <c r="I598" t="s">
        <v>1295</v>
      </c>
      <c r="J598" t="s">
        <v>1414</v>
      </c>
      <c r="K598" t="s">
        <v>1422</v>
      </c>
    </row>
    <row r="599" spans="1:11" x14ac:dyDescent="0.25">
      <c r="A599" t="s">
        <v>2025</v>
      </c>
      <c r="B599" s="2">
        <v>45508</v>
      </c>
      <c r="C599" t="s">
        <v>219</v>
      </c>
      <c r="D599" t="s">
        <v>1013</v>
      </c>
      <c r="E599">
        <v>7</v>
      </c>
      <c r="F599">
        <v>25</v>
      </c>
      <c r="G599">
        <v>5.54</v>
      </c>
      <c r="H599" t="s">
        <v>1145</v>
      </c>
      <c r="I599" t="s">
        <v>1344</v>
      </c>
      <c r="J599" t="s">
        <v>1414</v>
      </c>
      <c r="K599" t="s">
        <v>1421</v>
      </c>
    </row>
    <row r="600" spans="1:11" x14ac:dyDescent="0.25">
      <c r="A600" t="s">
        <v>2026</v>
      </c>
      <c r="B600" s="2">
        <v>45508</v>
      </c>
      <c r="C600" t="s">
        <v>885</v>
      </c>
      <c r="D600" t="s">
        <v>1012</v>
      </c>
      <c r="E600">
        <v>5</v>
      </c>
      <c r="F600">
        <v>40</v>
      </c>
      <c r="G600">
        <v>8.2799999999999994</v>
      </c>
      <c r="H600" t="s">
        <v>1092</v>
      </c>
      <c r="I600" t="s">
        <v>1291</v>
      </c>
      <c r="J600" t="s">
        <v>1416</v>
      </c>
      <c r="K600" t="s">
        <v>1421</v>
      </c>
    </row>
    <row r="601" spans="1:11" x14ac:dyDescent="0.25">
      <c r="A601" t="s">
        <v>2027</v>
      </c>
      <c r="B601" s="2">
        <v>45509</v>
      </c>
      <c r="C601" t="s">
        <v>284</v>
      </c>
      <c r="D601" t="s">
        <v>1013</v>
      </c>
      <c r="E601">
        <v>8</v>
      </c>
      <c r="F601">
        <v>25</v>
      </c>
      <c r="G601">
        <v>9.98</v>
      </c>
      <c r="H601" t="s">
        <v>1166</v>
      </c>
      <c r="I601" t="s">
        <v>1365</v>
      </c>
      <c r="J601" t="s">
        <v>1416</v>
      </c>
      <c r="K601" t="s">
        <v>1427</v>
      </c>
    </row>
    <row r="602" spans="1:11" x14ac:dyDescent="0.25">
      <c r="A602" t="s">
        <v>2028</v>
      </c>
      <c r="B602" s="2">
        <v>45509</v>
      </c>
      <c r="C602" t="s">
        <v>385</v>
      </c>
      <c r="D602" t="s">
        <v>1014</v>
      </c>
      <c r="E602">
        <v>3</v>
      </c>
      <c r="F602">
        <v>15</v>
      </c>
      <c r="G602">
        <v>3.84</v>
      </c>
      <c r="H602" t="s">
        <v>1097</v>
      </c>
      <c r="I602" t="s">
        <v>1296</v>
      </c>
      <c r="J602" t="s">
        <v>1416</v>
      </c>
      <c r="K602" t="s">
        <v>1425</v>
      </c>
    </row>
    <row r="603" spans="1:11" x14ac:dyDescent="0.25">
      <c r="A603" t="s">
        <v>2029</v>
      </c>
      <c r="B603" s="2">
        <v>45509</v>
      </c>
      <c r="C603" t="s">
        <v>684</v>
      </c>
      <c r="D603" t="s">
        <v>1014</v>
      </c>
      <c r="E603">
        <v>1</v>
      </c>
      <c r="F603">
        <v>15</v>
      </c>
      <c r="G603">
        <v>4.22</v>
      </c>
      <c r="H603" t="s">
        <v>1193</v>
      </c>
      <c r="I603" t="s">
        <v>1392</v>
      </c>
      <c r="J603" t="s">
        <v>1414</v>
      </c>
      <c r="K603" t="s">
        <v>1425</v>
      </c>
    </row>
    <row r="604" spans="1:11" x14ac:dyDescent="0.25">
      <c r="A604" t="s">
        <v>2030</v>
      </c>
      <c r="B604" s="2">
        <v>45509</v>
      </c>
      <c r="C604" t="s">
        <v>900</v>
      </c>
      <c r="D604" t="s">
        <v>1011</v>
      </c>
      <c r="E604">
        <v>6</v>
      </c>
      <c r="F604">
        <v>12</v>
      </c>
      <c r="G604">
        <v>3.28</v>
      </c>
      <c r="H604" t="s">
        <v>1124</v>
      </c>
      <c r="I604" t="s">
        <v>1323</v>
      </c>
      <c r="J604" t="s">
        <v>1414</v>
      </c>
      <c r="K604" t="s">
        <v>1421</v>
      </c>
    </row>
    <row r="605" spans="1:11" x14ac:dyDescent="0.25">
      <c r="A605" t="s">
        <v>2031</v>
      </c>
      <c r="B605" s="2">
        <v>45510</v>
      </c>
      <c r="C605" t="s">
        <v>206</v>
      </c>
      <c r="D605" t="s">
        <v>1014</v>
      </c>
      <c r="E605">
        <v>1</v>
      </c>
      <c r="F605">
        <v>15</v>
      </c>
      <c r="G605">
        <v>3.96</v>
      </c>
      <c r="H605" t="s">
        <v>1141</v>
      </c>
      <c r="I605" t="s">
        <v>1340</v>
      </c>
      <c r="J605" t="s">
        <v>1414</v>
      </c>
      <c r="K605" t="s">
        <v>1420</v>
      </c>
    </row>
    <row r="606" spans="1:11" x14ac:dyDescent="0.25">
      <c r="A606" t="s">
        <v>2032</v>
      </c>
      <c r="B606" s="2">
        <v>45510</v>
      </c>
      <c r="C606" t="s">
        <v>313</v>
      </c>
      <c r="D606" t="s">
        <v>1012</v>
      </c>
      <c r="E606">
        <v>10</v>
      </c>
      <c r="F606">
        <v>40</v>
      </c>
      <c r="G606">
        <v>12.88</v>
      </c>
      <c r="H606" t="s">
        <v>1037</v>
      </c>
      <c r="I606" t="s">
        <v>1236</v>
      </c>
      <c r="J606" t="s">
        <v>1414</v>
      </c>
      <c r="K606" t="s">
        <v>1422</v>
      </c>
    </row>
    <row r="607" spans="1:11" x14ac:dyDescent="0.25">
      <c r="A607" t="s">
        <v>2033</v>
      </c>
      <c r="B607" s="2">
        <v>45510</v>
      </c>
      <c r="C607" t="s">
        <v>392</v>
      </c>
      <c r="D607" t="s">
        <v>1011</v>
      </c>
      <c r="E607">
        <v>9</v>
      </c>
      <c r="F607">
        <v>12</v>
      </c>
      <c r="G607">
        <v>4.04</v>
      </c>
      <c r="H607" t="s">
        <v>1120</v>
      </c>
      <c r="I607" t="s">
        <v>1319</v>
      </c>
      <c r="J607" t="s">
        <v>1414</v>
      </c>
      <c r="K607" t="s">
        <v>1425</v>
      </c>
    </row>
    <row r="608" spans="1:11" x14ac:dyDescent="0.25">
      <c r="A608" t="s">
        <v>2034</v>
      </c>
      <c r="B608" s="2">
        <v>45510</v>
      </c>
      <c r="C608" t="s">
        <v>605</v>
      </c>
      <c r="D608" t="s">
        <v>1011</v>
      </c>
      <c r="E608">
        <v>3</v>
      </c>
      <c r="G608">
        <v>2.83</v>
      </c>
      <c r="H608" t="s">
        <v>1186</v>
      </c>
      <c r="I608" t="s">
        <v>1385</v>
      </c>
      <c r="J608" t="s">
        <v>1417</v>
      </c>
      <c r="K608" t="s">
        <v>1420</v>
      </c>
    </row>
    <row r="609" spans="1:11" x14ac:dyDescent="0.25">
      <c r="A609" t="s">
        <v>2035</v>
      </c>
      <c r="B609" s="2">
        <v>45510</v>
      </c>
      <c r="C609" t="s">
        <v>718</v>
      </c>
      <c r="D609" t="s">
        <v>1013</v>
      </c>
      <c r="E609">
        <v>9</v>
      </c>
      <c r="F609">
        <v>25</v>
      </c>
      <c r="G609">
        <v>9.89</v>
      </c>
      <c r="H609" t="s">
        <v>1070</v>
      </c>
      <c r="I609" t="s">
        <v>1269</v>
      </c>
      <c r="J609" t="s">
        <v>1414</v>
      </c>
      <c r="K609" t="s">
        <v>1426</v>
      </c>
    </row>
    <row r="610" spans="1:11" x14ac:dyDescent="0.25">
      <c r="A610" t="s">
        <v>2036</v>
      </c>
      <c r="B610" s="2">
        <v>45510</v>
      </c>
      <c r="C610" t="s">
        <v>957</v>
      </c>
      <c r="D610" t="s">
        <v>1015</v>
      </c>
      <c r="E610">
        <v>6</v>
      </c>
      <c r="F610">
        <v>10</v>
      </c>
      <c r="G610">
        <v>3.93</v>
      </c>
      <c r="H610" t="s">
        <v>1198</v>
      </c>
      <c r="I610" t="s">
        <v>1397</v>
      </c>
      <c r="J610" t="s">
        <v>1416</v>
      </c>
      <c r="K610" t="s">
        <v>1422</v>
      </c>
    </row>
    <row r="611" spans="1:11" x14ac:dyDescent="0.25">
      <c r="A611" t="s">
        <v>2037</v>
      </c>
      <c r="B611" s="2">
        <v>45511</v>
      </c>
      <c r="C611" t="s">
        <v>763</v>
      </c>
      <c r="D611" t="s">
        <v>1015</v>
      </c>
      <c r="E611">
        <v>5</v>
      </c>
      <c r="F611">
        <v>10</v>
      </c>
      <c r="G611">
        <v>3.41</v>
      </c>
      <c r="H611" t="s">
        <v>1198</v>
      </c>
      <c r="I611" t="s">
        <v>1397</v>
      </c>
      <c r="J611" t="s">
        <v>1416</v>
      </c>
      <c r="K611" t="s">
        <v>1424</v>
      </c>
    </row>
    <row r="612" spans="1:11" x14ac:dyDescent="0.25">
      <c r="A612" t="s">
        <v>2038</v>
      </c>
      <c r="B612" s="2">
        <v>45512</v>
      </c>
      <c r="C612" t="s">
        <v>126</v>
      </c>
      <c r="D612" t="s">
        <v>1014</v>
      </c>
      <c r="E612">
        <v>10</v>
      </c>
      <c r="F612">
        <v>15</v>
      </c>
      <c r="G612">
        <v>5.3</v>
      </c>
      <c r="H612" t="s">
        <v>1104</v>
      </c>
      <c r="I612" t="s">
        <v>1303</v>
      </c>
      <c r="J612" t="s">
        <v>1414</v>
      </c>
      <c r="K612" t="s">
        <v>1427</v>
      </c>
    </row>
    <row r="613" spans="1:11" x14ac:dyDescent="0.25">
      <c r="A613" t="s">
        <v>2039</v>
      </c>
      <c r="B613" s="2">
        <v>45512</v>
      </c>
      <c r="C613" t="s">
        <v>603</v>
      </c>
      <c r="D613" t="s">
        <v>1011</v>
      </c>
      <c r="E613">
        <v>10</v>
      </c>
      <c r="F613">
        <v>12</v>
      </c>
      <c r="G613">
        <v>3.43</v>
      </c>
      <c r="H613" t="s">
        <v>1190</v>
      </c>
      <c r="I613" t="s">
        <v>1389</v>
      </c>
      <c r="J613" t="s">
        <v>1414</v>
      </c>
      <c r="K613" t="s">
        <v>1421</v>
      </c>
    </row>
    <row r="614" spans="1:11" x14ac:dyDescent="0.25">
      <c r="A614" t="s">
        <v>2040</v>
      </c>
      <c r="B614" s="2">
        <v>45512</v>
      </c>
      <c r="C614" t="s">
        <v>724</v>
      </c>
      <c r="D614" t="s">
        <v>1011</v>
      </c>
      <c r="E614">
        <v>4</v>
      </c>
      <c r="F614">
        <v>12</v>
      </c>
      <c r="G614">
        <v>4.12</v>
      </c>
      <c r="H614" t="s">
        <v>1183</v>
      </c>
      <c r="I614" t="s">
        <v>1382</v>
      </c>
      <c r="J614" t="s">
        <v>1417</v>
      </c>
      <c r="K614" t="s">
        <v>1426</v>
      </c>
    </row>
    <row r="615" spans="1:11" x14ac:dyDescent="0.25">
      <c r="A615" t="s">
        <v>2041</v>
      </c>
      <c r="B615" s="2">
        <v>45512</v>
      </c>
      <c r="C615" t="s">
        <v>859</v>
      </c>
      <c r="D615" t="s">
        <v>1014</v>
      </c>
      <c r="E615">
        <v>8</v>
      </c>
      <c r="F615">
        <v>15</v>
      </c>
      <c r="G615">
        <v>4.28</v>
      </c>
      <c r="H615" t="s">
        <v>1119</v>
      </c>
      <c r="I615" t="s">
        <v>1318</v>
      </c>
      <c r="J615" t="s">
        <v>1414</v>
      </c>
      <c r="K615" t="s">
        <v>1425</v>
      </c>
    </row>
    <row r="616" spans="1:11" x14ac:dyDescent="0.25">
      <c r="A616" t="s">
        <v>2042</v>
      </c>
      <c r="B616" s="2">
        <v>45513</v>
      </c>
      <c r="C616" t="s">
        <v>246</v>
      </c>
      <c r="D616" t="s">
        <v>1012</v>
      </c>
      <c r="E616">
        <v>1</v>
      </c>
      <c r="F616">
        <v>40</v>
      </c>
      <c r="G616">
        <v>14.6</v>
      </c>
      <c r="H616" t="s">
        <v>1155</v>
      </c>
      <c r="I616" t="s">
        <v>1354</v>
      </c>
      <c r="J616" t="s">
        <v>1415</v>
      </c>
      <c r="K616" t="s">
        <v>1425</v>
      </c>
    </row>
    <row r="617" spans="1:11" x14ac:dyDescent="0.25">
      <c r="A617" t="s">
        <v>2043</v>
      </c>
      <c r="B617" s="2">
        <v>45513</v>
      </c>
      <c r="C617" t="s">
        <v>770</v>
      </c>
      <c r="D617" t="s">
        <v>1011</v>
      </c>
      <c r="E617">
        <v>1</v>
      </c>
      <c r="F617">
        <v>12</v>
      </c>
      <c r="G617">
        <v>3.32</v>
      </c>
      <c r="H617" t="s">
        <v>1175</v>
      </c>
      <c r="I617" t="s">
        <v>1374</v>
      </c>
      <c r="J617" t="s">
        <v>1416</v>
      </c>
      <c r="K617" t="s">
        <v>1420</v>
      </c>
    </row>
    <row r="618" spans="1:11" x14ac:dyDescent="0.25">
      <c r="A618" t="s">
        <v>2044</v>
      </c>
      <c r="B618" s="2">
        <v>45513</v>
      </c>
      <c r="C618" t="s">
        <v>925</v>
      </c>
      <c r="D618" t="s">
        <v>1011</v>
      </c>
      <c r="E618">
        <v>8</v>
      </c>
      <c r="F618">
        <v>12</v>
      </c>
      <c r="G618">
        <v>2.92</v>
      </c>
      <c r="H618" t="s">
        <v>1197</v>
      </c>
      <c r="I618" t="s">
        <v>1396</v>
      </c>
      <c r="J618" t="s">
        <v>1416</v>
      </c>
      <c r="K618" t="s">
        <v>1418</v>
      </c>
    </row>
    <row r="619" spans="1:11" x14ac:dyDescent="0.25">
      <c r="A619" t="s">
        <v>2045</v>
      </c>
      <c r="B619" s="2">
        <v>45514</v>
      </c>
      <c r="C619" t="s">
        <v>620</v>
      </c>
      <c r="D619" t="s">
        <v>1015</v>
      </c>
      <c r="E619">
        <v>6</v>
      </c>
      <c r="F619">
        <v>10</v>
      </c>
      <c r="G619">
        <v>2.2000000000000002</v>
      </c>
      <c r="H619" t="s">
        <v>1068</v>
      </c>
      <c r="I619" t="s">
        <v>1267</v>
      </c>
      <c r="J619" t="s">
        <v>1414</v>
      </c>
      <c r="K619" t="s">
        <v>1423</v>
      </c>
    </row>
    <row r="620" spans="1:11" x14ac:dyDescent="0.25">
      <c r="A620" t="s">
        <v>2046</v>
      </c>
      <c r="B620" s="2">
        <v>45515</v>
      </c>
      <c r="C620" t="s">
        <v>62</v>
      </c>
      <c r="D620" t="s">
        <v>1012</v>
      </c>
      <c r="E620">
        <v>5</v>
      </c>
      <c r="F620">
        <v>40</v>
      </c>
      <c r="G620">
        <v>11.64</v>
      </c>
      <c r="H620" t="s">
        <v>1059</v>
      </c>
      <c r="I620" t="s">
        <v>1258</v>
      </c>
      <c r="J620" t="s">
        <v>1416</v>
      </c>
      <c r="K620" t="s">
        <v>1420</v>
      </c>
    </row>
    <row r="621" spans="1:11" x14ac:dyDescent="0.25">
      <c r="A621" t="s">
        <v>2047</v>
      </c>
      <c r="B621" s="2">
        <v>45515</v>
      </c>
      <c r="C621" t="s">
        <v>558</v>
      </c>
      <c r="D621" t="s">
        <v>1015</v>
      </c>
      <c r="E621">
        <v>3</v>
      </c>
      <c r="F621">
        <v>10</v>
      </c>
      <c r="G621">
        <v>2.54</v>
      </c>
      <c r="H621" t="s">
        <v>1016</v>
      </c>
      <c r="I621" t="s">
        <v>1215</v>
      </c>
      <c r="J621" t="s">
        <v>1414</v>
      </c>
      <c r="K621" t="s">
        <v>1419</v>
      </c>
    </row>
    <row r="622" spans="1:11" x14ac:dyDescent="0.25">
      <c r="A622" t="s">
        <v>2048</v>
      </c>
      <c r="B622" s="2">
        <v>45516</v>
      </c>
      <c r="C622" t="s">
        <v>312</v>
      </c>
      <c r="D622" t="s">
        <v>1013</v>
      </c>
      <c r="E622">
        <v>5</v>
      </c>
      <c r="F622">
        <v>25</v>
      </c>
      <c r="G622">
        <v>9.66</v>
      </c>
      <c r="H622" t="s">
        <v>1064</v>
      </c>
      <c r="I622" t="s">
        <v>1263</v>
      </c>
      <c r="J622" t="s">
        <v>1416</v>
      </c>
      <c r="K622" t="s">
        <v>1422</v>
      </c>
    </row>
    <row r="623" spans="1:11" x14ac:dyDescent="0.25">
      <c r="A623" t="s">
        <v>2049</v>
      </c>
      <c r="B623" s="2">
        <v>45516</v>
      </c>
      <c r="C623" t="s">
        <v>454</v>
      </c>
      <c r="D623" t="s">
        <v>1014</v>
      </c>
      <c r="E623">
        <v>1</v>
      </c>
      <c r="F623">
        <v>15</v>
      </c>
      <c r="G623">
        <v>4.66</v>
      </c>
      <c r="H623" t="s">
        <v>1133</v>
      </c>
      <c r="I623" t="s">
        <v>1332</v>
      </c>
      <c r="J623" t="s">
        <v>1414</v>
      </c>
      <c r="K623" t="s">
        <v>1426</v>
      </c>
    </row>
    <row r="624" spans="1:11" x14ac:dyDescent="0.25">
      <c r="A624" t="s">
        <v>2050</v>
      </c>
      <c r="B624" s="2">
        <v>45517</v>
      </c>
      <c r="C624" t="s">
        <v>349</v>
      </c>
      <c r="D624" t="s">
        <v>1011</v>
      </c>
      <c r="E624">
        <v>10</v>
      </c>
      <c r="F624">
        <v>12</v>
      </c>
      <c r="G624">
        <v>3.4</v>
      </c>
      <c r="H624" t="s">
        <v>1094</v>
      </c>
      <c r="I624" t="s">
        <v>1293</v>
      </c>
      <c r="J624" t="s">
        <v>1414</v>
      </c>
      <c r="K624" t="s">
        <v>1425</v>
      </c>
    </row>
    <row r="625" spans="1:11" x14ac:dyDescent="0.25">
      <c r="A625" t="s">
        <v>2051</v>
      </c>
      <c r="B625" s="2">
        <v>45517</v>
      </c>
      <c r="C625" t="s">
        <v>667</v>
      </c>
      <c r="D625" t="s">
        <v>1012</v>
      </c>
      <c r="E625">
        <v>9</v>
      </c>
      <c r="F625">
        <v>40</v>
      </c>
      <c r="G625">
        <v>10.210000000000001</v>
      </c>
      <c r="H625" t="s">
        <v>1046</v>
      </c>
      <c r="I625" t="s">
        <v>1245</v>
      </c>
      <c r="J625" t="s">
        <v>1414</v>
      </c>
      <c r="K625" t="s">
        <v>1419</v>
      </c>
    </row>
    <row r="626" spans="1:11" x14ac:dyDescent="0.25">
      <c r="A626" t="s">
        <v>2052</v>
      </c>
      <c r="B626" s="2">
        <v>45517</v>
      </c>
      <c r="C626" t="s">
        <v>746</v>
      </c>
      <c r="D626" t="s">
        <v>1013</v>
      </c>
      <c r="E626">
        <v>3</v>
      </c>
      <c r="F626">
        <v>25</v>
      </c>
      <c r="G626">
        <v>8.93</v>
      </c>
      <c r="H626" t="s">
        <v>1196</v>
      </c>
      <c r="I626" t="s">
        <v>1395</v>
      </c>
      <c r="J626" t="s">
        <v>1416</v>
      </c>
      <c r="K626" t="s">
        <v>1425</v>
      </c>
    </row>
    <row r="627" spans="1:11" x14ac:dyDescent="0.25">
      <c r="A627" t="s">
        <v>2053</v>
      </c>
      <c r="B627" s="2">
        <v>45517</v>
      </c>
      <c r="C627" t="s">
        <v>755</v>
      </c>
      <c r="D627" t="s">
        <v>1011</v>
      </c>
      <c r="E627">
        <v>3</v>
      </c>
      <c r="F627">
        <v>12</v>
      </c>
      <c r="G627">
        <v>2.89</v>
      </c>
      <c r="H627" t="s">
        <v>1213</v>
      </c>
      <c r="I627" t="s">
        <v>1412</v>
      </c>
      <c r="J627" t="s">
        <v>1415</v>
      </c>
      <c r="K627" t="s">
        <v>1423</v>
      </c>
    </row>
    <row r="628" spans="1:11" x14ac:dyDescent="0.25">
      <c r="A628" t="s">
        <v>2054</v>
      </c>
      <c r="B628" s="2">
        <v>45517</v>
      </c>
      <c r="C628" t="s">
        <v>971</v>
      </c>
      <c r="D628" t="s">
        <v>1011</v>
      </c>
      <c r="E628">
        <v>9</v>
      </c>
      <c r="F628">
        <v>12</v>
      </c>
      <c r="G628">
        <v>3.61</v>
      </c>
      <c r="H628" t="s">
        <v>1175</v>
      </c>
      <c r="I628" t="s">
        <v>1374</v>
      </c>
      <c r="J628" t="s">
        <v>1414</v>
      </c>
      <c r="K628" t="s">
        <v>1425</v>
      </c>
    </row>
    <row r="629" spans="1:11" x14ac:dyDescent="0.25">
      <c r="A629" t="s">
        <v>2055</v>
      </c>
      <c r="B629" s="2">
        <v>45518</v>
      </c>
      <c r="C629" t="s">
        <v>590</v>
      </c>
      <c r="D629" t="s">
        <v>1012</v>
      </c>
      <c r="E629">
        <v>3</v>
      </c>
      <c r="F629">
        <v>40</v>
      </c>
      <c r="G629">
        <v>10.51</v>
      </c>
      <c r="H629" t="s">
        <v>1130</v>
      </c>
      <c r="I629" t="s">
        <v>1329</v>
      </c>
      <c r="J629" t="s">
        <v>1414</v>
      </c>
      <c r="K629" t="s">
        <v>1425</v>
      </c>
    </row>
    <row r="630" spans="1:11" x14ac:dyDescent="0.25">
      <c r="A630" t="s">
        <v>2056</v>
      </c>
      <c r="B630" s="2">
        <v>45518</v>
      </c>
      <c r="C630" t="s">
        <v>830</v>
      </c>
      <c r="D630" t="s">
        <v>1015</v>
      </c>
      <c r="E630">
        <v>4</v>
      </c>
      <c r="F630">
        <v>10</v>
      </c>
      <c r="G630">
        <v>3.97</v>
      </c>
      <c r="H630" t="s">
        <v>1152</v>
      </c>
      <c r="I630" t="s">
        <v>1351</v>
      </c>
      <c r="J630" t="s">
        <v>1414</v>
      </c>
      <c r="K630" t="s">
        <v>1424</v>
      </c>
    </row>
    <row r="631" spans="1:11" x14ac:dyDescent="0.25">
      <c r="A631" t="s">
        <v>2057</v>
      </c>
      <c r="B631" s="2">
        <v>45519</v>
      </c>
      <c r="C631" t="s">
        <v>253</v>
      </c>
      <c r="D631" t="s">
        <v>1014</v>
      </c>
      <c r="E631">
        <v>3</v>
      </c>
      <c r="F631">
        <v>15</v>
      </c>
      <c r="G631">
        <v>4.7699999999999996</v>
      </c>
      <c r="H631" t="s">
        <v>1159</v>
      </c>
      <c r="I631" t="s">
        <v>1358</v>
      </c>
      <c r="J631" t="s">
        <v>1414</v>
      </c>
      <c r="K631" t="s">
        <v>1420</v>
      </c>
    </row>
    <row r="632" spans="1:11" x14ac:dyDescent="0.25">
      <c r="A632" t="s">
        <v>2058</v>
      </c>
      <c r="B632" s="2">
        <v>45519</v>
      </c>
      <c r="C632" t="s">
        <v>802</v>
      </c>
      <c r="D632" t="s">
        <v>1014</v>
      </c>
      <c r="E632">
        <v>4</v>
      </c>
      <c r="F632">
        <v>15</v>
      </c>
      <c r="G632">
        <v>4.16</v>
      </c>
      <c r="H632" t="s">
        <v>1091</v>
      </c>
      <c r="I632" t="s">
        <v>1290</v>
      </c>
      <c r="J632" t="s">
        <v>1416</v>
      </c>
      <c r="K632" t="s">
        <v>1421</v>
      </c>
    </row>
    <row r="633" spans="1:11" x14ac:dyDescent="0.25">
      <c r="A633" t="s">
        <v>2059</v>
      </c>
      <c r="B633" s="2">
        <v>45520</v>
      </c>
      <c r="C633" t="s">
        <v>16</v>
      </c>
      <c r="D633" t="s">
        <v>1014</v>
      </c>
      <c r="E633">
        <v>6</v>
      </c>
      <c r="F633">
        <v>15</v>
      </c>
      <c r="G633">
        <v>3.31</v>
      </c>
      <c r="H633" t="s">
        <v>1021</v>
      </c>
      <c r="I633" t="s">
        <v>1220</v>
      </c>
      <c r="J633" t="s">
        <v>1416</v>
      </c>
      <c r="K633" t="s">
        <v>1422</v>
      </c>
    </row>
    <row r="634" spans="1:11" x14ac:dyDescent="0.25">
      <c r="A634" t="s">
        <v>2060</v>
      </c>
      <c r="B634" s="2">
        <v>45521</v>
      </c>
      <c r="C634" t="s">
        <v>437</v>
      </c>
      <c r="D634" t="s">
        <v>1014</v>
      </c>
      <c r="E634">
        <v>9</v>
      </c>
      <c r="F634">
        <v>15</v>
      </c>
      <c r="G634">
        <v>3.56</v>
      </c>
      <c r="H634" t="s">
        <v>1102</v>
      </c>
      <c r="I634" t="s">
        <v>1301</v>
      </c>
      <c r="J634" t="s">
        <v>1414</v>
      </c>
      <c r="K634" t="s">
        <v>1423</v>
      </c>
    </row>
    <row r="635" spans="1:11" x14ac:dyDescent="0.25">
      <c r="A635" t="s">
        <v>2061</v>
      </c>
      <c r="B635" s="2">
        <v>45521</v>
      </c>
      <c r="C635" t="s">
        <v>446</v>
      </c>
      <c r="D635" t="s">
        <v>1015</v>
      </c>
      <c r="E635">
        <v>7</v>
      </c>
      <c r="F635">
        <v>10</v>
      </c>
      <c r="G635">
        <v>2.65</v>
      </c>
      <c r="H635" t="s">
        <v>1065</v>
      </c>
      <c r="I635" t="s">
        <v>1264</v>
      </c>
      <c r="J635" t="s">
        <v>1414</v>
      </c>
      <c r="K635" t="s">
        <v>1422</v>
      </c>
    </row>
    <row r="636" spans="1:11" x14ac:dyDescent="0.25">
      <c r="A636" t="s">
        <v>2062</v>
      </c>
      <c r="B636" s="2">
        <v>45521</v>
      </c>
      <c r="C636" t="s">
        <v>495</v>
      </c>
      <c r="D636" t="s">
        <v>1013</v>
      </c>
      <c r="E636">
        <v>1</v>
      </c>
      <c r="F636">
        <v>25</v>
      </c>
      <c r="G636">
        <v>7.24</v>
      </c>
      <c r="H636" t="s">
        <v>1149</v>
      </c>
      <c r="I636" t="s">
        <v>1348</v>
      </c>
      <c r="J636" t="s">
        <v>1414</v>
      </c>
      <c r="K636" t="s">
        <v>1421</v>
      </c>
    </row>
    <row r="637" spans="1:11" x14ac:dyDescent="0.25">
      <c r="A637" t="s">
        <v>2063</v>
      </c>
      <c r="B637" s="2">
        <v>45521</v>
      </c>
      <c r="C637" t="s">
        <v>836</v>
      </c>
      <c r="D637" t="s">
        <v>1013</v>
      </c>
      <c r="E637">
        <v>10</v>
      </c>
      <c r="F637">
        <v>25</v>
      </c>
      <c r="G637">
        <v>7.06</v>
      </c>
      <c r="H637" t="s">
        <v>1132</v>
      </c>
      <c r="I637" t="s">
        <v>1331</v>
      </c>
      <c r="J637" t="s">
        <v>1416</v>
      </c>
      <c r="K637" t="s">
        <v>1426</v>
      </c>
    </row>
    <row r="638" spans="1:11" x14ac:dyDescent="0.25">
      <c r="A638" t="s">
        <v>2064</v>
      </c>
      <c r="B638" s="2">
        <v>45522</v>
      </c>
      <c r="C638" t="s">
        <v>288</v>
      </c>
      <c r="D638" t="s">
        <v>1013</v>
      </c>
      <c r="E638">
        <v>8</v>
      </c>
      <c r="F638">
        <v>25</v>
      </c>
      <c r="G638">
        <v>7.93</v>
      </c>
      <c r="H638" t="s">
        <v>1054</v>
      </c>
      <c r="I638" t="s">
        <v>1253</v>
      </c>
      <c r="J638" t="s">
        <v>1414</v>
      </c>
      <c r="K638" t="s">
        <v>1420</v>
      </c>
    </row>
    <row r="639" spans="1:11" x14ac:dyDescent="0.25">
      <c r="A639" t="s">
        <v>2065</v>
      </c>
      <c r="B639" s="2">
        <v>45522</v>
      </c>
      <c r="C639" t="s">
        <v>389</v>
      </c>
      <c r="D639" t="s">
        <v>1011</v>
      </c>
      <c r="E639">
        <v>5</v>
      </c>
      <c r="F639">
        <v>12</v>
      </c>
      <c r="G639">
        <v>3.24</v>
      </c>
      <c r="H639" t="s">
        <v>1184</v>
      </c>
      <c r="I639" t="s">
        <v>1383</v>
      </c>
      <c r="J639" t="s">
        <v>1414</v>
      </c>
      <c r="K639" t="s">
        <v>1422</v>
      </c>
    </row>
    <row r="640" spans="1:11" x14ac:dyDescent="0.25">
      <c r="A640" t="s">
        <v>2066</v>
      </c>
      <c r="B640" s="2">
        <v>45522</v>
      </c>
      <c r="C640" t="s">
        <v>447</v>
      </c>
      <c r="D640" t="s">
        <v>1011</v>
      </c>
      <c r="E640">
        <v>3</v>
      </c>
      <c r="F640">
        <v>12</v>
      </c>
      <c r="G640">
        <v>2.42</v>
      </c>
      <c r="H640" t="s">
        <v>1194</v>
      </c>
      <c r="I640" t="s">
        <v>1393</v>
      </c>
      <c r="J640" t="s">
        <v>1415</v>
      </c>
      <c r="K640" t="s">
        <v>1425</v>
      </c>
    </row>
    <row r="641" spans="1:11" x14ac:dyDescent="0.25">
      <c r="A641" t="s">
        <v>2067</v>
      </c>
      <c r="B641" s="2">
        <v>45522</v>
      </c>
      <c r="C641" t="s">
        <v>788</v>
      </c>
      <c r="D641" t="s">
        <v>1012</v>
      </c>
      <c r="E641">
        <v>4</v>
      </c>
      <c r="F641">
        <v>40</v>
      </c>
      <c r="G641">
        <v>11.94</v>
      </c>
      <c r="H641" t="s">
        <v>1078</v>
      </c>
      <c r="I641" t="s">
        <v>1277</v>
      </c>
      <c r="J641" t="s">
        <v>1417</v>
      </c>
      <c r="K641" t="s">
        <v>1426</v>
      </c>
    </row>
    <row r="642" spans="1:11" x14ac:dyDescent="0.25">
      <c r="A642" t="s">
        <v>2068</v>
      </c>
      <c r="B642" s="2">
        <v>45522</v>
      </c>
      <c r="C642" t="s">
        <v>897</v>
      </c>
      <c r="D642" t="s">
        <v>1012</v>
      </c>
      <c r="E642">
        <v>5</v>
      </c>
      <c r="F642">
        <v>40</v>
      </c>
      <c r="G642">
        <v>10.23</v>
      </c>
      <c r="H642" t="s">
        <v>1205</v>
      </c>
      <c r="I642" t="s">
        <v>1404</v>
      </c>
      <c r="J642" t="s">
        <v>1417</v>
      </c>
      <c r="K642" t="s">
        <v>1425</v>
      </c>
    </row>
    <row r="643" spans="1:11" x14ac:dyDescent="0.25">
      <c r="A643" t="s">
        <v>2069</v>
      </c>
      <c r="B643" s="2">
        <v>45523</v>
      </c>
      <c r="C643" t="s">
        <v>441</v>
      </c>
      <c r="D643" t="s">
        <v>1011</v>
      </c>
      <c r="E643">
        <v>7</v>
      </c>
      <c r="F643">
        <v>12</v>
      </c>
      <c r="G643">
        <v>4.46</v>
      </c>
      <c r="H643" t="s">
        <v>1171</v>
      </c>
      <c r="I643" t="s">
        <v>1370</v>
      </c>
      <c r="J643" t="s">
        <v>1414</v>
      </c>
      <c r="K643" t="s">
        <v>1418</v>
      </c>
    </row>
    <row r="644" spans="1:11" x14ac:dyDescent="0.25">
      <c r="A644" t="s">
        <v>2070</v>
      </c>
      <c r="B644" s="2">
        <v>45523</v>
      </c>
      <c r="C644" t="s">
        <v>539</v>
      </c>
      <c r="D644" t="s">
        <v>1011</v>
      </c>
      <c r="E644">
        <v>6</v>
      </c>
      <c r="F644">
        <v>12</v>
      </c>
      <c r="G644">
        <v>4.7300000000000004</v>
      </c>
      <c r="H644" t="s">
        <v>1207</v>
      </c>
      <c r="I644" t="s">
        <v>1406</v>
      </c>
      <c r="J644" t="s">
        <v>1416</v>
      </c>
      <c r="K644" t="s">
        <v>1421</v>
      </c>
    </row>
    <row r="645" spans="1:11" x14ac:dyDescent="0.25">
      <c r="A645" t="s">
        <v>2071</v>
      </c>
      <c r="B645" s="2">
        <v>45523</v>
      </c>
      <c r="C645" t="s">
        <v>609</v>
      </c>
      <c r="D645" t="s">
        <v>1014</v>
      </c>
      <c r="E645">
        <v>6</v>
      </c>
      <c r="F645">
        <v>15</v>
      </c>
      <c r="G645">
        <v>3.74</v>
      </c>
      <c r="H645" t="s">
        <v>1087</v>
      </c>
      <c r="I645" t="s">
        <v>1286</v>
      </c>
      <c r="J645" t="s">
        <v>1415</v>
      </c>
      <c r="K645" t="s">
        <v>1424</v>
      </c>
    </row>
    <row r="646" spans="1:11" x14ac:dyDescent="0.25">
      <c r="A646" t="s">
        <v>2072</v>
      </c>
      <c r="B646" s="2">
        <v>45523</v>
      </c>
      <c r="C646" t="s">
        <v>758</v>
      </c>
      <c r="D646" t="s">
        <v>1013</v>
      </c>
      <c r="E646">
        <v>10</v>
      </c>
      <c r="F646">
        <v>25</v>
      </c>
      <c r="G646">
        <v>6.58</v>
      </c>
      <c r="H646" t="s">
        <v>1208</v>
      </c>
      <c r="I646" t="s">
        <v>1407</v>
      </c>
      <c r="J646" t="s">
        <v>1416</v>
      </c>
      <c r="K646" t="s">
        <v>1423</v>
      </c>
    </row>
    <row r="647" spans="1:11" x14ac:dyDescent="0.25">
      <c r="A647" t="s">
        <v>2073</v>
      </c>
      <c r="B647" s="2">
        <v>45524</v>
      </c>
      <c r="C647" t="s">
        <v>81</v>
      </c>
      <c r="D647" t="s">
        <v>1014</v>
      </c>
      <c r="E647">
        <v>2</v>
      </c>
      <c r="F647">
        <v>15</v>
      </c>
      <c r="G647">
        <v>5.88</v>
      </c>
      <c r="H647" t="s">
        <v>1073</v>
      </c>
      <c r="I647" t="s">
        <v>1272</v>
      </c>
      <c r="J647" t="s">
        <v>1414</v>
      </c>
      <c r="K647" t="s">
        <v>1425</v>
      </c>
    </row>
    <row r="648" spans="1:11" x14ac:dyDescent="0.25">
      <c r="A648" t="s">
        <v>2074</v>
      </c>
      <c r="B648" s="2">
        <v>45524</v>
      </c>
      <c r="C648" t="s">
        <v>212</v>
      </c>
      <c r="D648" t="s">
        <v>1012</v>
      </c>
      <c r="E648">
        <v>2</v>
      </c>
      <c r="F648">
        <v>40</v>
      </c>
      <c r="G648">
        <v>14.55</v>
      </c>
      <c r="H648" t="s">
        <v>1093</v>
      </c>
      <c r="I648" t="s">
        <v>1292</v>
      </c>
      <c r="J648" t="s">
        <v>1416</v>
      </c>
      <c r="K648" t="s">
        <v>1424</v>
      </c>
    </row>
    <row r="649" spans="1:11" x14ac:dyDescent="0.25">
      <c r="A649" t="s">
        <v>2075</v>
      </c>
      <c r="B649" s="2">
        <v>45524</v>
      </c>
      <c r="C649" t="s">
        <v>361</v>
      </c>
      <c r="D649" t="s">
        <v>1015</v>
      </c>
      <c r="E649">
        <v>3</v>
      </c>
      <c r="F649">
        <v>10</v>
      </c>
      <c r="G649">
        <v>2.33</v>
      </c>
      <c r="H649" t="s">
        <v>1069</v>
      </c>
      <c r="I649" t="s">
        <v>1268</v>
      </c>
      <c r="J649" t="s">
        <v>1416</v>
      </c>
      <c r="K649" t="s">
        <v>1421</v>
      </c>
    </row>
    <row r="650" spans="1:11" x14ac:dyDescent="0.25">
      <c r="A650" t="s">
        <v>2076</v>
      </c>
      <c r="B650" s="2">
        <v>45524</v>
      </c>
      <c r="C650" t="s">
        <v>673</v>
      </c>
      <c r="D650" t="s">
        <v>1014</v>
      </c>
      <c r="E650">
        <v>1</v>
      </c>
      <c r="F650">
        <v>15</v>
      </c>
      <c r="G650">
        <v>4.93</v>
      </c>
      <c r="H650" t="s">
        <v>1193</v>
      </c>
      <c r="I650" t="s">
        <v>1392</v>
      </c>
      <c r="J650" t="s">
        <v>1414</v>
      </c>
      <c r="K650" t="s">
        <v>1420</v>
      </c>
    </row>
    <row r="651" spans="1:11" x14ac:dyDescent="0.25">
      <c r="A651" t="s">
        <v>2077</v>
      </c>
      <c r="B651" s="2">
        <v>45524</v>
      </c>
      <c r="C651" t="s">
        <v>845</v>
      </c>
      <c r="D651" t="s">
        <v>1015</v>
      </c>
      <c r="E651">
        <v>2</v>
      </c>
      <c r="F651">
        <v>10</v>
      </c>
      <c r="G651">
        <v>3.11</v>
      </c>
      <c r="H651" t="s">
        <v>1174</v>
      </c>
      <c r="I651" t="s">
        <v>1373</v>
      </c>
      <c r="J651" t="s">
        <v>1414</v>
      </c>
      <c r="K651" t="s">
        <v>1422</v>
      </c>
    </row>
    <row r="652" spans="1:11" x14ac:dyDescent="0.25">
      <c r="A652" t="s">
        <v>2078</v>
      </c>
      <c r="B652" s="2">
        <v>45524</v>
      </c>
      <c r="C652" t="s">
        <v>856</v>
      </c>
      <c r="D652" t="s">
        <v>1014</v>
      </c>
      <c r="E652">
        <v>1</v>
      </c>
      <c r="F652">
        <v>15</v>
      </c>
      <c r="G652">
        <v>4.5599999999999996</v>
      </c>
      <c r="H652" t="s">
        <v>1062</v>
      </c>
      <c r="I652" t="s">
        <v>1261</v>
      </c>
      <c r="J652" t="s">
        <v>1414</v>
      </c>
      <c r="K652" t="s">
        <v>1426</v>
      </c>
    </row>
    <row r="653" spans="1:11" x14ac:dyDescent="0.25">
      <c r="A653" t="s">
        <v>2079</v>
      </c>
      <c r="B653" s="2">
        <v>45524</v>
      </c>
      <c r="C653" t="s">
        <v>878</v>
      </c>
      <c r="D653" t="s">
        <v>1014</v>
      </c>
      <c r="E653">
        <v>1</v>
      </c>
      <c r="F653">
        <v>15</v>
      </c>
      <c r="G653">
        <v>4.25</v>
      </c>
      <c r="H653" t="s">
        <v>1142</v>
      </c>
      <c r="I653" t="s">
        <v>1341</v>
      </c>
      <c r="J653" t="s">
        <v>1414</v>
      </c>
      <c r="K653" t="s">
        <v>1422</v>
      </c>
    </row>
    <row r="654" spans="1:11" x14ac:dyDescent="0.25">
      <c r="A654" t="s">
        <v>2080</v>
      </c>
      <c r="B654" s="2">
        <v>45524</v>
      </c>
      <c r="C654" t="s">
        <v>946</v>
      </c>
      <c r="D654" t="s">
        <v>1012</v>
      </c>
      <c r="E654">
        <v>3</v>
      </c>
      <c r="F654">
        <v>40</v>
      </c>
      <c r="G654">
        <v>15.7</v>
      </c>
      <c r="H654" t="s">
        <v>1136</v>
      </c>
      <c r="I654" t="s">
        <v>1335</v>
      </c>
      <c r="J654" t="s">
        <v>1416</v>
      </c>
      <c r="K654" t="s">
        <v>1426</v>
      </c>
    </row>
    <row r="655" spans="1:11" x14ac:dyDescent="0.25">
      <c r="A655" t="s">
        <v>2081</v>
      </c>
      <c r="B655" s="2">
        <v>45525</v>
      </c>
      <c r="C655" t="s">
        <v>981</v>
      </c>
      <c r="D655" t="s">
        <v>1011</v>
      </c>
      <c r="E655">
        <v>1</v>
      </c>
      <c r="F655">
        <v>12</v>
      </c>
      <c r="G655">
        <v>3.08</v>
      </c>
      <c r="H655" t="s">
        <v>1128</v>
      </c>
      <c r="I655" t="s">
        <v>1327</v>
      </c>
      <c r="J655" t="s">
        <v>1414</v>
      </c>
      <c r="K655" t="s">
        <v>1419</v>
      </c>
    </row>
    <row r="656" spans="1:11" x14ac:dyDescent="0.25">
      <c r="A656" t="s">
        <v>2082</v>
      </c>
      <c r="B656" s="2">
        <v>45526</v>
      </c>
      <c r="C656" t="s">
        <v>229</v>
      </c>
      <c r="D656" t="s">
        <v>1012</v>
      </c>
      <c r="E656">
        <v>8</v>
      </c>
      <c r="F656">
        <v>40</v>
      </c>
      <c r="G656">
        <v>14.45</v>
      </c>
      <c r="H656" t="s">
        <v>1150</v>
      </c>
      <c r="I656" t="s">
        <v>1349</v>
      </c>
      <c r="J656" t="s">
        <v>1416</v>
      </c>
      <c r="K656" t="s">
        <v>1422</v>
      </c>
    </row>
    <row r="657" spans="1:11" x14ac:dyDescent="0.25">
      <c r="A657" t="s">
        <v>2083</v>
      </c>
      <c r="B657" s="2">
        <v>45526</v>
      </c>
      <c r="C657" t="s">
        <v>554</v>
      </c>
      <c r="D657" t="s">
        <v>1014</v>
      </c>
      <c r="E657">
        <v>6</v>
      </c>
      <c r="F657">
        <v>15</v>
      </c>
      <c r="G657">
        <v>3.14</v>
      </c>
      <c r="H657" t="s">
        <v>1027</v>
      </c>
      <c r="I657" t="s">
        <v>1226</v>
      </c>
      <c r="J657" t="s">
        <v>1415</v>
      </c>
      <c r="K657" t="s">
        <v>1421</v>
      </c>
    </row>
    <row r="658" spans="1:11" x14ac:dyDescent="0.25">
      <c r="A658" t="s">
        <v>2084</v>
      </c>
      <c r="B658" s="2">
        <v>45526</v>
      </c>
      <c r="C658" t="s">
        <v>912</v>
      </c>
      <c r="D658" t="s">
        <v>1015</v>
      </c>
      <c r="E658">
        <v>2</v>
      </c>
      <c r="F658">
        <v>10</v>
      </c>
      <c r="G658">
        <v>3.83</v>
      </c>
      <c r="H658" t="s">
        <v>1026</v>
      </c>
      <c r="I658" t="s">
        <v>1225</v>
      </c>
      <c r="J658" t="s">
        <v>1414</v>
      </c>
      <c r="K658" t="s">
        <v>1423</v>
      </c>
    </row>
    <row r="659" spans="1:11" x14ac:dyDescent="0.25">
      <c r="A659" t="s">
        <v>2085</v>
      </c>
      <c r="B659" s="2">
        <v>45527</v>
      </c>
      <c r="C659" t="s">
        <v>34</v>
      </c>
      <c r="D659" t="s">
        <v>1012</v>
      </c>
      <c r="E659">
        <v>6</v>
      </c>
      <c r="F659">
        <v>40</v>
      </c>
      <c r="G659">
        <v>8.43</v>
      </c>
      <c r="H659" t="s">
        <v>1036</v>
      </c>
      <c r="I659" t="s">
        <v>1235</v>
      </c>
      <c r="J659" t="s">
        <v>1414</v>
      </c>
      <c r="K659" t="s">
        <v>1421</v>
      </c>
    </row>
    <row r="660" spans="1:11" x14ac:dyDescent="0.25">
      <c r="A660" t="s">
        <v>2086</v>
      </c>
      <c r="B660" s="2">
        <v>45527</v>
      </c>
      <c r="C660" t="s">
        <v>217</v>
      </c>
      <c r="D660" t="s">
        <v>1013</v>
      </c>
      <c r="E660">
        <v>6</v>
      </c>
      <c r="F660">
        <v>25</v>
      </c>
      <c r="G660">
        <v>6.23</v>
      </c>
      <c r="H660" t="s">
        <v>1102</v>
      </c>
      <c r="I660" t="s">
        <v>1301</v>
      </c>
      <c r="J660" t="s">
        <v>1414</v>
      </c>
      <c r="K660" t="s">
        <v>1422</v>
      </c>
    </row>
    <row r="661" spans="1:11" x14ac:dyDescent="0.25">
      <c r="A661" t="s">
        <v>2087</v>
      </c>
      <c r="B661" s="2">
        <v>45527</v>
      </c>
      <c r="C661" t="s">
        <v>333</v>
      </c>
      <c r="D661" t="s">
        <v>1011</v>
      </c>
      <c r="E661">
        <v>8</v>
      </c>
      <c r="F661">
        <v>12</v>
      </c>
      <c r="G661">
        <v>4.07</v>
      </c>
      <c r="H661" t="s">
        <v>1075</v>
      </c>
      <c r="I661" t="s">
        <v>1274</v>
      </c>
      <c r="J661" t="s">
        <v>1414</v>
      </c>
      <c r="K661" t="s">
        <v>1420</v>
      </c>
    </row>
    <row r="662" spans="1:11" x14ac:dyDescent="0.25">
      <c r="A662" t="s">
        <v>2088</v>
      </c>
      <c r="B662" s="2">
        <v>45527</v>
      </c>
      <c r="C662" t="s">
        <v>743</v>
      </c>
      <c r="D662" t="s">
        <v>1015</v>
      </c>
      <c r="E662">
        <v>6</v>
      </c>
      <c r="F662">
        <v>10</v>
      </c>
      <c r="G662">
        <v>2.44</v>
      </c>
      <c r="H662" t="s">
        <v>1212</v>
      </c>
      <c r="I662" t="s">
        <v>1411</v>
      </c>
      <c r="J662" t="s">
        <v>1414</v>
      </c>
      <c r="K662" t="s">
        <v>1422</v>
      </c>
    </row>
    <row r="663" spans="1:11" x14ac:dyDescent="0.25">
      <c r="A663" t="s">
        <v>2089</v>
      </c>
      <c r="B663" s="2">
        <v>45527</v>
      </c>
      <c r="C663" t="s">
        <v>853</v>
      </c>
      <c r="D663" t="s">
        <v>1013</v>
      </c>
      <c r="E663">
        <v>1</v>
      </c>
      <c r="F663">
        <v>25</v>
      </c>
      <c r="G663">
        <v>6.31</v>
      </c>
      <c r="H663" t="s">
        <v>1155</v>
      </c>
      <c r="I663" t="s">
        <v>1354</v>
      </c>
      <c r="J663" t="s">
        <v>1414</v>
      </c>
      <c r="K663" t="s">
        <v>1426</v>
      </c>
    </row>
    <row r="664" spans="1:11" x14ac:dyDescent="0.25">
      <c r="A664" t="s">
        <v>2090</v>
      </c>
      <c r="B664" s="2">
        <v>45528</v>
      </c>
      <c r="C664" t="s">
        <v>135</v>
      </c>
      <c r="D664" t="s">
        <v>1013</v>
      </c>
      <c r="E664">
        <v>5</v>
      </c>
      <c r="F664">
        <v>25</v>
      </c>
      <c r="G664">
        <v>7.47</v>
      </c>
      <c r="H664" t="s">
        <v>1040</v>
      </c>
      <c r="I664" t="s">
        <v>1239</v>
      </c>
      <c r="J664" t="s">
        <v>1414</v>
      </c>
      <c r="K664" t="s">
        <v>1419</v>
      </c>
    </row>
    <row r="665" spans="1:11" x14ac:dyDescent="0.25">
      <c r="A665" t="s">
        <v>2091</v>
      </c>
      <c r="B665" s="2">
        <v>45528</v>
      </c>
      <c r="C665" t="s">
        <v>264</v>
      </c>
      <c r="D665" t="s">
        <v>1014</v>
      </c>
      <c r="E665">
        <v>3</v>
      </c>
      <c r="F665">
        <v>15</v>
      </c>
      <c r="G665">
        <v>5.58</v>
      </c>
      <c r="H665" t="s">
        <v>1159</v>
      </c>
      <c r="I665" t="s">
        <v>1358</v>
      </c>
      <c r="J665" t="s">
        <v>1414</v>
      </c>
      <c r="K665" t="s">
        <v>1418</v>
      </c>
    </row>
    <row r="666" spans="1:11" x14ac:dyDescent="0.25">
      <c r="A666" t="s">
        <v>2092</v>
      </c>
      <c r="B666" s="2">
        <v>45528</v>
      </c>
      <c r="C666" t="s">
        <v>538</v>
      </c>
      <c r="D666" t="s">
        <v>1014</v>
      </c>
      <c r="E666">
        <v>9</v>
      </c>
      <c r="F666">
        <v>15</v>
      </c>
      <c r="G666">
        <v>3.44</v>
      </c>
      <c r="H666" t="s">
        <v>1110</v>
      </c>
      <c r="I666" t="s">
        <v>1309</v>
      </c>
      <c r="J666" t="s">
        <v>1414</v>
      </c>
      <c r="K666" t="s">
        <v>1419</v>
      </c>
    </row>
    <row r="667" spans="1:11" x14ac:dyDescent="0.25">
      <c r="A667" t="s">
        <v>2093</v>
      </c>
      <c r="B667" s="2">
        <v>45528</v>
      </c>
      <c r="C667" t="s">
        <v>600</v>
      </c>
      <c r="D667" t="s">
        <v>1013</v>
      </c>
      <c r="E667">
        <v>8</v>
      </c>
      <c r="F667">
        <v>25</v>
      </c>
      <c r="G667">
        <v>9.1300000000000008</v>
      </c>
      <c r="H667" t="s">
        <v>1157</v>
      </c>
      <c r="I667" t="s">
        <v>1356</v>
      </c>
      <c r="J667" t="s">
        <v>1416</v>
      </c>
      <c r="K667" t="s">
        <v>1422</v>
      </c>
    </row>
    <row r="668" spans="1:11" x14ac:dyDescent="0.25">
      <c r="A668" t="s">
        <v>2094</v>
      </c>
      <c r="B668" s="2">
        <v>45528</v>
      </c>
      <c r="C668" t="s">
        <v>901</v>
      </c>
      <c r="D668" t="s">
        <v>1011</v>
      </c>
      <c r="E668">
        <v>3</v>
      </c>
      <c r="F668">
        <v>12</v>
      </c>
      <c r="G668">
        <v>2.71</v>
      </c>
      <c r="H668" t="s">
        <v>1175</v>
      </c>
      <c r="I668" t="s">
        <v>1374</v>
      </c>
      <c r="J668" t="s">
        <v>1414</v>
      </c>
      <c r="K668" t="s">
        <v>1424</v>
      </c>
    </row>
    <row r="669" spans="1:11" x14ac:dyDescent="0.25">
      <c r="A669" t="s">
        <v>2095</v>
      </c>
      <c r="B669" s="2">
        <v>45528</v>
      </c>
      <c r="C669" t="s">
        <v>909</v>
      </c>
      <c r="D669" t="s">
        <v>1014</v>
      </c>
      <c r="E669">
        <v>5</v>
      </c>
      <c r="F669">
        <v>15</v>
      </c>
      <c r="G669">
        <v>3.09</v>
      </c>
      <c r="H669" t="s">
        <v>1143</v>
      </c>
      <c r="I669" t="s">
        <v>1342</v>
      </c>
      <c r="J669" t="s">
        <v>1414</v>
      </c>
      <c r="K669" t="s">
        <v>1418</v>
      </c>
    </row>
    <row r="670" spans="1:11" x14ac:dyDescent="0.25">
      <c r="A670" t="s">
        <v>2096</v>
      </c>
      <c r="B670" s="2">
        <v>45529</v>
      </c>
      <c r="C670" t="s">
        <v>92</v>
      </c>
      <c r="D670" t="s">
        <v>1015</v>
      </c>
      <c r="E670">
        <v>2</v>
      </c>
      <c r="F670">
        <v>10</v>
      </c>
      <c r="G670">
        <v>3.22</v>
      </c>
      <c r="H670" t="s">
        <v>1078</v>
      </c>
      <c r="I670" t="s">
        <v>1277</v>
      </c>
      <c r="J670" t="s">
        <v>1414</v>
      </c>
      <c r="K670" t="s">
        <v>1424</v>
      </c>
    </row>
    <row r="671" spans="1:11" x14ac:dyDescent="0.25">
      <c r="A671" t="s">
        <v>2097</v>
      </c>
      <c r="B671" s="2">
        <v>45529</v>
      </c>
      <c r="C671" t="s">
        <v>708</v>
      </c>
      <c r="D671" t="s">
        <v>1011</v>
      </c>
      <c r="E671">
        <v>1</v>
      </c>
      <c r="F671">
        <v>12</v>
      </c>
      <c r="G671">
        <v>2.5099999999999998</v>
      </c>
      <c r="H671" t="s">
        <v>1057</v>
      </c>
      <c r="I671" t="s">
        <v>1256</v>
      </c>
      <c r="J671" t="s">
        <v>1414</v>
      </c>
      <c r="K671" t="s">
        <v>1427</v>
      </c>
    </row>
    <row r="672" spans="1:11" x14ac:dyDescent="0.25">
      <c r="A672" t="s">
        <v>2098</v>
      </c>
      <c r="B672" s="2">
        <v>45529</v>
      </c>
      <c r="C672" t="s">
        <v>863</v>
      </c>
      <c r="D672" t="s">
        <v>1014</v>
      </c>
      <c r="E672">
        <v>2</v>
      </c>
      <c r="F672">
        <v>15</v>
      </c>
      <c r="G672">
        <v>3.49</v>
      </c>
      <c r="H672" t="s">
        <v>1126</v>
      </c>
      <c r="I672" t="s">
        <v>1325</v>
      </c>
      <c r="J672" t="s">
        <v>1414</v>
      </c>
      <c r="K672" t="s">
        <v>1419</v>
      </c>
    </row>
    <row r="673" spans="1:11" x14ac:dyDescent="0.25">
      <c r="A673" t="s">
        <v>2099</v>
      </c>
      <c r="B673" s="2">
        <v>45529</v>
      </c>
      <c r="C673" t="s">
        <v>867</v>
      </c>
      <c r="D673" t="s">
        <v>1014</v>
      </c>
      <c r="E673">
        <v>8</v>
      </c>
      <c r="F673">
        <v>15</v>
      </c>
      <c r="G673">
        <v>5.72</v>
      </c>
      <c r="H673" t="s">
        <v>1126</v>
      </c>
      <c r="I673" t="s">
        <v>1325</v>
      </c>
      <c r="J673" t="s">
        <v>1414</v>
      </c>
      <c r="K673" t="s">
        <v>1427</v>
      </c>
    </row>
    <row r="674" spans="1:11" x14ac:dyDescent="0.25">
      <c r="A674" t="s">
        <v>2100</v>
      </c>
      <c r="B674" s="2">
        <v>45530</v>
      </c>
      <c r="C674" t="s">
        <v>963</v>
      </c>
      <c r="D674" t="s">
        <v>1012</v>
      </c>
      <c r="E674">
        <v>4</v>
      </c>
      <c r="F674">
        <v>40</v>
      </c>
      <c r="G674">
        <v>15.33</v>
      </c>
      <c r="H674" t="s">
        <v>1186</v>
      </c>
      <c r="I674" t="s">
        <v>1385</v>
      </c>
      <c r="J674" t="s">
        <v>1416</v>
      </c>
      <c r="K674" t="s">
        <v>1426</v>
      </c>
    </row>
    <row r="675" spans="1:11" x14ac:dyDescent="0.25">
      <c r="A675" t="s">
        <v>2101</v>
      </c>
      <c r="B675" s="2">
        <v>45531</v>
      </c>
      <c r="C675" t="s">
        <v>240</v>
      </c>
      <c r="D675" t="s">
        <v>1012</v>
      </c>
      <c r="E675">
        <v>4</v>
      </c>
      <c r="F675">
        <v>40</v>
      </c>
      <c r="G675">
        <v>11.38</v>
      </c>
      <c r="H675" t="s">
        <v>1139</v>
      </c>
      <c r="I675" t="s">
        <v>1338</v>
      </c>
      <c r="J675" t="s">
        <v>1416</v>
      </c>
      <c r="K675" t="s">
        <v>1420</v>
      </c>
    </row>
    <row r="676" spans="1:11" x14ac:dyDescent="0.25">
      <c r="A676" t="s">
        <v>2102</v>
      </c>
      <c r="B676" s="2">
        <v>45532</v>
      </c>
      <c r="C676" t="s">
        <v>407</v>
      </c>
      <c r="D676" t="s">
        <v>1013</v>
      </c>
      <c r="E676">
        <v>10</v>
      </c>
      <c r="F676">
        <v>25</v>
      </c>
      <c r="G676">
        <v>6.25</v>
      </c>
      <c r="H676" t="s">
        <v>1155</v>
      </c>
      <c r="I676" t="s">
        <v>1354</v>
      </c>
      <c r="J676" t="s">
        <v>1414</v>
      </c>
      <c r="K676" t="s">
        <v>1425</v>
      </c>
    </row>
    <row r="677" spans="1:11" x14ac:dyDescent="0.25">
      <c r="A677" t="s">
        <v>2103</v>
      </c>
      <c r="B677" s="2">
        <v>45532</v>
      </c>
      <c r="C677" t="s">
        <v>423</v>
      </c>
      <c r="D677" t="s">
        <v>1012</v>
      </c>
      <c r="E677">
        <v>5</v>
      </c>
      <c r="F677">
        <v>40</v>
      </c>
      <c r="G677">
        <v>8.4600000000000009</v>
      </c>
      <c r="H677" t="s">
        <v>1081</v>
      </c>
      <c r="I677" t="s">
        <v>1280</v>
      </c>
      <c r="J677" t="s">
        <v>1416</v>
      </c>
      <c r="K677" t="s">
        <v>1419</v>
      </c>
    </row>
    <row r="678" spans="1:11" x14ac:dyDescent="0.25">
      <c r="A678" t="s">
        <v>2104</v>
      </c>
      <c r="B678" s="2">
        <v>45532</v>
      </c>
      <c r="C678" t="s">
        <v>488</v>
      </c>
      <c r="D678" t="s">
        <v>1014</v>
      </c>
      <c r="E678">
        <v>2</v>
      </c>
      <c r="F678">
        <v>15</v>
      </c>
      <c r="G678">
        <v>5.69</v>
      </c>
      <c r="H678" t="s">
        <v>1140</v>
      </c>
      <c r="I678" t="s">
        <v>1339</v>
      </c>
      <c r="J678" t="s">
        <v>1414</v>
      </c>
      <c r="K678" t="s">
        <v>1419</v>
      </c>
    </row>
    <row r="679" spans="1:11" x14ac:dyDescent="0.25">
      <c r="A679" t="s">
        <v>2105</v>
      </c>
      <c r="B679" s="2">
        <v>45532</v>
      </c>
      <c r="C679" t="s">
        <v>637</v>
      </c>
      <c r="D679" t="s">
        <v>1013</v>
      </c>
      <c r="E679">
        <v>7</v>
      </c>
      <c r="F679">
        <v>25</v>
      </c>
      <c r="G679">
        <v>9</v>
      </c>
      <c r="H679" t="s">
        <v>1185</v>
      </c>
      <c r="I679" t="s">
        <v>1384</v>
      </c>
      <c r="J679" t="s">
        <v>1417</v>
      </c>
      <c r="K679" t="s">
        <v>1418</v>
      </c>
    </row>
    <row r="680" spans="1:11" x14ac:dyDescent="0.25">
      <c r="A680" t="s">
        <v>2106</v>
      </c>
      <c r="B680" s="2">
        <v>45532</v>
      </c>
      <c r="C680" t="s">
        <v>725</v>
      </c>
      <c r="D680" t="s">
        <v>1012</v>
      </c>
      <c r="E680">
        <v>3</v>
      </c>
      <c r="F680">
        <v>40</v>
      </c>
      <c r="G680">
        <v>10.23</v>
      </c>
      <c r="H680" t="s">
        <v>1042</v>
      </c>
      <c r="I680" t="s">
        <v>1241</v>
      </c>
      <c r="J680" t="s">
        <v>1416</v>
      </c>
      <c r="K680" t="s">
        <v>1425</v>
      </c>
    </row>
    <row r="681" spans="1:11" x14ac:dyDescent="0.25">
      <c r="A681" t="s">
        <v>2107</v>
      </c>
      <c r="B681" s="2">
        <v>45533</v>
      </c>
      <c r="C681" t="s">
        <v>1009</v>
      </c>
      <c r="D681" t="s">
        <v>1014</v>
      </c>
      <c r="E681">
        <v>9</v>
      </c>
      <c r="G681">
        <v>4.82</v>
      </c>
      <c r="H681" t="s">
        <v>1113</v>
      </c>
      <c r="I681" t="s">
        <v>1312</v>
      </c>
      <c r="J681" t="s">
        <v>1416</v>
      </c>
      <c r="K681" t="s">
        <v>1423</v>
      </c>
    </row>
    <row r="682" spans="1:11" x14ac:dyDescent="0.25">
      <c r="A682" t="s">
        <v>2108</v>
      </c>
      <c r="B682" s="2">
        <v>45534</v>
      </c>
      <c r="C682" t="s">
        <v>469</v>
      </c>
      <c r="D682" t="s">
        <v>1015</v>
      </c>
      <c r="E682">
        <v>2</v>
      </c>
      <c r="F682">
        <v>10</v>
      </c>
      <c r="G682">
        <v>2.09</v>
      </c>
      <c r="H682" t="s">
        <v>1038</v>
      </c>
      <c r="I682" t="s">
        <v>1237</v>
      </c>
      <c r="J682" t="s">
        <v>1414</v>
      </c>
      <c r="K682" t="s">
        <v>1424</v>
      </c>
    </row>
    <row r="683" spans="1:11" x14ac:dyDescent="0.25">
      <c r="A683" t="s">
        <v>2109</v>
      </c>
      <c r="B683" s="2">
        <v>45534</v>
      </c>
      <c r="C683" t="s">
        <v>884</v>
      </c>
      <c r="D683" t="s">
        <v>1015</v>
      </c>
      <c r="E683">
        <v>4</v>
      </c>
      <c r="F683">
        <v>10</v>
      </c>
      <c r="G683">
        <v>3.56</v>
      </c>
      <c r="H683" t="s">
        <v>1071</v>
      </c>
      <c r="I683" t="s">
        <v>1270</v>
      </c>
      <c r="J683" t="s">
        <v>1414</v>
      </c>
      <c r="K683" t="s">
        <v>1426</v>
      </c>
    </row>
    <row r="684" spans="1:11" x14ac:dyDescent="0.25">
      <c r="A684" t="s">
        <v>2110</v>
      </c>
      <c r="B684" s="2">
        <v>45535</v>
      </c>
      <c r="C684" t="s">
        <v>55</v>
      </c>
      <c r="D684" t="s">
        <v>1015</v>
      </c>
      <c r="E684">
        <v>3</v>
      </c>
      <c r="F684">
        <v>10</v>
      </c>
      <c r="G684">
        <v>3.83</v>
      </c>
      <c r="H684" t="s">
        <v>1053</v>
      </c>
      <c r="I684" t="s">
        <v>1252</v>
      </c>
      <c r="J684" t="s">
        <v>1414</v>
      </c>
      <c r="K684" t="s">
        <v>1420</v>
      </c>
    </row>
    <row r="685" spans="1:11" x14ac:dyDescent="0.25">
      <c r="A685" t="s">
        <v>2111</v>
      </c>
      <c r="B685" s="2">
        <v>45535</v>
      </c>
      <c r="C685" t="s">
        <v>307</v>
      </c>
      <c r="D685" t="s">
        <v>1013</v>
      </c>
      <c r="E685">
        <v>5</v>
      </c>
      <c r="F685">
        <v>25</v>
      </c>
      <c r="G685">
        <v>7.66</v>
      </c>
      <c r="H685" t="s">
        <v>1021</v>
      </c>
      <c r="I685" t="s">
        <v>1220</v>
      </c>
      <c r="J685" t="s">
        <v>1416</v>
      </c>
      <c r="K685" t="s">
        <v>1418</v>
      </c>
    </row>
    <row r="686" spans="1:11" x14ac:dyDescent="0.25">
      <c r="A686" t="s">
        <v>2112</v>
      </c>
      <c r="B686" s="2">
        <v>45536</v>
      </c>
      <c r="C686" t="s">
        <v>320</v>
      </c>
      <c r="D686" t="s">
        <v>1012</v>
      </c>
      <c r="E686">
        <v>8</v>
      </c>
      <c r="F686">
        <v>40</v>
      </c>
      <c r="G686">
        <v>12.16</v>
      </c>
      <c r="H686" t="s">
        <v>1171</v>
      </c>
      <c r="I686" t="s">
        <v>1370</v>
      </c>
      <c r="J686" t="s">
        <v>1417</v>
      </c>
      <c r="K686" t="s">
        <v>1425</v>
      </c>
    </row>
    <row r="687" spans="1:11" x14ac:dyDescent="0.25">
      <c r="A687" t="s">
        <v>2113</v>
      </c>
      <c r="B687" s="2">
        <v>45537</v>
      </c>
      <c r="C687" t="s">
        <v>213</v>
      </c>
      <c r="D687" t="s">
        <v>1011</v>
      </c>
      <c r="E687">
        <v>7</v>
      </c>
      <c r="F687">
        <v>12</v>
      </c>
      <c r="G687">
        <v>3.97</v>
      </c>
      <c r="H687" t="s">
        <v>1036</v>
      </c>
      <c r="I687" t="s">
        <v>1235</v>
      </c>
      <c r="J687" t="s">
        <v>1414</v>
      </c>
      <c r="K687" t="s">
        <v>1422</v>
      </c>
    </row>
    <row r="688" spans="1:11" x14ac:dyDescent="0.25">
      <c r="A688" t="s">
        <v>2114</v>
      </c>
      <c r="B688" s="2">
        <v>45537</v>
      </c>
      <c r="C688" t="s">
        <v>546</v>
      </c>
      <c r="D688" t="s">
        <v>1013</v>
      </c>
      <c r="E688">
        <v>4</v>
      </c>
      <c r="F688">
        <v>25</v>
      </c>
      <c r="G688">
        <v>6.53</v>
      </c>
      <c r="H688" t="s">
        <v>1107</v>
      </c>
      <c r="I688" t="s">
        <v>1306</v>
      </c>
      <c r="J688" t="s">
        <v>1415</v>
      </c>
      <c r="K688" t="s">
        <v>1424</v>
      </c>
    </row>
    <row r="689" spans="1:11" x14ac:dyDescent="0.25">
      <c r="A689" t="s">
        <v>2115</v>
      </c>
      <c r="B689" s="2">
        <v>45537</v>
      </c>
      <c r="C689" t="s">
        <v>686</v>
      </c>
      <c r="D689" t="s">
        <v>1014</v>
      </c>
      <c r="E689">
        <v>3</v>
      </c>
      <c r="F689">
        <v>15</v>
      </c>
      <c r="G689">
        <v>3.29</v>
      </c>
      <c r="H689" t="s">
        <v>1175</v>
      </c>
      <c r="I689" t="s">
        <v>1374</v>
      </c>
      <c r="J689" t="s">
        <v>1414</v>
      </c>
      <c r="K689" t="s">
        <v>1427</v>
      </c>
    </row>
    <row r="690" spans="1:11" x14ac:dyDescent="0.25">
      <c r="A690" t="s">
        <v>2116</v>
      </c>
      <c r="B690" s="2">
        <v>45538</v>
      </c>
      <c r="C690" t="s">
        <v>61</v>
      </c>
      <c r="D690" t="s">
        <v>1011</v>
      </c>
      <c r="E690">
        <v>10</v>
      </c>
      <c r="F690">
        <v>12</v>
      </c>
      <c r="G690">
        <v>2.42</v>
      </c>
      <c r="H690" t="s">
        <v>1054</v>
      </c>
      <c r="I690" t="s">
        <v>1253</v>
      </c>
      <c r="J690" t="s">
        <v>1416</v>
      </c>
      <c r="K690" t="s">
        <v>1418</v>
      </c>
    </row>
    <row r="691" spans="1:11" x14ac:dyDescent="0.25">
      <c r="A691" t="s">
        <v>2117</v>
      </c>
      <c r="B691" s="2">
        <v>45538</v>
      </c>
      <c r="C691" t="s">
        <v>616</v>
      </c>
      <c r="D691" t="s">
        <v>1013</v>
      </c>
      <c r="E691">
        <v>5</v>
      </c>
      <c r="F691">
        <v>25</v>
      </c>
      <c r="G691">
        <v>7.76</v>
      </c>
      <c r="H691" t="s">
        <v>1037</v>
      </c>
      <c r="I691" t="s">
        <v>1236</v>
      </c>
      <c r="J691" t="s">
        <v>1414</v>
      </c>
      <c r="K691" t="s">
        <v>1425</v>
      </c>
    </row>
    <row r="692" spans="1:11" x14ac:dyDescent="0.25">
      <c r="A692" t="s">
        <v>2118</v>
      </c>
      <c r="B692" s="2">
        <v>45539</v>
      </c>
      <c r="C692" t="s">
        <v>46</v>
      </c>
      <c r="D692" t="s">
        <v>1015</v>
      </c>
      <c r="E692">
        <v>9</v>
      </c>
      <c r="F692">
        <v>10</v>
      </c>
      <c r="G692">
        <v>3.63</v>
      </c>
      <c r="H692" t="s">
        <v>1045</v>
      </c>
      <c r="I692" t="s">
        <v>1244</v>
      </c>
      <c r="J692" t="s">
        <v>1414</v>
      </c>
      <c r="K692" t="s">
        <v>1426</v>
      </c>
    </row>
    <row r="693" spans="1:11" x14ac:dyDescent="0.25">
      <c r="A693" t="s">
        <v>2119</v>
      </c>
      <c r="B693" s="2">
        <v>45539</v>
      </c>
      <c r="C693" t="s">
        <v>114</v>
      </c>
      <c r="D693" t="s">
        <v>1015</v>
      </c>
      <c r="E693">
        <v>8</v>
      </c>
      <c r="F693">
        <v>10</v>
      </c>
      <c r="G693">
        <v>2.33</v>
      </c>
      <c r="H693" t="s">
        <v>1075</v>
      </c>
      <c r="I693" t="s">
        <v>1274</v>
      </c>
      <c r="J693" t="s">
        <v>1416</v>
      </c>
      <c r="K693" t="s">
        <v>1427</v>
      </c>
    </row>
    <row r="694" spans="1:11" x14ac:dyDescent="0.25">
      <c r="A694" t="s">
        <v>2120</v>
      </c>
      <c r="B694" s="2">
        <v>45539</v>
      </c>
      <c r="C694" t="s">
        <v>245</v>
      </c>
      <c r="D694" t="s">
        <v>1014</v>
      </c>
      <c r="E694">
        <v>4</v>
      </c>
      <c r="G694">
        <v>4.5599999999999996</v>
      </c>
      <c r="H694" t="s">
        <v>1021</v>
      </c>
      <c r="I694" t="s">
        <v>1220</v>
      </c>
      <c r="J694" t="s">
        <v>1414</v>
      </c>
      <c r="K694" t="s">
        <v>1423</v>
      </c>
    </row>
    <row r="695" spans="1:11" x14ac:dyDescent="0.25">
      <c r="A695" t="s">
        <v>2121</v>
      </c>
      <c r="B695" s="2">
        <v>45539</v>
      </c>
      <c r="C695" t="s">
        <v>757</v>
      </c>
      <c r="D695" t="s">
        <v>1014</v>
      </c>
      <c r="E695">
        <v>7</v>
      </c>
      <c r="F695">
        <v>15</v>
      </c>
      <c r="G695">
        <v>5.0599999999999996</v>
      </c>
      <c r="H695" t="s">
        <v>1159</v>
      </c>
      <c r="I695" t="s">
        <v>1358</v>
      </c>
      <c r="J695" t="s">
        <v>1416</v>
      </c>
      <c r="K695" t="s">
        <v>1418</v>
      </c>
    </row>
    <row r="696" spans="1:11" x14ac:dyDescent="0.25">
      <c r="A696" t="s">
        <v>2122</v>
      </c>
      <c r="B696" s="2">
        <v>45540</v>
      </c>
      <c r="C696" t="s">
        <v>225</v>
      </c>
      <c r="D696" t="s">
        <v>1013</v>
      </c>
      <c r="E696">
        <v>1</v>
      </c>
      <c r="F696">
        <v>25</v>
      </c>
      <c r="G696">
        <v>8.42</v>
      </c>
      <c r="H696" t="s">
        <v>1130</v>
      </c>
      <c r="I696" t="s">
        <v>1329</v>
      </c>
      <c r="J696" t="s">
        <v>1416</v>
      </c>
      <c r="K696" t="s">
        <v>1424</v>
      </c>
    </row>
    <row r="697" spans="1:11" x14ac:dyDescent="0.25">
      <c r="A697" t="s">
        <v>2123</v>
      </c>
      <c r="B697" s="2">
        <v>45541</v>
      </c>
      <c r="C697" t="s">
        <v>470</v>
      </c>
      <c r="D697" t="s">
        <v>1015</v>
      </c>
      <c r="E697">
        <v>7</v>
      </c>
      <c r="F697">
        <v>10</v>
      </c>
      <c r="G697">
        <v>3.96</v>
      </c>
      <c r="H697" t="s">
        <v>1085</v>
      </c>
      <c r="I697" t="s">
        <v>1284</v>
      </c>
      <c r="J697" t="s">
        <v>1414</v>
      </c>
      <c r="K697" t="s">
        <v>1419</v>
      </c>
    </row>
    <row r="698" spans="1:11" x14ac:dyDescent="0.25">
      <c r="A698" t="s">
        <v>2124</v>
      </c>
      <c r="B698" s="2">
        <v>45542</v>
      </c>
      <c r="C698" t="s">
        <v>174</v>
      </c>
      <c r="D698" t="s">
        <v>1014</v>
      </c>
      <c r="E698">
        <v>5</v>
      </c>
      <c r="F698">
        <v>15</v>
      </c>
      <c r="G698">
        <v>5.13</v>
      </c>
      <c r="H698" t="s">
        <v>1025</v>
      </c>
      <c r="I698" t="s">
        <v>1224</v>
      </c>
      <c r="J698" t="s">
        <v>1416</v>
      </c>
      <c r="K698" t="s">
        <v>1420</v>
      </c>
    </row>
    <row r="699" spans="1:11" x14ac:dyDescent="0.25">
      <c r="A699" t="s">
        <v>2125</v>
      </c>
      <c r="B699" s="2">
        <v>45542</v>
      </c>
      <c r="C699" t="s">
        <v>726</v>
      </c>
      <c r="D699" t="s">
        <v>1013</v>
      </c>
      <c r="E699">
        <v>1</v>
      </c>
      <c r="F699">
        <v>25</v>
      </c>
      <c r="G699">
        <v>8.6199999999999992</v>
      </c>
      <c r="H699" t="s">
        <v>1162</v>
      </c>
      <c r="I699" t="s">
        <v>1361</v>
      </c>
      <c r="J699" t="s">
        <v>1414</v>
      </c>
      <c r="K699" t="s">
        <v>1419</v>
      </c>
    </row>
    <row r="700" spans="1:11" x14ac:dyDescent="0.25">
      <c r="A700" t="s">
        <v>2126</v>
      </c>
      <c r="B700" s="2">
        <v>45542</v>
      </c>
      <c r="C700" t="s">
        <v>920</v>
      </c>
      <c r="D700" t="s">
        <v>1013</v>
      </c>
      <c r="E700">
        <v>2</v>
      </c>
      <c r="F700">
        <v>25</v>
      </c>
      <c r="G700">
        <v>8.64</v>
      </c>
      <c r="H700" t="s">
        <v>1200</v>
      </c>
      <c r="I700" t="s">
        <v>1399</v>
      </c>
      <c r="J700" t="s">
        <v>1414</v>
      </c>
      <c r="K700" t="s">
        <v>1418</v>
      </c>
    </row>
    <row r="701" spans="1:11" x14ac:dyDescent="0.25">
      <c r="A701" t="s">
        <v>2127</v>
      </c>
      <c r="B701" s="2">
        <v>45543</v>
      </c>
      <c r="C701" t="s">
        <v>63</v>
      </c>
      <c r="D701" t="s">
        <v>1013</v>
      </c>
      <c r="E701">
        <v>7</v>
      </c>
      <c r="F701">
        <v>25</v>
      </c>
      <c r="G701">
        <v>9</v>
      </c>
      <c r="H701" t="s">
        <v>1054</v>
      </c>
      <c r="I701" t="s">
        <v>1253</v>
      </c>
      <c r="J701" t="s">
        <v>1414</v>
      </c>
      <c r="K701" t="s">
        <v>1427</v>
      </c>
    </row>
    <row r="702" spans="1:11" x14ac:dyDescent="0.25">
      <c r="A702" t="s">
        <v>2128</v>
      </c>
      <c r="B702" s="2">
        <v>45543</v>
      </c>
      <c r="C702" t="s">
        <v>438</v>
      </c>
      <c r="D702" t="s">
        <v>1011</v>
      </c>
      <c r="E702">
        <v>8</v>
      </c>
      <c r="F702">
        <v>12</v>
      </c>
      <c r="G702">
        <v>3.81</v>
      </c>
      <c r="H702" t="s">
        <v>1079</v>
      </c>
      <c r="I702" t="s">
        <v>1278</v>
      </c>
      <c r="J702" t="s">
        <v>1414</v>
      </c>
      <c r="K702" t="s">
        <v>1422</v>
      </c>
    </row>
    <row r="703" spans="1:11" x14ac:dyDescent="0.25">
      <c r="A703" t="s">
        <v>2129</v>
      </c>
      <c r="B703" s="2">
        <v>45543</v>
      </c>
      <c r="C703" t="s">
        <v>840</v>
      </c>
      <c r="D703" t="s">
        <v>1015</v>
      </c>
      <c r="E703">
        <v>5</v>
      </c>
      <c r="G703">
        <v>2.76</v>
      </c>
      <c r="H703" t="s">
        <v>1076</v>
      </c>
      <c r="I703" t="s">
        <v>1275</v>
      </c>
      <c r="J703" t="s">
        <v>1414</v>
      </c>
      <c r="K703" t="s">
        <v>1423</v>
      </c>
    </row>
    <row r="704" spans="1:11" x14ac:dyDescent="0.25">
      <c r="A704" t="s">
        <v>2130</v>
      </c>
      <c r="B704" s="2">
        <v>45543</v>
      </c>
      <c r="C704" t="s">
        <v>910</v>
      </c>
      <c r="D704" t="s">
        <v>1015</v>
      </c>
      <c r="E704">
        <v>9</v>
      </c>
      <c r="F704">
        <v>10</v>
      </c>
      <c r="G704">
        <v>2.41</v>
      </c>
      <c r="H704" t="s">
        <v>1093</v>
      </c>
      <c r="I704" t="s">
        <v>1292</v>
      </c>
      <c r="J704" t="s">
        <v>1414</v>
      </c>
      <c r="K704" t="s">
        <v>1422</v>
      </c>
    </row>
    <row r="705" spans="1:11" x14ac:dyDescent="0.25">
      <c r="A705" t="s">
        <v>2131</v>
      </c>
      <c r="B705" s="2">
        <v>45545</v>
      </c>
      <c r="C705" t="s">
        <v>209</v>
      </c>
      <c r="D705" t="s">
        <v>1011</v>
      </c>
      <c r="E705">
        <v>1</v>
      </c>
      <c r="F705">
        <v>12</v>
      </c>
      <c r="G705">
        <v>3.1</v>
      </c>
      <c r="H705" t="s">
        <v>1060</v>
      </c>
      <c r="I705" t="s">
        <v>1259</v>
      </c>
      <c r="J705" t="s">
        <v>1416</v>
      </c>
      <c r="K705" t="s">
        <v>1425</v>
      </c>
    </row>
    <row r="706" spans="1:11" x14ac:dyDescent="0.25">
      <c r="A706" t="s">
        <v>2132</v>
      </c>
      <c r="B706" s="2">
        <v>45545</v>
      </c>
      <c r="C706" t="s">
        <v>621</v>
      </c>
      <c r="D706" t="s">
        <v>1011</v>
      </c>
      <c r="E706">
        <v>10</v>
      </c>
      <c r="F706">
        <v>12</v>
      </c>
      <c r="G706">
        <v>3.77</v>
      </c>
      <c r="H706" t="s">
        <v>1032</v>
      </c>
      <c r="I706" t="s">
        <v>1231</v>
      </c>
      <c r="J706" t="s">
        <v>1416</v>
      </c>
      <c r="K706" t="s">
        <v>1425</v>
      </c>
    </row>
    <row r="707" spans="1:11" x14ac:dyDescent="0.25">
      <c r="A707" t="s">
        <v>2133</v>
      </c>
      <c r="B707" s="2">
        <v>45546</v>
      </c>
      <c r="C707" t="s">
        <v>171</v>
      </c>
      <c r="D707" t="s">
        <v>1015</v>
      </c>
      <c r="E707">
        <v>9</v>
      </c>
      <c r="F707">
        <v>10</v>
      </c>
      <c r="G707">
        <v>2.02</v>
      </c>
      <c r="H707" t="s">
        <v>1127</v>
      </c>
      <c r="I707" t="s">
        <v>1326</v>
      </c>
      <c r="J707" t="s">
        <v>1416</v>
      </c>
      <c r="K707" t="s">
        <v>1421</v>
      </c>
    </row>
    <row r="708" spans="1:11" x14ac:dyDescent="0.25">
      <c r="A708" t="s">
        <v>2134</v>
      </c>
      <c r="B708" s="2">
        <v>45546</v>
      </c>
      <c r="C708" t="s">
        <v>278</v>
      </c>
      <c r="D708" t="s">
        <v>1012</v>
      </c>
      <c r="E708">
        <v>4</v>
      </c>
      <c r="F708">
        <v>40</v>
      </c>
      <c r="G708">
        <v>11.92</v>
      </c>
      <c r="H708" t="s">
        <v>1110</v>
      </c>
      <c r="I708" t="s">
        <v>1309</v>
      </c>
      <c r="J708" t="s">
        <v>1416</v>
      </c>
      <c r="K708" t="s">
        <v>1422</v>
      </c>
    </row>
    <row r="709" spans="1:11" x14ac:dyDescent="0.25">
      <c r="A709" t="s">
        <v>2135</v>
      </c>
      <c r="B709" s="2">
        <v>45546</v>
      </c>
      <c r="C709" t="s">
        <v>375</v>
      </c>
      <c r="D709" t="s">
        <v>1015</v>
      </c>
      <c r="E709">
        <v>8</v>
      </c>
      <c r="F709">
        <v>10</v>
      </c>
      <c r="G709">
        <v>3.58</v>
      </c>
      <c r="H709" t="s">
        <v>1097</v>
      </c>
      <c r="I709" t="s">
        <v>1296</v>
      </c>
      <c r="J709" t="s">
        <v>1414</v>
      </c>
      <c r="K709" t="s">
        <v>1423</v>
      </c>
    </row>
    <row r="710" spans="1:11" x14ac:dyDescent="0.25">
      <c r="A710" t="s">
        <v>2136</v>
      </c>
      <c r="B710" s="2">
        <v>45546</v>
      </c>
      <c r="C710" t="s">
        <v>442</v>
      </c>
      <c r="D710" t="s">
        <v>1013</v>
      </c>
      <c r="E710">
        <v>10</v>
      </c>
      <c r="G710">
        <v>8.3699999999999992</v>
      </c>
      <c r="H710" t="s">
        <v>1183</v>
      </c>
      <c r="I710" t="s">
        <v>1382</v>
      </c>
      <c r="J710" t="s">
        <v>1416</v>
      </c>
      <c r="K710" t="s">
        <v>1418</v>
      </c>
    </row>
    <row r="711" spans="1:11" x14ac:dyDescent="0.25">
      <c r="A711" t="s">
        <v>2137</v>
      </c>
      <c r="B711" s="2">
        <v>45546</v>
      </c>
      <c r="C711" t="s">
        <v>461</v>
      </c>
      <c r="D711" t="s">
        <v>1011</v>
      </c>
      <c r="E711">
        <v>1</v>
      </c>
      <c r="F711">
        <v>12</v>
      </c>
      <c r="G711">
        <v>4.25</v>
      </c>
      <c r="H711" t="s">
        <v>1164</v>
      </c>
      <c r="I711" t="s">
        <v>1363</v>
      </c>
      <c r="J711" t="s">
        <v>1416</v>
      </c>
      <c r="K711" t="s">
        <v>1419</v>
      </c>
    </row>
    <row r="712" spans="1:11" x14ac:dyDescent="0.25">
      <c r="A712" t="s">
        <v>2138</v>
      </c>
      <c r="B712" s="2">
        <v>45548</v>
      </c>
      <c r="C712" t="s">
        <v>205</v>
      </c>
      <c r="D712" t="s">
        <v>1014</v>
      </c>
      <c r="E712">
        <v>4</v>
      </c>
      <c r="F712">
        <v>15</v>
      </c>
      <c r="G712">
        <v>4.2</v>
      </c>
      <c r="H712" t="s">
        <v>1134</v>
      </c>
      <c r="I712" t="s">
        <v>1333</v>
      </c>
      <c r="J712" t="s">
        <v>1417</v>
      </c>
      <c r="K712" t="s">
        <v>1424</v>
      </c>
    </row>
    <row r="713" spans="1:11" x14ac:dyDescent="0.25">
      <c r="A713" t="s">
        <v>2139</v>
      </c>
      <c r="B713" s="2">
        <v>45548</v>
      </c>
      <c r="C713" t="s">
        <v>509</v>
      </c>
      <c r="D713" t="s">
        <v>1014</v>
      </c>
      <c r="E713">
        <v>4</v>
      </c>
      <c r="F713">
        <v>15</v>
      </c>
      <c r="G713">
        <v>4.03</v>
      </c>
      <c r="H713" t="s">
        <v>1075</v>
      </c>
      <c r="I713" t="s">
        <v>1274</v>
      </c>
      <c r="J713" t="s">
        <v>1414</v>
      </c>
      <c r="K713" t="s">
        <v>1422</v>
      </c>
    </row>
    <row r="714" spans="1:11" x14ac:dyDescent="0.25">
      <c r="A714" t="s">
        <v>2140</v>
      </c>
      <c r="B714" s="2">
        <v>45548</v>
      </c>
      <c r="C714" t="s">
        <v>592</v>
      </c>
      <c r="D714" t="s">
        <v>1011</v>
      </c>
      <c r="E714">
        <v>4</v>
      </c>
      <c r="F714">
        <v>12</v>
      </c>
      <c r="G714">
        <v>2.68</v>
      </c>
      <c r="H714" t="s">
        <v>1034</v>
      </c>
      <c r="I714" t="s">
        <v>1233</v>
      </c>
      <c r="J714" t="s">
        <v>1415</v>
      </c>
      <c r="K714" t="s">
        <v>1420</v>
      </c>
    </row>
    <row r="715" spans="1:11" x14ac:dyDescent="0.25">
      <c r="A715" t="s">
        <v>2141</v>
      </c>
      <c r="B715" s="2">
        <v>45549</v>
      </c>
      <c r="C715" t="s">
        <v>308</v>
      </c>
      <c r="D715" t="s">
        <v>1015</v>
      </c>
      <c r="E715">
        <v>10</v>
      </c>
      <c r="F715">
        <v>10</v>
      </c>
      <c r="G715">
        <v>2.65</v>
      </c>
      <c r="H715" t="s">
        <v>1042</v>
      </c>
      <c r="I715" t="s">
        <v>1241</v>
      </c>
      <c r="J715" t="s">
        <v>1414</v>
      </c>
      <c r="K715" t="s">
        <v>1424</v>
      </c>
    </row>
    <row r="716" spans="1:11" x14ac:dyDescent="0.25">
      <c r="A716" t="s">
        <v>2142</v>
      </c>
      <c r="B716" s="2">
        <v>45549</v>
      </c>
      <c r="C716" t="s">
        <v>886</v>
      </c>
      <c r="D716" t="s">
        <v>1012</v>
      </c>
      <c r="E716">
        <v>8</v>
      </c>
      <c r="F716">
        <v>40</v>
      </c>
      <c r="G716">
        <v>8.8699999999999992</v>
      </c>
      <c r="H716" t="s">
        <v>1052</v>
      </c>
      <c r="I716" t="s">
        <v>1251</v>
      </c>
      <c r="J716" t="s">
        <v>1416</v>
      </c>
      <c r="K716" t="s">
        <v>1427</v>
      </c>
    </row>
    <row r="717" spans="1:11" x14ac:dyDescent="0.25">
      <c r="A717" t="s">
        <v>2143</v>
      </c>
      <c r="B717" s="2">
        <v>45550</v>
      </c>
      <c r="C717" t="s">
        <v>23</v>
      </c>
      <c r="D717" t="s">
        <v>1012</v>
      </c>
      <c r="E717">
        <v>3</v>
      </c>
      <c r="F717">
        <v>40</v>
      </c>
      <c r="G717">
        <v>14.24</v>
      </c>
      <c r="H717" t="s">
        <v>1027</v>
      </c>
      <c r="I717" t="s">
        <v>1226</v>
      </c>
      <c r="J717" t="s">
        <v>1414</v>
      </c>
      <c r="K717" t="s">
        <v>1419</v>
      </c>
    </row>
    <row r="718" spans="1:11" x14ac:dyDescent="0.25">
      <c r="A718" t="s">
        <v>2144</v>
      </c>
      <c r="B718" s="2">
        <v>45550</v>
      </c>
      <c r="C718" t="s">
        <v>419</v>
      </c>
      <c r="D718" t="s">
        <v>1015</v>
      </c>
      <c r="E718">
        <v>2</v>
      </c>
      <c r="F718">
        <v>10</v>
      </c>
      <c r="G718">
        <v>3.03</v>
      </c>
      <c r="H718" t="s">
        <v>1105</v>
      </c>
      <c r="I718" t="s">
        <v>1304</v>
      </c>
      <c r="J718" t="s">
        <v>1416</v>
      </c>
      <c r="K718" t="s">
        <v>1422</v>
      </c>
    </row>
    <row r="719" spans="1:11" x14ac:dyDescent="0.25">
      <c r="A719" t="s">
        <v>2145</v>
      </c>
      <c r="B719" s="2">
        <v>45551</v>
      </c>
      <c r="C719" t="s">
        <v>26</v>
      </c>
      <c r="D719" t="s">
        <v>1015</v>
      </c>
      <c r="E719">
        <v>9</v>
      </c>
      <c r="F719">
        <v>10</v>
      </c>
      <c r="G719">
        <v>2.11</v>
      </c>
      <c r="H719" t="s">
        <v>1029</v>
      </c>
      <c r="I719" t="s">
        <v>1228</v>
      </c>
      <c r="J719" t="s">
        <v>1416</v>
      </c>
      <c r="K719" t="s">
        <v>1419</v>
      </c>
    </row>
    <row r="720" spans="1:11" x14ac:dyDescent="0.25">
      <c r="A720" t="s">
        <v>2146</v>
      </c>
      <c r="B720" s="2">
        <v>45551</v>
      </c>
      <c r="C720" t="s">
        <v>658</v>
      </c>
      <c r="D720" t="s">
        <v>1013</v>
      </c>
      <c r="E720">
        <v>10</v>
      </c>
      <c r="F720">
        <v>25</v>
      </c>
      <c r="G720">
        <v>6.58</v>
      </c>
      <c r="H720" t="s">
        <v>1055</v>
      </c>
      <c r="I720" t="s">
        <v>1254</v>
      </c>
      <c r="J720" t="s">
        <v>1414</v>
      </c>
      <c r="K720" t="s">
        <v>1419</v>
      </c>
    </row>
    <row r="721" spans="1:11" x14ac:dyDescent="0.25">
      <c r="A721" t="s">
        <v>2147</v>
      </c>
      <c r="B721" s="2">
        <v>45552</v>
      </c>
      <c r="C721" t="s">
        <v>334</v>
      </c>
      <c r="D721" t="s">
        <v>1012</v>
      </c>
      <c r="E721">
        <v>6</v>
      </c>
      <c r="F721">
        <v>40</v>
      </c>
      <c r="G721">
        <v>15.57</v>
      </c>
      <c r="H721" t="s">
        <v>1046</v>
      </c>
      <c r="I721" t="s">
        <v>1245</v>
      </c>
      <c r="J721" t="s">
        <v>1414</v>
      </c>
      <c r="K721" t="s">
        <v>1422</v>
      </c>
    </row>
    <row r="722" spans="1:11" x14ac:dyDescent="0.25">
      <c r="A722" t="s">
        <v>2148</v>
      </c>
      <c r="B722" s="2">
        <v>45552</v>
      </c>
      <c r="C722" t="s">
        <v>625</v>
      </c>
      <c r="D722" t="s">
        <v>1013</v>
      </c>
      <c r="E722">
        <v>9</v>
      </c>
      <c r="F722">
        <v>25</v>
      </c>
      <c r="G722">
        <v>8.24</v>
      </c>
      <c r="H722" t="s">
        <v>1124</v>
      </c>
      <c r="I722" t="s">
        <v>1323</v>
      </c>
      <c r="J722" t="s">
        <v>1414</v>
      </c>
      <c r="K722" t="s">
        <v>1418</v>
      </c>
    </row>
    <row r="723" spans="1:11" x14ac:dyDescent="0.25">
      <c r="A723" t="s">
        <v>2149</v>
      </c>
      <c r="B723" s="2">
        <v>45552</v>
      </c>
      <c r="C723" t="s">
        <v>766</v>
      </c>
      <c r="D723" t="s">
        <v>1013</v>
      </c>
      <c r="E723">
        <v>10</v>
      </c>
      <c r="F723">
        <v>25</v>
      </c>
      <c r="G723">
        <v>5.84</v>
      </c>
      <c r="H723" t="s">
        <v>1045</v>
      </c>
      <c r="I723" t="s">
        <v>1244</v>
      </c>
      <c r="J723" t="s">
        <v>1416</v>
      </c>
      <c r="K723" t="s">
        <v>1418</v>
      </c>
    </row>
    <row r="724" spans="1:11" x14ac:dyDescent="0.25">
      <c r="A724" t="s">
        <v>2150</v>
      </c>
      <c r="B724" s="2">
        <v>45553</v>
      </c>
      <c r="C724" t="s">
        <v>25</v>
      </c>
      <c r="D724" t="s">
        <v>1015</v>
      </c>
      <c r="E724">
        <v>4</v>
      </c>
      <c r="F724">
        <v>10</v>
      </c>
      <c r="G724">
        <v>3.28</v>
      </c>
      <c r="H724" t="s">
        <v>1025</v>
      </c>
      <c r="I724" t="s">
        <v>1224</v>
      </c>
      <c r="J724" t="s">
        <v>1414</v>
      </c>
      <c r="K724" t="s">
        <v>1421</v>
      </c>
    </row>
    <row r="725" spans="1:11" x14ac:dyDescent="0.25">
      <c r="A725" t="s">
        <v>2151</v>
      </c>
      <c r="B725" s="2">
        <v>45553</v>
      </c>
      <c r="C725" t="s">
        <v>377</v>
      </c>
      <c r="D725" t="s">
        <v>1013</v>
      </c>
      <c r="E725">
        <v>8</v>
      </c>
      <c r="F725">
        <v>25</v>
      </c>
      <c r="G725">
        <v>9.33</v>
      </c>
      <c r="H725" t="s">
        <v>1181</v>
      </c>
      <c r="I725" t="s">
        <v>1380</v>
      </c>
      <c r="J725" t="s">
        <v>1414</v>
      </c>
      <c r="K725" t="s">
        <v>1426</v>
      </c>
    </row>
    <row r="726" spans="1:11" x14ac:dyDescent="0.25">
      <c r="A726" t="s">
        <v>2152</v>
      </c>
      <c r="B726" s="2">
        <v>45554</v>
      </c>
      <c r="C726" t="s">
        <v>143</v>
      </c>
      <c r="D726" t="s">
        <v>1014</v>
      </c>
      <c r="E726">
        <v>10</v>
      </c>
      <c r="F726">
        <v>15</v>
      </c>
      <c r="G726">
        <v>5.0199999999999996</v>
      </c>
      <c r="H726" t="s">
        <v>1113</v>
      </c>
      <c r="I726" t="s">
        <v>1312</v>
      </c>
      <c r="J726" t="s">
        <v>1414</v>
      </c>
      <c r="K726" t="s">
        <v>1427</v>
      </c>
    </row>
    <row r="727" spans="1:11" x14ac:dyDescent="0.25">
      <c r="A727" t="s">
        <v>2153</v>
      </c>
      <c r="B727" s="2">
        <v>45554</v>
      </c>
      <c r="C727" t="s">
        <v>664</v>
      </c>
      <c r="D727" t="s">
        <v>1013</v>
      </c>
      <c r="E727">
        <v>1</v>
      </c>
      <c r="F727">
        <v>25</v>
      </c>
      <c r="G727">
        <v>8.68</v>
      </c>
      <c r="H727" t="s">
        <v>1036</v>
      </c>
      <c r="I727" t="s">
        <v>1235</v>
      </c>
      <c r="J727" t="s">
        <v>1415</v>
      </c>
      <c r="K727" t="s">
        <v>1420</v>
      </c>
    </row>
    <row r="728" spans="1:11" x14ac:dyDescent="0.25">
      <c r="A728" t="s">
        <v>2154</v>
      </c>
      <c r="B728" s="2">
        <v>45554</v>
      </c>
      <c r="C728" t="s">
        <v>688</v>
      </c>
      <c r="D728" t="s">
        <v>1012</v>
      </c>
      <c r="E728">
        <v>7</v>
      </c>
      <c r="F728">
        <v>40</v>
      </c>
      <c r="G728">
        <v>8.74</v>
      </c>
      <c r="H728" t="s">
        <v>1182</v>
      </c>
      <c r="I728" t="s">
        <v>1381</v>
      </c>
      <c r="J728" t="s">
        <v>1416</v>
      </c>
      <c r="K728" t="s">
        <v>1422</v>
      </c>
    </row>
    <row r="729" spans="1:11" x14ac:dyDescent="0.25">
      <c r="A729" t="s">
        <v>2155</v>
      </c>
      <c r="B729" s="2">
        <v>45555</v>
      </c>
      <c r="C729" t="s">
        <v>203</v>
      </c>
      <c r="D729" t="s">
        <v>1013</v>
      </c>
      <c r="E729">
        <v>3</v>
      </c>
      <c r="F729">
        <v>25</v>
      </c>
      <c r="G729">
        <v>7.17</v>
      </c>
      <c r="H729" t="s">
        <v>1085</v>
      </c>
      <c r="I729" t="s">
        <v>1284</v>
      </c>
      <c r="J729" t="s">
        <v>1414</v>
      </c>
      <c r="K729" t="s">
        <v>1419</v>
      </c>
    </row>
    <row r="730" spans="1:11" x14ac:dyDescent="0.25">
      <c r="A730" t="s">
        <v>2156</v>
      </c>
      <c r="B730" s="2">
        <v>45556</v>
      </c>
      <c r="C730" t="s">
        <v>721</v>
      </c>
      <c r="D730" t="s">
        <v>1015</v>
      </c>
      <c r="E730">
        <v>8</v>
      </c>
      <c r="F730">
        <v>10</v>
      </c>
      <c r="G730">
        <v>3.47</v>
      </c>
      <c r="H730" t="s">
        <v>1158</v>
      </c>
      <c r="I730" t="s">
        <v>1357</v>
      </c>
      <c r="J730" t="s">
        <v>1416</v>
      </c>
      <c r="K730" t="s">
        <v>1419</v>
      </c>
    </row>
    <row r="731" spans="1:11" x14ac:dyDescent="0.25">
      <c r="A731" t="s">
        <v>2157</v>
      </c>
      <c r="B731" s="2">
        <v>45557</v>
      </c>
      <c r="C731" t="s">
        <v>231</v>
      </c>
      <c r="D731" t="s">
        <v>1011</v>
      </c>
      <c r="E731">
        <v>5</v>
      </c>
      <c r="F731">
        <v>12</v>
      </c>
      <c r="G731">
        <v>2.78</v>
      </c>
      <c r="H731" t="s">
        <v>1062</v>
      </c>
      <c r="I731" t="s">
        <v>1261</v>
      </c>
      <c r="J731" t="s">
        <v>1416</v>
      </c>
      <c r="K731" t="s">
        <v>1423</v>
      </c>
    </row>
    <row r="732" spans="1:11" x14ac:dyDescent="0.25">
      <c r="A732" t="s">
        <v>2158</v>
      </c>
      <c r="B732" s="2">
        <v>45557</v>
      </c>
      <c r="C732" t="s">
        <v>332</v>
      </c>
      <c r="D732" t="s">
        <v>1011</v>
      </c>
      <c r="E732">
        <v>9</v>
      </c>
      <c r="F732">
        <v>12</v>
      </c>
      <c r="G732">
        <v>2.94</v>
      </c>
      <c r="H732" t="s">
        <v>1023</v>
      </c>
      <c r="I732" t="s">
        <v>1222</v>
      </c>
      <c r="J732" t="s">
        <v>1414</v>
      </c>
      <c r="K732" t="s">
        <v>1427</v>
      </c>
    </row>
    <row r="733" spans="1:11" x14ac:dyDescent="0.25">
      <c r="A733" t="s">
        <v>2159</v>
      </c>
      <c r="B733" s="2">
        <v>45557</v>
      </c>
      <c r="C733" t="s">
        <v>455</v>
      </c>
      <c r="D733" t="s">
        <v>1011</v>
      </c>
      <c r="E733">
        <v>3</v>
      </c>
      <c r="F733">
        <v>12</v>
      </c>
      <c r="G733">
        <v>4.49</v>
      </c>
      <c r="H733" t="s">
        <v>1046</v>
      </c>
      <c r="I733" t="s">
        <v>1245</v>
      </c>
      <c r="J733" t="s">
        <v>1414</v>
      </c>
      <c r="K733" t="s">
        <v>1423</v>
      </c>
    </row>
    <row r="734" spans="1:11" x14ac:dyDescent="0.25">
      <c r="A734" t="s">
        <v>2160</v>
      </c>
      <c r="B734" s="2">
        <v>45558</v>
      </c>
      <c r="C734" t="s">
        <v>123</v>
      </c>
      <c r="D734" t="s">
        <v>1013</v>
      </c>
      <c r="E734">
        <v>8</v>
      </c>
      <c r="F734">
        <v>25</v>
      </c>
      <c r="G734">
        <v>6.84</v>
      </c>
      <c r="H734" t="s">
        <v>1102</v>
      </c>
      <c r="I734" t="s">
        <v>1301</v>
      </c>
      <c r="J734" t="s">
        <v>1417</v>
      </c>
      <c r="K734" t="s">
        <v>1426</v>
      </c>
    </row>
    <row r="735" spans="1:11" x14ac:dyDescent="0.25">
      <c r="A735" t="s">
        <v>2161</v>
      </c>
      <c r="B735" s="2">
        <v>45558</v>
      </c>
      <c r="C735" t="s">
        <v>152</v>
      </c>
      <c r="D735" t="s">
        <v>1013</v>
      </c>
      <c r="E735">
        <v>9</v>
      </c>
      <c r="F735">
        <v>25</v>
      </c>
      <c r="G735">
        <v>7.79</v>
      </c>
      <c r="H735" t="s">
        <v>1080</v>
      </c>
      <c r="I735" t="s">
        <v>1279</v>
      </c>
      <c r="J735" t="s">
        <v>1414</v>
      </c>
      <c r="K735" t="s">
        <v>1425</v>
      </c>
    </row>
    <row r="736" spans="1:11" x14ac:dyDescent="0.25">
      <c r="A736" t="s">
        <v>2162</v>
      </c>
      <c r="B736" s="2">
        <v>45558</v>
      </c>
      <c r="C736" t="s">
        <v>798</v>
      </c>
      <c r="D736" t="s">
        <v>1013</v>
      </c>
      <c r="E736">
        <v>7</v>
      </c>
      <c r="F736">
        <v>25</v>
      </c>
      <c r="G736">
        <v>8.2899999999999991</v>
      </c>
      <c r="H736" t="s">
        <v>1173</v>
      </c>
      <c r="I736" t="s">
        <v>1372</v>
      </c>
      <c r="J736" t="s">
        <v>1414</v>
      </c>
      <c r="K736" t="s">
        <v>1422</v>
      </c>
    </row>
    <row r="737" spans="1:11" x14ac:dyDescent="0.25">
      <c r="A737" t="s">
        <v>2163</v>
      </c>
      <c r="B737" s="2">
        <v>45559</v>
      </c>
      <c r="C737" t="s">
        <v>281</v>
      </c>
      <c r="D737" t="s">
        <v>1015</v>
      </c>
      <c r="E737">
        <v>2</v>
      </c>
      <c r="F737">
        <v>10</v>
      </c>
      <c r="G737">
        <v>2.94</v>
      </c>
      <c r="H737" t="s">
        <v>1165</v>
      </c>
      <c r="I737" t="s">
        <v>1364</v>
      </c>
      <c r="J737" t="s">
        <v>1415</v>
      </c>
      <c r="K737" t="s">
        <v>1418</v>
      </c>
    </row>
    <row r="738" spans="1:11" x14ac:dyDescent="0.25">
      <c r="A738" t="s">
        <v>2164</v>
      </c>
      <c r="B738" s="2">
        <v>45559</v>
      </c>
      <c r="C738" t="s">
        <v>636</v>
      </c>
      <c r="D738" t="s">
        <v>1015</v>
      </c>
      <c r="E738">
        <v>1</v>
      </c>
      <c r="F738">
        <v>10</v>
      </c>
      <c r="G738">
        <v>3.62</v>
      </c>
      <c r="H738" t="s">
        <v>1098</v>
      </c>
      <c r="I738" t="s">
        <v>1297</v>
      </c>
      <c r="J738" t="s">
        <v>1414</v>
      </c>
      <c r="K738" t="s">
        <v>1418</v>
      </c>
    </row>
    <row r="739" spans="1:11" x14ac:dyDescent="0.25">
      <c r="A739" t="s">
        <v>2165</v>
      </c>
      <c r="B739" s="2">
        <v>45560</v>
      </c>
      <c r="C739" t="s">
        <v>336</v>
      </c>
      <c r="D739" t="s">
        <v>1015</v>
      </c>
      <c r="E739">
        <v>8</v>
      </c>
      <c r="G739">
        <v>2.08</v>
      </c>
      <c r="H739" t="s">
        <v>1086</v>
      </c>
      <c r="I739" t="s">
        <v>1285</v>
      </c>
      <c r="J739" t="s">
        <v>1414</v>
      </c>
      <c r="K739" t="s">
        <v>1423</v>
      </c>
    </row>
    <row r="740" spans="1:11" x14ac:dyDescent="0.25">
      <c r="A740" t="s">
        <v>2166</v>
      </c>
      <c r="B740" s="2">
        <v>45561</v>
      </c>
      <c r="C740" t="s">
        <v>782</v>
      </c>
      <c r="D740" t="s">
        <v>1011</v>
      </c>
      <c r="E740">
        <v>5</v>
      </c>
      <c r="F740">
        <v>12</v>
      </c>
      <c r="G740">
        <v>4.6900000000000004</v>
      </c>
      <c r="H740" t="s">
        <v>1191</v>
      </c>
      <c r="I740" t="s">
        <v>1390</v>
      </c>
      <c r="J740" t="s">
        <v>1414</v>
      </c>
      <c r="K740" t="s">
        <v>1427</v>
      </c>
    </row>
    <row r="741" spans="1:11" x14ac:dyDescent="0.25">
      <c r="A741" t="s">
        <v>2167</v>
      </c>
      <c r="B741" s="2">
        <v>45561</v>
      </c>
      <c r="C741" t="s">
        <v>906</v>
      </c>
      <c r="D741" t="s">
        <v>1011</v>
      </c>
      <c r="E741">
        <v>7</v>
      </c>
      <c r="F741">
        <v>12</v>
      </c>
      <c r="G741">
        <v>3.9</v>
      </c>
      <c r="H741" t="s">
        <v>1109</v>
      </c>
      <c r="I741" t="s">
        <v>1308</v>
      </c>
      <c r="J741" t="s">
        <v>1415</v>
      </c>
      <c r="K741" t="s">
        <v>1425</v>
      </c>
    </row>
    <row r="742" spans="1:11" x14ac:dyDescent="0.25">
      <c r="A742" t="s">
        <v>2168</v>
      </c>
      <c r="B742" s="2">
        <v>45562</v>
      </c>
      <c r="C742" t="s">
        <v>339</v>
      </c>
      <c r="D742" t="s">
        <v>1014</v>
      </c>
      <c r="E742">
        <v>10</v>
      </c>
      <c r="F742">
        <v>15</v>
      </c>
      <c r="G742">
        <v>3.05</v>
      </c>
      <c r="H742" t="s">
        <v>1151</v>
      </c>
      <c r="I742" t="s">
        <v>1350</v>
      </c>
      <c r="J742" t="s">
        <v>1416</v>
      </c>
      <c r="K742" t="s">
        <v>1423</v>
      </c>
    </row>
    <row r="743" spans="1:11" x14ac:dyDescent="0.25">
      <c r="A743" t="s">
        <v>2169</v>
      </c>
      <c r="B743" s="2">
        <v>45562</v>
      </c>
      <c r="C743" t="s">
        <v>593</v>
      </c>
      <c r="D743" t="s">
        <v>1012</v>
      </c>
      <c r="E743">
        <v>5</v>
      </c>
      <c r="G743">
        <v>8.11</v>
      </c>
      <c r="H743" t="s">
        <v>1127</v>
      </c>
      <c r="I743" t="s">
        <v>1326</v>
      </c>
      <c r="J743" t="s">
        <v>1414</v>
      </c>
      <c r="K743" t="s">
        <v>1426</v>
      </c>
    </row>
    <row r="744" spans="1:11" x14ac:dyDescent="0.25">
      <c r="A744" t="s">
        <v>2170</v>
      </c>
      <c r="B744" s="2">
        <v>45562</v>
      </c>
      <c r="C744" t="s">
        <v>1010</v>
      </c>
      <c r="D744" t="s">
        <v>1015</v>
      </c>
      <c r="E744">
        <v>10</v>
      </c>
      <c r="F744">
        <v>10</v>
      </c>
      <c r="G744">
        <v>3.29</v>
      </c>
      <c r="H744" t="s">
        <v>1173</v>
      </c>
      <c r="I744" t="s">
        <v>1372</v>
      </c>
      <c r="J744" t="s">
        <v>1414</v>
      </c>
      <c r="K744" t="s">
        <v>1424</v>
      </c>
    </row>
    <row r="745" spans="1:11" x14ac:dyDescent="0.25">
      <c r="A745" t="s">
        <v>2171</v>
      </c>
      <c r="B745" s="2">
        <v>45563</v>
      </c>
      <c r="C745" t="s">
        <v>76</v>
      </c>
      <c r="D745" t="s">
        <v>1015</v>
      </c>
      <c r="E745">
        <v>5</v>
      </c>
      <c r="F745">
        <v>10</v>
      </c>
      <c r="G745">
        <v>2.66</v>
      </c>
      <c r="H745" t="s">
        <v>1070</v>
      </c>
      <c r="I745" t="s">
        <v>1269</v>
      </c>
      <c r="J745" t="s">
        <v>1416</v>
      </c>
      <c r="K745" t="s">
        <v>1424</v>
      </c>
    </row>
    <row r="746" spans="1:11" x14ac:dyDescent="0.25">
      <c r="A746" t="s">
        <v>2172</v>
      </c>
      <c r="B746" s="2">
        <v>45563</v>
      </c>
      <c r="C746" t="s">
        <v>669</v>
      </c>
      <c r="D746" t="s">
        <v>1014</v>
      </c>
      <c r="E746">
        <v>7</v>
      </c>
      <c r="F746">
        <v>15</v>
      </c>
      <c r="G746">
        <v>3.82</v>
      </c>
      <c r="H746" t="s">
        <v>1069</v>
      </c>
      <c r="I746" t="s">
        <v>1268</v>
      </c>
      <c r="J746" t="s">
        <v>1414</v>
      </c>
      <c r="K746" t="s">
        <v>1426</v>
      </c>
    </row>
    <row r="747" spans="1:11" x14ac:dyDescent="0.25">
      <c r="A747" t="s">
        <v>2173</v>
      </c>
      <c r="B747" s="2">
        <v>45564</v>
      </c>
      <c r="C747" t="s">
        <v>315</v>
      </c>
      <c r="D747" t="s">
        <v>1012</v>
      </c>
      <c r="E747">
        <v>4</v>
      </c>
      <c r="F747">
        <v>40</v>
      </c>
      <c r="G747">
        <v>9.31</v>
      </c>
      <c r="H747" t="s">
        <v>1130</v>
      </c>
      <c r="I747" t="s">
        <v>1329</v>
      </c>
      <c r="J747" t="s">
        <v>1416</v>
      </c>
      <c r="K747" t="s">
        <v>1419</v>
      </c>
    </row>
    <row r="748" spans="1:11" x14ac:dyDescent="0.25">
      <c r="A748" t="s">
        <v>2174</v>
      </c>
      <c r="B748" s="2">
        <v>45564</v>
      </c>
      <c r="C748" t="s">
        <v>464</v>
      </c>
      <c r="D748" t="s">
        <v>1011</v>
      </c>
      <c r="E748">
        <v>6</v>
      </c>
      <c r="F748">
        <v>12</v>
      </c>
      <c r="G748">
        <v>3.66</v>
      </c>
      <c r="H748" t="s">
        <v>1064</v>
      </c>
      <c r="I748" t="s">
        <v>1263</v>
      </c>
      <c r="J748" t="s">
        <v>1414</v>
      </c>
      <c r="K748" t="s">
        <v>1426</v>
      </c>
    </row>
    <row r="749" spans="1:11" x14ac:dyDescent="0.25">
      <c r="A749" t="s">
        <v>2175</v>
      </c>
      <c r="B749" s="2">
        <v>45565</v>
      </c>
      <c r="C749" t="s">
        <v>511</v>
      </c>
      <c r="D749" t="s">
        <v>1012</v>
      </c>
      <c r="E749">
        <v>1</v>
      </c>
      <c r="F749">
        <v>40</v>
      </c>
      <c r="G749">
        <v>9.89</v>
      </c>
      <c r="H749" t="s">
        <v>1131</v>
      </c>
      <c r="I749" t="s">
        <v>1330</v>
      </c>
      <c r="J749" t="s">
        <v>1416</v>
      </c>
      <c r="K749" t="s">
        <v>1419</v>
      </c>
    </row>
    <row r="750" spans="1:11" x14ac:dyDescent="0.25">
      <c r="A750" t="s">
        <v>2176</v>
      </c>
      <c r="B750" s="2">
        <v>45565</v>
      </c>
      <c r="C750" t="s">
        <v>647</v>
      </c>
      <c r="D750" t="s">
        <v>1015</v>
      </c>
      <c r="E750">
        <v>1</v>
      </c>
      <c r="F750">
        <v>10</v>
      </c>
      <c r="G750">
        <v>3.17</v>
      </c>
      <c r="H750" t="s">
        <v>1072</v>
      </c>
      <c r="I750" t="s">
        <v>1271</v>
      </c>
      <c r="J750" t="s">
        <v>1416</v>
      </c>
      <c r="K750" t="s">
        <v>1424</v>
      </c>
    </row>
    <row r="751" spans="1:11" x14ac:dyDescent="0.25">
      <c r="A751" t="s">
        <v>2177</v>
      </c>
      <c r="B751" s="2">
        <v>45565</v>
      </c>
      <c r="C751" t="s">
        <v>675</v>
      </c>
      <c r="D751" t="s">
        <v>1011</v>
      </c>
      <c r="E751">
        <v>1</v>
      </c>
      <c r="F751">
        <v>12</v>
      </c>
      <c r="G751">
        <v>2.92</v>
      </c>
      <c r="H751" t="s">
        <v>1208</v>
      </c>
      <c r="I751" t="s">
        <v>1407</v>
      </c>
      <c r="J751" t="s">
        <v>1414</v>
      </c>
      <c r="K751" t="s">
        <v>1426</v>
      </c>
    </row>
    <row r="752" spans="1:11" x14ac:dyDescent="0.25">
      <c r="A752" t="s">
        <v>2178</v>
      </c>
      <c r="B752" s="2">
        <v>45566</v>
      </c>
      <c r="C752" t="s">
        <v>622</v>
      </c>
      <c r="D752" t="s">
        <v>1015</v>
      </c>
      <c r="E752">
        <v>10</v>
      </c>
      <c r="F752">
        <v>10</v>
      </c>
      <c r="G752">
        <v>2.95</v>
      </c>
      <c r="H752" t="s">
        <v>1145</v>
      </c>
      <c r="I752" t="s">
        <v>1344</v>
      </c>
      <c r="J752" t="s">
        <v>1416</v>
      </c>
      <c r="K752" t="s">
        <v>1422</v>
      </c>
    </row>
    <row r="753" spans="1:11" x14ac:dyDescent="0.25">
      <c r="A753" t="s">
        <v>2179</v>
      </c>
      <c r="B753" s="2">
        <v>45566</v>
      </c>
      <c r="C753" t="s">
        <v>679</v>
      </c>
      <c r="D753" t="s">
        <v>1012</v>
      </c>
      <c r="E753">
        <v>10</v>
      </c>
      <c r="F753">
        <v>40</v>
      </c>
      <c r="G753">
        <v>15.92</v>
      </c>
      <c r="H753" t="s">
        <v>1186</v>
      </c>
      <c r="I753" t="s">
        <v>1385</v>
      </c>
      <c r="J753" t="s">
        <v>1414</v>
      </c>
      <c r="K753" t="s">
        <v>1423</v>
      </c>
    </row>
    <row r="754" spans="1:11" x14ac:dyDescent="0.25">
      <c r="A754" t="s">
        <v>2180</v>
      </c>
      <c r="B754" s="2">
        <v>45567</v>
      </c>
      <c r="C754" t="s">
        <v>54</v>
      </c>
      <c r="D754" t="s">
        <v>1011</v>
      </c>
      <c r="E754">
        <v>5</v>
      </c>
      <c r="F754">
        <v>12</v>
      </c>
      <c r="G754">
        <v>4.0199999999999996</v>
      </c>
      <c r="H754" t="s">
        <v>1021</v>
      </c>
      <c r="I754" t="s">
        <v>1220</v>
      </c>
      <c r="J754" t="s">
        <v>1415</v>
      </c>
      <c r="K754" t="s">
        <v>1424</v>
      </c>
    </row>
    <row r="755" spans="1:11" x14ac:dyDescent="0.25">
      <c r="A755" t="s">
        <v>2181</v>
      </c>
      <c r="B755" s="2">
        <v>45568</v>
      </c>
      <c r="C755" t="s">
        <v>151</v>
      </c>
      <c r="D755" t="s">
        <v>1015</v>
      </c>
      <c r="E755">
        <v>5</v>
      </c>
      <c r="F755">
        <v>10</v>
      </c>
      <c r="G755">
        <v>3.63</v>
      </c>
      <c r="H755" t="s">
        <v>1046</v>
      </c>
      <c r="I755" t="s">
        <v>1245</v>
      </c>
      <c r="J755" t="s">
        <v>1414</v>
      </c>
      <c r="K755" t="s">
        <v>1422</v>
      </c>
    </row>
    <row r="756" spans="1:11" x14ac:dyDescent="0.25">
      <c r="A756" t="s">
        <v>2182</v>
      </c>
      <c r="B756" s="2">
        <v>45568</v>
      </c>
      <c r="C756" t="s">
        <v>484</v>
      </c>
      <c r="D756" t="s">
        <v>1012</v>
      </c>
      <c r="E756">
        <v>10</v>
      </c>
      <c r="F756">
        <v>40</v>
      </c>
      <c r="G756">
        <v>9.3800000000000008</v>
      </c>
      <c r="H756" t="s">
        <v>1164</v>
      </c>
      <c r="I756" t="s">
        <v>1363</v>
      </c>
      <c r="J756" t="s">
        <v>1417</v>
      </c>
      <c r="K756" t="s">
        <v>1420</v>
      </c>
    </row>
    <row r="757" spans="1:11" x14ac:dyDescent="0.25">
      <c r="A757" t="s">
        <v>2183</v>
      </c>
      <c r="B757" s="2">
        <v>45568</v>
      </c>
      <c r="C757" t="s">
        <v>720</v>
      </c>
      <c r="D757" t="s">
        <v>1014</v>
      </c>
      <c r="E757">
        <v>9</v>
      </c>
      <c r="G757">
        <v>3.13</v>
      </c>
      <c r="H757" t="s">
        <v>1060</v>
      </c>
      <c r="I757" t="s">
        <v>1259</v>
      </c>
      <c r="J757" t="s">
        <v>1415</v>
      </c>
      <c r="K757" t="s">
        <v>1422</v>
      </c>
    </row>
    <row r="758" spans="1:11" x14ac:dyDescent="0.25">
      <c r="A758" t="s">
        <v>2184</v>
      </c>
      <c r="B758" s="2">
        <v>45569</v>
      </c>
      <c r="C758" t="s">
        <v>295</v>
      </c>
      <c r="D758" t="s">
        <v>1015</v>
      </c>
      <c r="E758">
        <v>6</v>
      </c>
      <c r="F758">
        <v>10</v>
      </c>
      <c r="G758">
        <v>2.29</v>
      </c>
      <c r="H758" t="s">
        <v>1117</v>
      </c>
      <c r="I758" t="s">
        <v>1316</v>
      </c>
      <c r="J758" t="s">
        <v>1414</v>
      </c>
      <c r="K758" t="s">
        <v>1423</v>
      </c>
    </row>
    <row r="759" spans="1:11" x14ac:dyDescent="0.25">
      <c r="A759" t="s">
        <v>2185</v>
      </c>
      <c r="B759" s="2">
        <v>45569</v>
      </c>
      <c r="C759" t="s">
        <v>406</v>
      </c>
      <c r="D759" t="s">
        <v>1014</v>
      </c>
      <c r="E759">
        <v>3</v>
      </c>
      <c r="F759">
        <v>15</v>
      </c>
      <c r="G759">
        <v>5.75</v>
      </c>
      <c r="H759" t="s">
        <v>1084</v>
      </c>
      <c r="I759" t="s">
        <v>1283</v>
      </c>
      <c r="J759" t="s">
        <v>1414</v>
      </c>
      <c r="K759" t="s">
        <v>1427</v>
      </c>
    </row>
    <row r="760" spans="1:11" x14ac:dyDescent="0.25">
      <c r="A760" t="s">
        <v>2186</v>
      </c>
      <c r="B760" s="2">
        <v>45569</v>
      </c>
      <c r="C760" t="s">
        <v>881</v>
      </c>
      <c r="D760" t="s">
        <v>1011</v>
      </c>
      <c r="E760">
        <v>1</v>
      </c>
      <c r="F760">
        <v>12</v>
      </c>
      <c r="G760">
        <v>3.85</v>
      </c>
      <c r="H760" t="s">
        <v>1074</v>
      </c>
      <c r="I760" t="s">
        <v>1273</v>
      </c>
      <c r="J760" t="s">
        <v>1414</v>
      </c>
      <c r="K760" t="s">
        <v>1425</v>
      </c>
    </row>
    <row r="761" spans="1:11" x14ac:dyDescent="0.25">
      <c r="A761" t="s">
        <v>2187</v>
      </c>
      <c r="B761" s="2">
        <v>45570</v>
      </c>
      <c r="C761" t="s">
        <v>527</v>
      </c>
      <c r="D761" t="s">
        <v>1012</v>
      </c>
      <c r="E761">
        <v>7</v>
      </c>
      <c r="F761">
        <v>40</v>
      </c>
      <c r="G761">
        <v>10.52</v>
      </c>
      <c r="H761" t="s">
        <v>1095</v>
      </c>
      <c r="I761" t="s">
        <v>1294</v>
      </c>
      <c r="J761" t="s">
        <v>1414</v>
      </c>
      <c r="K761" t="s">
        <v>1427</v>
      </c>
    </row>
    <row r="762" spans="1:11" x14ac:dyDescent="0.25">
      <c r="A762" t="s">
        <v>2188</v>
      </c>
      <c r="B762" s="2">
        <v>45570</v>
      </c>
      <c r="C762" t="s">
        <v>860</v>
      </c>
      <c r="D762" t="s">
        <v>1015</v>
      </c>
      <c r="E762">
        <v>1</v>
      </c>
      <c r="F762">
        <v>10</v>
      </c>
      <c r="G762">
        <v>3.77</v>
      </c>
      <c r="H762" t="s">
        <v>1128</v>
      </c>
      <c r="I762" t="s">
        <v>1327</v>
      </c>
      <c r="J762" t="s">
        <v>1414</v>
      </c>
      <c r="K762" t="s">
        <v>1420</v>
      </c>
    </row>
    <row r="763" spans="1:11" x14ac:dyDescent="0.25">
      <c r="A763" t="s">
        <v>2189</v>
      </c>
      <c r="B763" s="2">
        <v>45571</v>
      </c>
      <c r="C763" t="s">
        <v>338</v>
      </c>
      <c r="D763" t="s">
        <v>1013</v>
      </c>
      <c r="E763">
        <v>8</v>
      </c>
      <c r="F763">
        <v>25</v>
      </c>
      <c r="G763">
        <v>8.85</v>
      </c>
      <c r="H763" t="s">
        <v>1065</v>
      </c>
      <c r="I763" t="s">
        <v>1264</v>
      </c>
      <c r="J763" t="s">
        <v>1414</v>
      </c>
      <c r="K763" t="s">
        <v>1427</v>
      </c>
    </row>
    <row r="764" spans="1:11" x14ac:dyDescent="0.25">
      <c r="A764" t="s">
        <v>2190</v>
      </c>
      <c r="B764" s="2">
        <v>45571</v>
      </c>
      <c r="C764" t="s">
        <v>573</v>
      </c>
      <c r="D764" t="s">
        <v>1013</v>
      </c>
      <c r="E764">
        <v>2</v>
      </c>
      <c r="G764">
        <v>8.5399999999999991</v>
      </c>
      <c r="H764" t="s">
        <v>1098</v>
      </c>
      <c r="I764" t="s">
        <v>1297</v>
      </c>
      <c r="J764" t="s">
        <v>1414</v>
      </c>
      <c r="K764" t="s">
        <v>1425</v>
      </c>
    </row>
    <row r="765" spans="1:11" x14ac:dyDescent="0.25">
      <c r="A765" t="s">
        <v>2191</v>
      </c>
      <c r="B765" s="2">
        <v>45572</v>
      </c>
      <c r="C765" t="s">
        <v>60</v>
      </c>
      <c r="D765" t="s">
        <v>1014</v>
      </c>
      <c r="E765">
        <v>10</v>
      </c>
      <c r="F765">
        <v>15</v>
      </c>
      <c r="G765">
        <v>4.92</v>
      </c>
      <c r="H765" t="s">
        <v>1058</v>
      </c>
      <c r="I765" t="s">
        <v>1257</v>
      </c>
      <c r="J765" t="s">
        <v>1414</v>
      </c>
      <c r="K765" t="s">
        <v>1421</v>
      </c>
    </row>
    <row r="766" spans="1:11" x14ac:dyDescent="0.25">
      <c r="A766" t="s">
        <v>2192</v>
      </c>
      <c r="B766" s="2">
        <v>45573</v>
      </c>
      <c r="C766" t="s">
        <v>322</v>
      </c>
      <c r="D766" t="s">
        <v>1012</v>
      </c>
      <c r="E766">
        <v>8</v>
      </c>
      <c r="F766">
        <v>40</v>
      </c>
      <c r="G766">
        <v>15.87</v>
      </c>
      <c r="H766" t="s">
        <v>1172</v>
      </c>
      <c r="I766" t="s">
        <v>1371</v>
      </c>
      <c r="J766" t="s">
        <v>1417</v>
      </c>
      <c r="K766" t="s">
        <v>1418</v>
      </c>
    </row>
    <row r="767" spans="1:11" x14ac:dyDescent="0.25">
      <c r="A767" t="s">
        <v>2193</v>
      </c>
      <c r="B767" s="2">
        <v>45573</v>
      </c>
      <c r="C767" t="s">
        <v>388</v>
      </c>
      <c r="D767" t="s">
        <v>1011</v>
      </c>
      <c r="E767">
        <v>8</v>
      </c>
      <c r="F767">
        <v>12</v>
      </c>
      <c r="G767">
        <v>2.44</v>
      </c>
      <c r="H767" t="s">
        <v>1113</v>
      </c>
      <c r="I767" t="s">
        <v>1312</v>
      </c>
      <c r="J767" t="s">
        <v>1414</v>
      </c>
      <c r="K767" t="s">
        <v>1424</v>
      </c>
    </row>
    <row r="768" spans="1:11" x14ac:dyDescent="0.25">
      <c r="A768" t="s">
        <v>2194</v>
      </c>
      <c r="B768" s="2">
        <v>45573</v>
      </c>
      <c r="C768" t="s">
        <v>606</v>
      </c>
      <c r="D768" t="s">
        <v>1014</v>
      </c>
      <c r="E768">
        <v>7</v>
      </c>
      <c r="F768">
        <v>15</v>
      </c>
      <c r="G768">
        <v>3.55</v>
      </c>
      <c r="H768" t="s">
        <v>1053</v>
      </c>
      <c r="I768" t="s">
        <v>1252</v>
      </c>
      <c r="J768" t="s">
        <v>1414</v>
      </c>
      <c r="K768" t="s">
        <v>1419</v>
      </c>
    </row>
    <row r="769" spans="1:11" x14ac:dyDescent="0.25">
      <c r="A769" t="s">
        <v>2195</v>
      </c>
      <c r="B769" s="2">
        <v>45573</v>
      </c>
      <c r="C769" t="s">
        <v>785</v>
      </c>
      <c r="D769" t="s">
        <v>1015</v>
      </c>
      <c r="E769">
        <v>1</v>
      </c>
      <c r="F769">
        <v>10</v>
      </c>
      <c r="G769">
        <v>3.51</v>
      </c>
      <c r="H769" t="s">
        <v>1084</v>
      </c>
      <c r="I769" t="s">
        <v>1283</v>
      </c>
      <c r="J769" t="s">
        <v>1414</v>
      </c>
      <c r="K769" t="s">
        <v>1424</v>
      </c>
    </row>
    <row r="770" spans="1:11" x14ac:dyDescent="0.25">
      <c r="A770" t="s">
        <v>2196</v>
      </c>
      <c r="B770" s="2">
        <v>45574</v>
      </c>
      <c r="C770" t="s">
        <v>877</v>
      </c>
      <c r="D770" t="s">
        <v>1013</v>
      </c>
      <c r="E770">
        <v>3</v>
      </c>
      <c r="F770">
        <v>25</v>
      </c>
      <c r="G770">
        <v>8.26</v>
      </c>
      <c r="H770" t="s">
        <v>1067</v>
      </c>
      <c r="I770" t="s">
        <v>1266</v>
      </c>
      <c r="J770" t="s">
        <v>1414</v>
      </c>
      <c r="K770" t="s">
        <v>1424</v>
      </c>
    </row>
    <row r="771" spans="1:11" x14ac:dyDescent="0.25">
      <c r="A771" t="s">
        <v>2197</v>
      </c>
      <c r="B771" s="2">
        <v>45575</v>
      </c>
      <c r="C771" t="s">
        <v>67</v>
      </c>
      <c r="D771" t="s">
        <v>1013</v>
      </c>
      <c r="E771">
        <v>10</v>
      </c>
      <c r="F771">
        <v>25</v>
      </c>
      <c r="G771">
        <v>7.05</v>
      </c>
      <c r="H771" t="s">
        <v>1062</v>
      </c>
      <c r="I771" t="s">
        <v>1261</v>
      </c>
      <c r="J771" t="s">
        <v>1416</v>
      </c>
      <c r="K771" t="s">
        <v>1418</v>
      </c>
    </row>
    <row r="772" spans="1:11" x14ac:dyDescent="0.25">
      <c r="A772" t="s">
        <v>2198</v>
      </c>
      <c r="B772" s="2">
        <v>45575</v>
      </c>
      <c r="C772" t="s">
        <v>118</v>
      </c>
      <c r="D772" t="s">
        <v>1012</v>
      </c>
      <c r="E772">
        <v>4</v>
      </c>
      <c r="G772">
        <v>14.12</v>
      </c>
      <c r="H772" t="s">
        <v>1098</v>
      </c>
      <c r="I772" t="s">
        <v>1297</v>
      </c>
      <c r="J772" t="s">
        <v>1417</v>
      </c>
      <c r="K772" t="s">
        <v>1423</v>
      </c>
    </row>
    <row r="773" spans="1:11" x14ac:dyDescent="0.25">
      <c r="A773" t="s">
        <v>2199</v>
      </c>
      <c r="B773" s="2">
        <v>45576</v>
      </c>
      <c r="C773" t="s">
        <v>299</v>
      </c>
      <c r="D773" t="s">
        <v>1012</v>
      </c>
      <c r="E773">
        <v>7</v>
      </c>
      <c r="F773">
        <v>40</v>
      </c>
      <c r="G773">
        <v>10.23</v>
      </c>
      <c r="H773" t="s">
        <v>1065</v>
      </c>
      <c r="I773" t="s">
        <v>1264</v>
      </c>
      <c r="J773" t="s">
        <v>1414</v>
      </c>
      <c r="K773" t="s">
        <v>1423</v>
      </c>
    </row>
    <row r="774" spans="1:11" x14ac:dyDescent="0.25">
      <c r="A774" t="s">
        <v>2200</v>
      </c>
      <c r="B774" s="2">
        <v>45576</v>
      </c>
      <c r="C774" t="s">
        <v>882</v>
      </c>
      <c r="D774" t="s">
        <v>1014</v>
      </c>
      <c r="E774">
        <v>5</v>
      </c>
      <c r="F774">
        <v>15</v>
      </c>
      <c r="G774">
        <v>5.01</v>
      </c>
      <c r="H774" t="s">
        <v>1090</v>
      </c>
      <c r="I774" t="s">
        <v>1289</v>
      </c>
      <c r="J774" t="s">
        <v>1417</v>
      </c>
      <c r="K774" t="s">
        <v>1423</v>
      </c>
    </row>
    <row r="775" spans="1:11" x14ac:dyDescent="0.25">
      <c r="A775" t="s">
        <v>2201</v>
      </c>
      <c r="B775" s="2">
        <v>45577</v>
      </c>
      <c r="C775" t="s">
        <v>485</v>
      </c>
      <c r="D775" t="s">
        <v>1013</v>
      </c>
      <c r="E775">
        <v>9</v>
      </c>
      <c r="F775">
        <v>25</v>
      </c>
      <c r="G775">
        <v>7.98</v>
      </c>
      <c r="H775" t="s">
        <v>1200</v>
      </c>
      <c r="I775" t="s">
        <v>1399</v>
      </c>
      <c r="J775" t="s">
        <v>1414</v>
      </c>
      <c r="K775" t="s">
        <v>1426</v>
      </c>
    </row>
    <row r="776" spans="1:11" x14ac:dyDescent="0.25">
      <c r="A776" t="s">
        <v>2202</v>
      </c>
      <c r="B776" s="2">
        <v>45577</v>
      </c>
      <c r="C776" t="s">
        <v>589</v>
      </c>
      <c r="D776" t="s">
        <v>1012</v>
      </c>
      <c r="E776">
        <v>7</v>
      </c>
      <c r="F776">
        <v>40</v>
      </c>
      <c r="G776">
        <v>14.85</v>
      </c>
      <c r="H776" t="s">
        <v>1134</v>
      </c>
      <c r="I776" t="s">
        <v>1333</v>
      </c>
      <c r="J776" t="s">
        <v>1417</v>
      </c>
      <c r="K776" t="s">
        <v>1420</v>
      </c>
    </row>
    <row r="777" spans="1:11" x14ac:dyDescent="0.25">
      <c r="A777" t="s">
        <v>2203</v>
      </c>
      <c r="B777" s="2">
        <v>45577</v>
      </c>
      <c r="C777" t="s">
        <v>733</v>
      </c>
      <c r="D777" t="s">
        <v>1011</v>
      </c>
      <c r="E777">
        <v>7</v>
      </c>
      <c r="F777">
        <v>12</v>
      </c>
      <c r="G777">
        <v>4.57</v>
      </c>
      <c r="H777" t="s">
        <v>1150</v>
      </c>
      <c r="I777" t="s">
        <v>1349</v>
      </c>
      <c r="J777" t="s">
        <v>1414</v>
      </c>
      <c r="K777" t="s">
        <v>1423</v>
      </c>
    </row>
    <row r="778" spans="1:11" x14ac:dyDescent="0.25">
      <c r="A778" t="s">
        <v>2204</v>
      </c>
      <c r="B778" s="2">
        <v>45578</v>
      </c>
      <c r="C778" t="s">
        <v>35</v>
      </c>
      <c r="D778" t="s">
        <v>1011</v>
      </c>
      <c r="E778">
        <v>7</v>
      </c>
      <c r="F778">
        <v>12</v>
      </c>
      <c r="G778">
        <v>4.38</v>
      </c>
      <c r="H778" t="s">
        <v>1037</v>
      </c>
      <c r="I778" t="s">
        <v>1236</v>
      </c>
      <c r="J778" t="s">
        <v>1414</v>
      </c>
      <c r="K778" t="s">
        <v>1423</v>
      </c>
    </row>
    <row r="779" spans="1:11" x14ac:dyDescent="0.25">
      <c r="A779" t="s">
        <v>2205</v>
      </c>
      <c r="B779" s="2">
        <v>45578</v>
      </c>
      <c r="C779" t="s">
        <v>164</v>
      </c>
      <c r="D779" t="s">
        <v>1014</v>
      </c>
      <c r="E779">
        <v>10</v>
      </c>
      <c r="F779">
        <v>15</v>
      </c>
      <c r="G779">
        <v>3.73</v>
      </c>
      <c r="H779" t="s">
        <v>1035</v>
      </c>
      <c r="I779" t="s">
        <v>1234</v>
      </c>
      <c r="J779" t="s">
        <v>1415</v>
      </c>
      <c r="K779" t="s">
        <v>1425</v>
      </c>
    </row>
    <row r="780" spans="1:11" x14ac:dyDescent="0.25">
      <c r="A780" t="s">
        <v>2206</v>
      </c>
      <c r="B780" s="2">
        <v>45578</v>
      </c>
      <c r="C780" t="s">
        <v>368</v>
      </c>
      <c r="D780" t="s">
        <v>1012</v>
      </c>
      <c r="E780">
        <v>6</v>
      </c>
      <c r="F780">
        <v>40</v>
      </c>
      <c r="G780">
        <v>10.78</v>
      </c>
      <c r="H780" t="s">
        <v>1081</v>
      </c>
      <c r="I780" t="s">
        <v>1280</v>
      </c>
      <c r="J780" t="s">
        <v>1416</v>
      </c>
      <c r="K780" t="s">
        <v>1426</v>
      </c>
    </row>
    <row r="781" spans="1:11" x14ac:dyDescent="0.25">
      <c r="A781" t="s">
        <v>2207</v>
      </c>
      <c r="B781" s="2">
        <v>45578</v>
      </c>
      <c r="C781" t="s">
        <v>376</v>
      </c>
      <c r="D781" t="s">
        <v>1014</v>
      </c>
      <c r="E781">
        <v>9</v>
      </c>
      <c r="F781">
        <v>15</v>
      </c>
      <c r="G781">
        <v>4.62</v>
      </c>
      <c r="H781" t="s">
        <v>1063</v>
      </c>
      <c r="I781" t="s">
        <v>1262</v>
      </c>
      <c r="J781" t="s">
        <v>1416</v>
      </c>
      <c r="K781" t="s">
        <v>1424</v>
      </c>
    </row>
    <row r="782" spans="1:11" x14ac:dyDescent="0.25">
      <c r="A782" t="s">
        <v>2208</v>
      </c>
      <c r="B782" s="2">
        <v>45578</v>
      </c>
      <c r="C782" t="s">
        <v>820</v>
      </c>
      <c r="D782" t="s">
        <v>1012</v>
      </c>
      <c r="E782">
        <v>10</v>
      </c>
      <c r="F782">
        <v>40</v>
      </c>
      <c r="G782">
        <v>10.4</v>
      </c>
      <c r="H782" t="s">
        <v>1030</v>
      </c>
      <c r="I782" t="s">
        <v>1229</v>
      </c>
      <c r="J782" t="s">
        <v>1415</v>
      </c>
      <c r="K782" t="s">
        <v>1419</v>
      </c>
    </row>
    <row r="783" spans="1:11" x14ac:dyDescent="0.25">
      <c r="A783" t="s">
        <v>2209</v>
      </c>
      <c r="B783" s="2">
        <v>45579</v>
      </c>
      <c r="C783" t="s">
        <v>328</v>
      </c>
      <c r="D783" t="s">
        <v>1011</v>
      </c>
      <c r="E783">
        <v>6</v>
      </c>
      <c r="F783">
        <v>12</v>
      </c>
      <c r="G783">
        <v>4.6100000000000003</v>
      </c>
      <c r="H783" t="s">
        <v>1041</v>
      </c>
      <c r="I783" t="s">
        <v>1240</v>
      </c>
      <c r="J783" t="s">
        <v>1414</v>
      </c>
      <c r="K783" t="s">
        <v>1425</v>
      </c>
    </row>
    <row r="784" spans="1:11" x14ac:dyDescent="0.25">
      <c r="A784" t="s">
        <v>2210</v>
      </c>
      <c r="B784" s="2">
        <v>45580</v>
      </c>
      <c r="C784" t="s">
        <v>420</v>
      </c>
      <c r="D784" t="s">
        <v>1014</v>
      </c>
      <c r="E784">
        <v>5</v>
      </c>
      <c r="F784">
        <v>15</v>
      </c>
      <c r="G784">
        <v>5.78</v>
      </c>
      <c r="H784" t="s">
        <v>1189</v>
      </c>
      <c r="I784" t="s">
        <v>1388</v>
      </c>
      <c r="J784" t="s">
        <v>1416</v>
      </c>
      <c r="K784" t="s">
        <v>1418</v>
      </c>
    </row>
    <row r="785" spans="1:11" x14ac:dyDescent="0.25">
      <c r="A785" t="s">
        <v>2211</v>
      </c>
      <c r="B785" s="2">
        <v>45580</v>
      </c>
      <c r="C785" t="s">
        <v>799</v>
      </c>
      <c r="D785" t="s">
        <v>1013</v>
      </c>
      <c r="E785">
        <v>6</v>
      </c>
      <c r="F785">
        <v>25</v>
      </c>
      <c r="G785">
        <v>7.31</v>
      </c>
      <c r="H785" t="s">
        <v>1123</v>
      </c>
      <c r="I785" t="s">
        <v>1322</v>
      </c>
      <c r="J785" t="s">
        <v>1414</v>
      </c>
      <c r="K785" t="s">
        <v>1420</v>
      </c>
    </row>
    <row r="786" spans="1:11" x14ac:dyDescent="0.25">
      <c r="A786" t="s">
        <v>2212</v>
      </c>
      <c r="B786" s="2">
        <v>45580</v>
      </c>
      <c r="C786" t="s">
        <v>911</v>
      </c>
      <c r="D786" t="s">
        <v>1013</v>
      </c>
      <c r="E786">
        <v>4</v>
      </c>
      <c r="F786">
        <v>25</v>
      </c>
      <c r="G786">
        <v>5.44</v>
      </c>
      <c r="H786" t="s">
        <v>1214</v>
      </c>
      <c r="I786" t="s">
        <v>1413</v>
      </c>
      <c r="J786" t="s">
        <v>1414</v>
      </c>
      <c r="K786" t="s">
        <v>1423</v>
      </c>
    </row>
    <row r="787" spans="1:11" x14ac:dyDescent="0.25">
      <c r="A787" t="s">
        <v>2213</v>
      </c>
      <c r="B787" s="2">
        <v>45581</v>
      </c>
      <c r="C787" t="s">
        <v>250</v>
      </c>
      <c r="D787" t="s">
        <v>1012</v>
      </c>
      <c r="E787">
        <v>1</v>
      </c>
      <c r="F787">
        <v>40</v>
      </c>
      <c r="G787">
        <v>15.04</v>
      </c>
      <c r="H787" t="s">
        <v>1158</v>
      </c>
      <c r="I787" t="s">
        <v>1357</v>
      </c>
      <c r="J787" t="s">
        <v>1416</v>
      </c>
      <c r="K787" t="s">
        <v>1419</v>
      </c>
    </row>
    <row r="788" spans="1:11" x14ac:dyDescent="0.25">
      <c r="A788" t="s">
        <v>2214</v>
      </c>
      <c r="B788" s="2">
        <v>45581</v>
      </c>
      <c r="C788" t="s">
        <v>696</v>
      </c>
      <c r="D788" t="s">
        <v>1014</v>
      </c>
      <c r="E788">
        <v>9</v>
      </c>
      <c r="F788">
        <v>15</v>
      </c>
      <c r="G788">
        <v>4.9000000000000004</v>
      </c>
      <c r="H788" t="s">
        <v>1147</v>
      </c>
      <c r="I788" t="s">
        <v>1346</v>
      </c>
      <c r="J788" t="s">
        <v>1416</v>
      </c>
      <c r="K788" t="s">
        <v>1426</v>
      </c>
    </row>
    <row r="789" spans="1:11" x14ac:dyDescent="0.25">
      <c r="A789" t="s">
        <v>2215</v>
      </c>
      <c r="B789" s="2">
        <v>45581</v>
      </c>
      <c r="C789" t="s">
        <v>931</v>
      </c>
      <c r="D789" t="s">
        <v>1012</v>
      </c>
      <c r="E789">
        <v>6</v>
      </c>
      <c r="F789">
        <v>40</v>
      </c>
      <c r="G789">
        <v>11.76</v>
      </c>
      <c r="H789" t="s">
        <v>1164</v>
      </c>
      <c r="I789" t="s">
        <v>1363</v>
      </c>
      <c r="J789" t="s">
        <v>1414</v>
      </c>
      <c r="K789" t="s">
        <v>1427</v>
      </c>
    </row>
    <row r="790" spans="1:11" x14ac:dyDescent="0.25">
      <c r="A790" t="s">
        <v>2216</v>
      </c>
      <c r="B790" s="2">
        <v>45581</v>
      </c>
      <c r="C790" t="s">
        <v>950</v>
      </c>
      <c r="D790" t="s">
        <v>1011</v>
      </c>
      <c r="E790">
        <v>5</v>
      </c>
      <c r="F790">
        <v>12</v>
      </c>
      <c r="G790">
        <v>4.68</v>
      </c>
      <c r="H790" t="s">
        <v>1144</v>
      </c>
      <c r="I790" t="s">
        <v>1343</v>
      </c>
      <c r="J790" t="s">
        <v>1416</v>
      </c>
      <c r="K790" t="s">
        <v>1426</v>
      </c>
    </row>
    <row r="791" spans="1:11" x14ac:dyDescent="0.25">
      <c r="A791" t="s">
        <v>2217</v>
      </c>
      <c r="B791" s="2">
        <v>45582</v>
      </c>
      <c r="C791" t="s">
        <v>58</v>
      </c>
      <c r="D791" t="s">
        <v>1014</v>
      </c>
      <c r="E791">
        <v>7</v>
      </c>
      <c r="F791">
        <v>15</v>
      </c>
      <c r="G791">
        <v>4.3899999999999997</v>
      </c>
      <c r="H791" t="s">
        <v>1056</v>
      </c>
      <c r="I791" t="s">
        <v>1255</v>
      </c>
      <c r="J791" t="s">
        <v>1414</v>
      </c>
      <c r="K791" t="s">
        <v>1421</v>
      </c>
    </row>
    <row r="792" spans="1:11" x14ac:dyDescent="0.25">
      <c r="A792" t="s">
        <v>2218</v>
      </c>
      <c r="B792" s="2">
        <v>45582</v>
      </c>
      <c r="C792" t="s">
        <v>78</v>
      </c>
      <c r="D792" t="s">
        <v>1011</v>
      </c>
      <c r="E792">
        <v>7</v>
      </c>
      <c r="F792">
        <v>12</v>
      </c>
      <c r="G792">
        <v>4.01</v>
      </c>
      <c r="H792" t="s">
        <v>1047</v>
      </c>
      <c r="I792" t="s">
        <v>1246</v>
      </c>
      <c r="J792" t="s">
        <v>1414</v>
      </c>
      <c r="K792" t="s">
        <v>1423</v>
      </c>
    </row>
    <row r="793" spans="1:11" x14ac:dyDescent="0.25">
      <c r="A793" t="s">
        <v>2219</v>
      </c>
      <c r="B793" s="2">
        <v>45582</v>
      </c>
      <c r="C793" t="s">
        <v>260</v>
      </c>
      <c r="D793" t="s">
        <v>1014</v>
      </c>
      <c r="E793">
        <v>6</v>
      </c>
      <c r="F793">
        <v>15</v>
      </c>
      <c r="G793">
        <v>3.88</v>
      </c>
      <c r="H793" t="s">
        <v>1082</v>
      </c>
      <c r="I793" t="s">
        <v>1281</v>
      </c>
      <c r="J793" t="s">
        <v>1416</v>
      </c>
      <c r="K793" t="s">
        <v>1425</v>
      </c>
    </row>
    <row r="794" spans="1:11" x14ac:dyDescent="0.25">
      <c r="A794" t="s">
        <v>2220</v>
      </c>
      <c r="B794" s="2">
        <v>45582</v>
      </c>
      <c r="C794" t="s">
        <v>347</v>
      </c>
      <c r="D794" t="s">
        <v>1013</v>
      </c>
      <c r="E794">
        <v>6</v>
      </c>
      <c r="F794">
        <v>25</v>
      </c>
      <c r="G794">
        <v>6.57</v>
      </c>
      <c r="H794" t="s">
        <v>1085</v>
      </c>
      <c r="I794" t="s">
        <v>1284</v>
      </c>
      <c r="J794" t="s">
        <v>1416</v>
      </c>
      <c r="K794" t="s">
        <v>1424</v>
      </c>
    </row>
    <row r="795" spans="1:11" x14ac:dyDescent="0.25">
      <c r="A795" t="s">
        <v>2221</v>
      </c>
      <c r="B795" s="2">
        <v>45582</v>
      </c>
      <c r="C795" t="s">
        <v>365</v>
      </c>
      <c r="D795" t="s">
        <v>1015</v>
      </c>
      <c r="E795">
        <v>7</v>
      </c>
      <c r="F795">
        <v>10</v>
      </c>
      <c r="G795">
        <v>3.92</v>
      </c>
      <c r="H795" t="s">
        <v>1057</v>
      </c>
      <c r="I795" t="s">
        <v>1256</v>
      </c>
      <c r="J795" t="s">
        <v>1415</v>
      </c>
      <c r="K795" t="s">
        <v>1419</v>
      </c>
    </row>
    <row r="796" spans="1:11" x14ac:dyDescent="0.25">
      <c r="A796" t="s">
        <v>2222</v>
      </c>
      <c r="B796" s="2">
        <v>45582</v>
      </c>
      <c r="C796" t="s">
        <v>394</v>
      </c>
      <c r="D796" t="s">
        <v>1015</v>
      </c>
      <c r="E796">
        <v>4</v>
      </c>
      <c r="F796">
        <v>10</v>
      </c>
      <c r="G796">
        <v>2.33</v>
      </c>
      <c r="H796" t="s">
        <v>1165</v>
      </c>
      <c r="I796" t="s">
        <v>1364</v>
      </c>
      <c r="J796" t="s">
        <v>1414</v>
      </c>
      <c r="K796" t="s">
        <v>1420</v>
      </c>
    </row>
    <row r="797" spans="1:11" x14ac:dyDescent="0.25">
      <c r="A797" t="s">
        <v>2223</v>
      </c>
      <c r="B797" s="2">
        <v>45582</v>
      </c>
      <c r="C797" t="s">
        <v>412</v>
      </c>
      <c r="D797" t="s">
        <v>1015</v>
      </c>
      <c r="E797">
        <v>2</v>
      </c>
      <c r="F797">
        <v>10</v>
      </c>
      <c r="G797">
        <v>3.79</v>
      </c>
      <c r="H797" t="s">
        <v>1187</v>
      </c>
      <c r="I797" t="s">
        <v>1386</v>
      </c>
      <c r="J797" t="s">
        <v>1414</v>
      </c>
      <c r="K797" t="s">
        <v>1427</v>
      </c>
    </row>
    <row r="798" spans="1:11" x14ac:dyDescent="0.25">
      <c r="A798" t="s">
        <v>2224</v>
      </c>
      <c r="B798" s="2">
        <v>45583</v>
      </c>
      <c r="C798" t="s">
        <v>530</v>
      </c>
      <c r="D798" t="s">
        <v>1011</v>
      </c>
      <c r="E798">
        <v>4</v>
      </c>
      <c r="F798">
        <v>12</v>
      </c>
      <c r="G798">
        <v>4.72</v>
      </c>
      <c r="H798" t="s">
        <v>1048</v>
      </c>
      <c r="I798" t="s">
        <v>1247</v>
      </c>
      <c r="J798" t="s">
        <v>1414</v>
      </c>
      <c r="K798" t="s">
        <v>1424</v>
      </c>
    </row>
    <row r="799" spans="1:11" x14ac:dyDescent="0.25">
      <c r="A799" t="s">
        <v>2225</v>
      </c>
      <c r="B799" s="2">
        <v>45583</v>
      </c>
      <c r="C799" t="s">
        <v>970</v>
      </c>
      <c r="D799" t="s">
        <v>1014</v>
      </c>
      <c r="E799">
        <v>1</v>
      </c>
      <c r="F799">
        <v>15</v>
      </c>
      <c r="G799">
        <v>4.58</v>
      </c>
      <c r="H799" t="s">
        <v>1048</v>
      </c>
      <c r="I799" t="s">
        <v>1247</v>
      </c>
      <c r="J799" t="s">
        <v>1414</v>
      </c>
      <c r="K799" t="s">
        <v>1425</v>
      </c>
    </row>
    <row r="800" spans="1:11" x14ac:dyDescent="0.25">
      <c r="A800" t="s">
        <v>2226</v>
      </c>
      <c r="B800" s="2">
        <v>45584</v>
      </c>
      <c r="C800" t="s">
        <v>196</v>
      </c>
      <c r="D800" t="s">
        <v>1013</v>
      </c>
      <c r="E800">
        <v>3</v>
      </c>
      <c r="F800">
        <v>25</v>
      </c>
      <c r="G800">
        <v>8.26</v>
      </c>
      <c r="H800" t="s">
        <v>1020</v>
      </c>
      <c r="I800" t="s">
        <v>1219</v>
      </c>
      <c r="J800" t="s">
        <v>1414</v>
      </c>
      <c r="K800" t="s">
        <v>1427</v>
      </c>
    </row>
    <row r="801" spans="1:11" x14ac:dyDescent="0.25">
      <c r="A801" t="s">
        <v>2227</v>
      </c>
      <c r="B801" s="2">
        <v>45584</v>
      </c>
      <c r="C801" t="s">
        <v>285</v>
      </c>
      <c r="D801" t="s">
        <v>1014</v>
      </c>
      <c r="E801">
        <v>9</v>
      </c>
      <c r="G801">
        <v>4.99</v>
      </c>
      <c r="H801" t="s">
        <v>1096</v>
      </c>
      <c r="I801" t="s">
        <v>1295</v>
      </c>
      <c r="J801" t="s">
        <v>1414</v>
      </c>
      <c r="K801" t="s">
        <v>1427</v>
      </c>
    </row>
    <row r="802" spans="1:11" x14ac:dyDescent="0.25">
      <c r="A802" t="s">
        <v>2228</v>
      </c>
      <c r="B802" s="2">
        <v>45584</v>
      </c>
      <c r="C802" t="s">
        <v>468</v>
      </c>
      <c r="D802" t="s">
        <v>1011</v>
      </c>
      <c r="E802">
        <v>9</v>
      </c>
      <c r="F802">
        <v>12</v>
      </c>
      <c r="G802">
        <v>4.3499999999999996</v>
      </c>
      <c r="H802" t="s">
        <v>1197</v>
      </c>
      <c r="I802" t="s">
        <v>1396</v>
      </c>
      <c r="J802" t="s">
        <v>1414</v>
      </c>
      <c r="K802" t="s">
        <v>1422</v>
      </c>
    </row>
    <row r="803" spans="1:11" x14ac:dyDescent="0.25">
      <c r="A803" t="s">
        <v>2229</v>
      </c>
      <c r="B803" s="2">
        <v>45584</v>
      </c>
      <c r="C803" t="s">
        <v>477</v>
      </c>
      <c r="D803" t="s">
        <v>1012</v>
      </c>
      <c r="E803">
        <v>1</v>
      </c>
      <c r="F803">
        <v>40</v>
      </c>
      <c r="G803">
        <v>13.06</v>
      </c>
      <c r="H803" t="s">
        <v>1101</v>
      </c>
      <c r="I803" t="s">
        <v>1300</v>
      </c>
      <c r="J803" t="s">
        <v>1414</v>
      </c>
      <c r="K803" t="s">
        <v>1419</v>
      </c>
    </row>
    <row r="804" spans="1:11" x14ac:dyDescent="0.25">
      <c r="A804" t="s">
        <v>2230</v>
      </c>
      <c r="B804" s="2">
        <v>45584</v>
      </c>
      <c r="C804" t="s">
        <v>502</v>
      </c>
      <c r="D804" t="s">
        <v>1014</v>
      </c>
      <c r="E804">
        <v>10</v>
      </c>
      <c r="F804">
        <v>15</v>
      </c>
      <c r="G804">
        <v>5.31</v>
      </c>
      <c r="H804" t="s">
        <v>1203</v>
      </c>
      <c r="I804" t="s">
        <v>1402</v>
      </c>
      <c r="J804" t="s">
        <v>1416</v>
      </c>
      <c r="K804" t="s">
        <v>1427</v>
      </c>
    </row>
    <row r="805" spans="1:11" x14ac:dyDescent="0.25">
      <c r="A805" t="s">
        <v>2231</v>
      </c>
      <c r="B805" s="2">
        <v>45584</v>
      </c>
      <c r="C805" t="s">
        <v>652</v>
      </c>
      <c r="D805" t="s">
        <v>1014</v>
      </c>
      <c r="E805">
        <v>5</v>
      </c>
      <c r="F805">
        <v>15</v>
      </c>
      <c r="G805">
        <v>4.21</v>
      </c>
      <c r="H805" t="s">
        <v>1027</v>
      </c>
      <c r="I805" t="s">
        <v>1226</v>
      </c>
      <c r="J805" t="s">
        <v>1414</v>
      </c>
      <c r="K805" t="s">
        <v>1422</v>
      </c>
    </row>
    <row r="806" spans="1:11" x14ac:dyDescent="0.25">
      <c r="A806" t="s">
        <v>2232</v>
      </c>
      <c r="B806" s="2">
        <v>45584</v>
      </c>
      <c r="C806" t="s">
        <v>704</v>
      </c>
      <c r="D806" t="s">
        <v>1015</v>
      </c>
      <c r="E806">
        <v>6</v>
      </c>
      <c r="F806">
        <v>10</v>
      </c>
      <c r="G806">
        <v>2.83</v>
      </c>
      <c r="H806" t="s">
        <v>1036</v>
      </c>
      <c r="I806" t="s">
        <v>1235</v>
      </c>
      <c r="J806" t="s">
        <v>1414</v>
      </c>
      <c r="K806" t="s">
        <v>1418</v>
      </c>
    </row>
    <row r="807" spans="1:11" x14ac:dyDescent="0.25">
      <c r="A807" t="s">
        <v>2233</v>
      </c>
      <c r="B807" s="2">
        <v>45585</v>
      </c>
      <c r="C807" t="s">
        <v>760</v>
      </c>
      <c r="D807" t="s">
        <v>1013</v>
      </c>
      <c r="E807">
        <v>2</v>
      </c>
      <c r="F807">
        <v>25</v>
      </c>
      <c r="G807">
        <v>6.21</v>
      </c>
      <c r="H807" t="s">
        <v>1169</v>
      </c>
      <c r="I807" t="s">
        <v>1368</v>
      </c>
      <c r="J807" t="s">
        <v>1414</v>
      </c>
      <c r="K807" t="s">
        <v>1418</v>
      </c>
    </row>
    <row r="808" spans="1:11" x14ac:dyDescent="0.25">
      <c r="A808" t="s">
        <v>2234</v>
      </c>
      <c r="B808" s="2">
        <v>45585</v>
      </c>
      <c r="C808" t="s">
        <v>935</v>
      </c>
      <c r="D808" t="s">
        <v>1014</v>
      </c>
      <c r="E808">
        <v>4</v>
      </c>
      <c r="G808">
        <v>5.58</v>
      </c>
      <c r="H808" t="s">
        <v>1138</v>
      </c>
      <c r="I808" t="s">
        <v>1337</v>
      </c>
      <c r="J808" t="s">
        <v>1414</v>
      </c>
      <c r="K808" t="s">
        <v>1422</v>
      </c>
    </row>
    <row r="809" spans="1:11" x14ac:dyDescent="0.25">
      <c r="A809" t="s">
        <v>2235</v>
      </c>
      <c r="B809" s="2">
        <v>45586</v>
      </c>
      <c r="C809" t="s">
        <v>13</v>
      </c>
      <c r="D809" t="s">
        <v>1012</v>
      </c>
      <c r="E809">
        <v>4</v>
      </c>
      <c r="F809">
        <v>40</v>
      </c>
      <c r="G809">
        <v>8.16</v>
      </c>
      <c r="H809" t="s">
        <v>1018</v>
      </c>
      <c r="I809" t="s">
        <v>1217</v>
      </c>
      <c r="J809" t="s">
        <v>1415</v>
      </c>
      <c r="K809" t="s">
        <v>1420</v>
      </c>
    </row>
    <row r="810" spans="1:11" x14ac:dyDescent="0.25">
      <c r="A810" t="s">
        <v>2236</v>
      </c>
      <c r="B810" s="2">
        <v>45586</v>
      </c>
      <c r="C810" t="s">
        <v>101</v>
      </c>
      <c r="D810" t="s">
        <v>1014</v>
      </c>
      <c r="E810">
        <v>7</v>
      </c>
      <c r="F810">
        <v>15</v>
      </c>
      <c r="G810">
        <v>4.8899999999999997</v>
      </c>
      <c r="H810" t="s">
        <v>1085</v>
      </c>
      <c r="I810" t="s">
        <v>1284</v>
      </c>
      <c r="J810" t="s">
        <v>1414</v>
      </c>
      <c r="K810" t="s">
        <v>1426</v>
      </c>
    </row>
    <row r="811" spans="1:11" x14ac:dyDescent="0.25">
      <c r="A811" t="s">
        <v>2237</v>
      </c>
      <c r="B811" s="2">
        <v>45586</v>
      </c>
      <c r="C811" t="s">
        <v>514</v>
      </c>
      <c r="D811" t="s">
        <v>1012</v>
      </c>
      <c r="E811">
        <v>5</v>
      </c>
      <c r="F811">
        <v>40</v>
      </c>
      <c r="G811">
        <v>13.34</v>
      </c>
      <c r="H811" t="s">
        <v>1153</v>
      </c>
      <c r="I811" t="s">
        <v>1352</v>
      </c>
      <c r="J811" t="s">
        <v>1414</v>
      </c>
      <c r="K811" t="s">
        <v>1420</v>
      </c>
    </row>
    <row r="812" spans="1:11" x14ac:dyDescent="0.25">
      <c r="A812" t="s">
        <v>2238</v>
      </c>
      <c r="B812" s="2">
        <v>45586</v>
      </c>
      <c r="C812" t="s">
        <v>519</v>
      </c>
      <c r="D812" t="s">
        <v>1012</v>
      </c>
      <c r="E812">
        <v>8</v>
      </c>
      <c r="F812">
        <v>40</v>
      </c>
      <c r="G812">
        <v>14.63</v>
      </c>
      <c r="H812" t="s">
        <v>1095</v>
      </c>
      <c r="I812" t="s">
        <v>1294</v>
      </c>
      <c r="J812" t="s">
        <v>1414</v>
      </c>
      <c r="K812" t="s">
        <v>1419</v>
      </c>
    </row>
    <row r="813" spans="1:11" x14ac:dyDescent="0.25">
      <c r="A813" t="s">
        <v>2239</v>
      </c>
      <c r="B813" s="2">
        <v>45586</v>
      </c>
      <c r="C813" t="s">
        <v>938</v>
      </c>
      <c r="D813" t="s">
        <v>1012</v>
      </c>
      <c r="E813">
        <v>2</v>
      </c>
      <c r="F813">
        <v>40</v>
      </c>
      <c r="G813">
        <v>12.12</v>
      </c>
      <c r="H813" t="s">
        <v>1099</v>
      </c>
      <c r="I813" t="s">
        <v>1298</v>
      </c>
      <c r="J813" t="s">
        <v>1414</v>
      </c>
      <c r="K813" t="s">
        <v>1427</v>
      </c>
    </row>
    <row r="814" spans="1:11" x14ac:dyDescent="0.25">
      <c r="A814" t="s">
        <v>2240</v>
      </c>
      <c r="B814" s="2">
        <v>45587</v>
      </c>
      <c r="C814" t="s">
        <v>998</v>
      </c>
      <c r="D814" t="s">
        <v>1015</v>
      </c>
      <c r="E814">
        <v>8</v>
      </c>
      <c r="G814">
        <v>3.74</v>
      </c>
      <c r="H814" t="s">
        <v>1208</v>
      </c>
      <c r="I814" t="s">
        <v>1407</v>
      </c>
      <c r="J814" t="s">
        <v>1414</v>
      </c>
      <c r="K814" t="s">
        <v>1422</v>
      </c>
    </row>
    <row r="815" spans="1:11" x14ac:dyDescent="0.25">
      <c r="A815" t="s">
        <v>2241</v>
      </c>
      <c r="B815" s="2">
        <v>45588</v>
      </c>
      <c r="C815" t="s">
        <v>45</v>
      </c>
      <c r="D815" t="s">
        <v>1012</v>
      </c>
      <c r="E815">
        <v>9</v>
      </c>
      <c r="F815">
        <v>40</v>
      </c>
      <c r="G815">
        <v>9.27</v>
      </c>
      <c r="H815" t="s">
        <v>1044</v>
      </c>
      <c r="I815" t="s">
        <v>1243</v>
      </c>
      <c r="J815" t="s">
        <v>1417</v>
      </c>
      <c r="K815" t="s">
        <v>1424</v>
      </c>
    </row>
    <row r="816" spans="1:11" x14ac:dyDescent="0.25">
      <c r="A816" t="s">
        <v>2242</v>
      </c>
      <c r="B816" s="2">
        <v>45588</v>
      </c>
      <c r="C816" t="s">
        <v>270</v>
      </c>
      <c r="D816" t="s">
        <v>1011</v>
      </c>
      <c r="E816">
        <v>3</v>
      </c>
      <c r="F816">
        <v>12</v>
      </c>
      <c r="G816">
        <v>4.5999999999999996</v>
      </c>
      <c r="H816" t="s">
        <v>1133</v>
      </c>
      <c r="I816" t="s">
        <v>1332</v>
      </c>
      <c r="J816" t="s">
        <v>1414</v>
      </c>
      <c r="K816" t="s">
        <v>1419</v>
      </c>
    </row>
    <row r="817" spans="1:11" x14ac:dyDescent="0.25">
      <c r="A817" t="s">
        <v>2243</v>
      </c>
      <c r="B817" s="2">
        <v>45588</v>
      </c>
      <c r="C817" t="s">
        <v>552</v>
      </c>
      <c r="D817" t="s">
        <v>1011</v>
      </c>
      <c r="E817">
        <v>2</v>
      </c>
      <c r="F817">
        <v>12</v>
      </c>
      <c r="G817">
        <v>2.86</v>
      </c>
      <c r="H817" t="s">
        <v>1133</v>
      </c>
      <c r="I817" t="s">
        <v>1332</v>
      </c>
      <c r="J817" t="s">
        <v>1414</v>
      </c>
      <c r="K817" t="s">
        <v>1425</v>
      </c>
    </row>
    <row r="818" spans="1:11" x14ac:dyDescent="0.25">
      <c r="A818" t="s">
        <v>2244</v>
      </c>
      <c r="B818" s="2">
        <v>45588</v>
      </c>
      <c r="C818" t="s">
        <v>815</v>
      </c>
      <c r="D818" t="s">
        <v>1015</v>
      </c>
      <c r="E818">
        <v>10</v>
      </c>
      <c r="G818">
        <v>3.01</v>
      </c>
      <c r="H818" t="s">
        <v>1139</v>
      </c>
      <c r="I818" t="s">
        <v>1338</v>
      </c>
      <c r="J818" t="s">
        <v>1414</v>
      </c>
      <c r="K818" t="s">
        <v>1421</v>
      </c>
    </row>
    <row r="819" spans="1:11" x14ac:dyDescent="0.25">
      <c r="A819" t="s">
        <v>2245</v>
      </c>
      <c r="B819" s="2">
        <v>45588</v>
      </c>
      <c r="C819" t="s">
        <v>1004</v>
      </c>
      <c r="D819" t="s">
        <v>1013</v>
      </c>
      <c r="E819">
        <v>4</v>
      </c>
      <c r="F819">
        <v>25</v>
      </c>
      <c r="G819">
        <v>5.63</v>
      </c>
      <c r="H819" t="s">
        <v>1075</v>
      </c>
      <c r="I819" t="s">
        <v>1274</v>
      </c>
      <c r="J819" t="s">
        <v>1416</v>
      </c>
      <c r="K819" t="s">
        <v>1421</v>
      </c>
    </row>
    <row r="820" spans="1:11" x14ac:dyDescent="0.25">
      <c r="A820" t="s">
        <v>2246</v>
      </c>
      <c r="B820" s="2">
        <v>45589</v>
      </c>
      <c r="C820" t="s">
        <v>77</v>
      </c>
      <c r="D820" t="s">
        <v>1011</v>
      </c>
      <c r="E820">
        <v>2</v>
      </c>
      <c r="F820">
        <v>12</v>
      </c>
      <c r="G820">
        <v>2.46</v>
      </c>
      <c r="H820" t="s">
        <v>1071</v>
      </c>
      <c r="I820" t="s">
        <v>1270</v>
      </c>
      <c r="J820" t="s">
        <v>1414</v>
      </c>
      <c r="K820" t="s">
        <v>1420</v>
      </c>
    </row>
    <row r="821" spans="1:11" x14ac:dyDescent="0.25">
      <c r="A821" t="s">
        <v>2247</v>
      </c>
      <c r="B821" s="2">
        <v>45589</v>
      </c>
      <c r="C821" t="s">
        <v>915</v>
      </c>
      <c r="D821" t="s">
        <v>1015</v>
      </c>
      <c r="E821">
        <v>10</v>
      </c>
      <c r="F821">
        <v>10</v>
      </c>
      <c r="G821">
        <v>3.42</v>
      </c>
      <c r="H821" t="s">
        <v>1179</v>
      </c>
      <c r="I821" t="s">
        <v>1378</v>
      </c>
      <c r="J821" t="s">
        <v>1414</v>
      </c>
      <c r="K821" t="s">
        <v>1420</v>
      </c>
    </row>
    <row r="822" spans="1:11" x14ac:dyDescent="0.25">
      <c r="A822" t="s">
        <v>2248</v>
      </c>
      <c r="B822" s="2">
        <v>45590</v>
      </c>
      <c r="C822" t="s">
        <v>381</v>
      </c>
      <c r="D822" t="s">
        <v>1015</v>
      </c>
      <c r="E822">
        <v>1</v>
      </c>
      <c r="F822">
        <v>10</v>
      </c>
      <c r="G822">
        <v>3.95</v>
      </c>
      <c r="H822" t="s">
        <v>1079</v>
      </c>
      <c r="I822" t="s">
        <v>1278</v>
      </c>
      <c r="J822" t="s">
        <v>1416</v>
      </c>
      <c r="K822" t="s">
        <v>1422</v>
      </c>
    </row>
    <row r="823" spans="1:11" x14ac:dyDescent="0.25">
      <c r="A823" t="s">
        <v>2249</v>
      </c>
      <c r="B823" s="2">
        <v>45590</v>
      </c>
      <c r="C823" t="s">
        <v>849</v>
      </c>
      <c r="D823" t="s">
        <v>1013</v>
      </c>
      <c r="E823">
        <v>9</v>
      </c>
      <c r="F823">
        <v>25</v>
      </c>
      <c r="G823">
        <v>9.23</v>
      </c>
      <c r="H823" t="s">
        <v>1162</v>
      </c>
      <c r="I823" t="s">
        <v>1361</v>
      </c>
      <c r="J823" t="s">
        <v>1414</v>
      </c>
      <c r="K823" t="s">
        <v>1419</v>
      </c>
    </row>
    <row r="824" spans="1:11" x14ac:dyDescent="0.25">
      <c r="A824" t="s">
        <v>2250</v>
      </c>
      <c r="B824" s="2">
        <v>45591</v>
      </c>
      <c r="C824" t="s">
        <v>153</v>
      </c>
      <c r="D824" t="s">
        <v>1012</v>
      </c>
      <c r="E824">
        <v>2</v>
      </c>
      <c r="F824">
        <v>40</v>
      </c>
      <c r="G824">
        <v>11.27</v>
      </c>
      <c r="H824" t="s">
        <v>1122</v>
      </c>
      <c r="I824" t="s">
        <v>1321</v>
      </c>
      <c r="J824" t="s">
        <v>1414</v>
      </c>
      <c r="K824" t="s">
        <v>1425</v>
      </c>
    </row>
    <row r="825" spans="1:11" x14ac:dyDescent="0.25">
      <c r="A825" t="s">
        <v>2251</v>
      </c>
      <c r="B825" s="2">
        <v>45591</v>
      </c>
      <c r="C825" t="s">
        <v>165</v>
      </c>
      <c r="D825" t="s">
        <v>1012</v>
      </c>
      <c r="E825">
        <v>4</v>
      </c>
      <c r="F825">
        <v>40</v>
      </c>
      <c r="G825">
        <v>9.61</v>
      </c>
      <c r="H825" t="s">
        <v>1125</v>
      </c>
      <c r="I825" t="s">
        <v>1324</v>
      </c>
      <c r="J825" t="s">
        <v>1414</v>
      </c>
      <c r="K825" t="s">
        <v>1426</v>
      </c>
    </row>
    <row r="826" spans="1:11" x14ac:dyDescent="0.25">
      <c r="A826" t="s">
        <v>2252</v>
      </c>
      <c r="B826" s="2">
        <v>45591</v>
      </c>
      <c r="C826" t="s">
        <v>188</v>
      </c>
      <c r="D826" t="s">
        <v>1013</v>
      </c>
      <c r="E826">
        <v>6</v>
      </c>
      <c r="F826">
        <v>25</v>
      </c>
      <c r="G826">
        <v>9.08</v>
      </c>
      <c r="H826" t="s">
        <v>1135</v>
      </c>
      <c r="I826" t="s">
        <v>1334</v>
      </c>
      <c r="J826" t="s">
        <v>1414</v>
      </c>
      <c r="K826" t="s">
        <v>1422</v>
      </c>
    </row>
    <row r="827" spans="1:11" x14ac:dyDescent="0.25">
      <c r="A827" t="s">
        <v>2253</v>
      </c>
      <c r="B827" s="2">
        <v>45592</v>
      </c>
      <c r="C827" t="s">
        <v>433</v>
      </c>
      <c r="D827" t="s">
        <v>1015</v>
      </c>
      <c r="E827">
        <v>10</v>
      </c>
      <c r="F827">
        <v>10</v>
      </c>
      <c r="G827">
        <v>3.48</v>
      </c>
      <c r="H827" t="s">
        <v>1050</v>
      </c>
      <c r="I827" t="s">
        <v>1249</v>
      </c>
      <c r="J827" t="s">
        <v>1414</v>
      </c>
      <c r="K827" t="s">
        <v>1424</v>
      </c>
    </row>
    <row r="828" spans="1:11" x14ac:dyDescent="0.25">
      <c r="A828" t="s">
        <v>2254</v>
      </c>
      <c r="B828" s="2">
        <v>45592</v>
      </c>
      <c r="C828" t="s">
        <v>472</v>
      </c>
      <c r="D828" t="s">
        <v>1013</v>
      </c>
      <c r="E828">
        <v>1</v>
      </c>
      <c r="F828">
        <v>25</v>
      </c>
      <c r="G828">
        <v>6.8</v>
      </c>
      <c r="H828" t="s">
        <v>1053</v>
      </c>
      <c r="I828" t="s">
        <v>1252</v>
      </c>
      <c r="J828" t="s">
        <v>1414</v>
      </c>
      <c r="K828" t="s">
        <v>1426</v>
      </c>
    </row>
    <row r="829" spans="1:11" x14ac:dyDescent="0.25">
      <c r="A829" t="s">
        <v>2255</v>
      </c>
      <c r="B829" s="2">
        <v>45592</v>
      </c>
      <c r="C829" t="s">
        <v>772</v>
      </c>
      <c r="D829" t="s">
        <v>1013</v>
      </c>
      <c r="E829">
        <v>10</v>
      </c>
      <c r="F829">
        <v>25</v>
      </c>
      <c r="G829">
        <v>8.74</v>
      </c>
      <c r="H829" t="s">
        <v>1019</v>
      </c>
      <c r="I829" t="s">
        <v>1218</v>
      </c>
      <c r="J829" t="s">
        <v>1414</v>
      </c>
      <c r="K829" t="s">
        <v>1422</v>
      </c>
    </row>
    <row r="830" spans="1:11" x14ac:dyDescent="0.25">
      <c r="A830" t="s">
        <v>2256</v>
      </c>
      <c r="B830" s="2">
        <v>45592</v>
      </c>
      <c r="C830" t="s">
        <v>844</v>
      </c>
      <c r="D830" t="s">
        <v>1014</v>
      </c>
      <c r="E830">
        <v>8</v>
      </c>
      <c r="F830">
        <v>15</v>
      </c>
      <c r="G830">
        <v>5.93</v>
      </c>
      <c r="H830" t="s">
        <v>1022</v>
      </c>
      <c r="I830" t="s">
        <v>1221</v>
      </c>
      <c r="J830" t="s">
        <v>1416</v>
      </c>
      <c r="K830" t="s">
        <v>1427</v>
      </c>
    </row>
    <row r="831" spans="1:11" x14ac:dyDescent="0.25">
      <c r="A831" t="s">
        <v>2257</v>
      </c>
      <c r="B831" s="2">
        <v>45592</v>
      </c>
      <c r="C831" t="s">
        <v>991</v>
      </c>
      <c r="D831" t="s">
        <v>1012</v>
      </c>
      <c r="E831">
        <v>2</v>
      </c>
      <c r="F831">
        <v>40</v>
      </c>
      <c r="G831">
        <v>11.4</v>
      </c>
      <c r="H831" t="s">
        <v>1174</v>
      </c>
      <c r="I831" t="s">
        <v>1373</v>
      </c>
      <c r="J831" t="s">
        <v>1414</v>
      </c>
      <c r="K831" t="s">
        <v>1427</v>
      </c>
    </row>
    <row r="832" spans="1:11" x14ac:dyDescent="0.25">
      <c r="A832" t="s">
        <v>2258</v>
      </c>
      <c r="B832" s="2">
        <v>45593</v>
      </c>
      <c r="C832" t="s">
        <v>128</v>
      </c>
      <c r="D832" t="s">
        <v>1014</v>
      </c>
      <c r="E832">
        <v>10</v>
      </c>
      <c r="F832">
        <v>15</v>
      </c>
      <c r="G832">
        <v>3.2</v>
      </c>
      <c r="H832" t="s">
        <v>1105</v>
      </c>
      <c r="I832" t="s">
        <v>1304</v>
      </c>
      <c r="J832" t="s">
        <v>1414</v>
      </c>
      <c r="K832" t="s">
        <v>1419</v>
      </c>
    </row>
    <row r="833" spans="1:11" x14ac:dyDescent="0.25">
      <c r="A833" t="s">
        <v>2259</v>
      </c>
      <c r="B833" s="2">
        <v>45593</v>
      </c>
      <c r="C833" t="s">
        <v>466</v>
      </c>
      <c r="D833" t="s">
        <v>1015</v>
      </c>
      <c r="E833">
        <v>7</v>
      </c>
      <c r="F833">
        <v>10</v>
      </c>
      <c r="G833">
        <v>3.47</v>
      </c>
      <c r="H833" t="s">
        <v>1164</v>
      </c>
      <c r="I833" t="s">
        <v>1363</v>
      </c>
      <c r="J833" t="s">
        <v>1414</v>
      </c>
      <c r="K833" t="s">
        <v>1420</v>
      </c>
    </row>
    <row r="834" spans="1:11" x14ac:dyDescent="0.25">
      <c r="A834" t="s">
        <v>2260</v>
      </c>
      <c r="B834" s="2">
        <v>45593</v>
      </c>
      <c r="C834" t="s">
        <v>528</v>
      </c>
      <c r="D834" t="s">
        <v>1012</v>
      </c>
      <c r="E834">
        <v>3</v>
      </c>
      <c r="F834">
        <v>40</v>
      </c>
      <c r="G834">
        <v>8.8800000000000008</v>
      </c>
      <c r="H834" t="s">
        <v>1105</v>
      </c>
      <c r="I834" t="s">
        <v>1304</v>
      </c>
      <c r="J834" t="s">
        <v>1416</v>
      </c>
      <c r="K834" t="s">
        <v>1422</v>
      </c>
    </row>
    <row r="835" spans="1:11" x14ac:dyDescent="0.25">
      <c r="A835" t="s">
        <v>2261</v>
      </c>
      <c r="B835" s="2">
        <v>45593</v>
      </c>
      <c r="C835" t="s">
        <v>790</v>
      </c>
      <c r="D835" t="s">
        <v>1014</v>
      </c>
      <c r="E835">
        <v>10</v>
      </c>
      <c r="F835">
        <v>15</v>
      </c>
      <c r="G835">
        <v>4.0999999999999996</v>
      </c>
      <c r="H835" t="s">
        <v>1175</v>
      </c>
      <c r="I835" t="s">
        <v>1374</v>
      </c>
      <c r="J835" t="s">
        <v>1417</v>
      </c>
      <c r="K835" t="s">
        <v>1418</v>
      </c>
    </row>
    <row r="836" spans="1:11" x14ac:dyDescent="0.25">
      <c r="A836" t="s">
        <v>2262</v>
      </c>
      <c r="B836" s="2">
        <v>45594</v>
      </c>
      <c r="C836" t="s">
        <v>109</v>
      </c>
      <c r="D836" t="s">
        <v>1013</v>
      </c>
      <c r="E836">
        <v>5</v>
      </c>
      <c r="F836">
        <v>25</v>
      </c>
      <c r="G836">
        <v>9.99</v>
      </c>
      <c r="H836" t="s">
        <v>1091</v>
      </c>
      <c r="I836" t="s">
        <v>1290</v>
      </c>
      <c r="J836" t="s">
        <v>1414</v>
      </c>
      <c r="K836" t="s">
        <v>1425</v>
      </c>
    </row>
    <row r="837" spans="1:11" x14ac:dyDescent="0.25">
      <c r="A837" t="s">
        <v>2263</v>
      </c>
      <c r="B837" s="2">
        <v>45594</v>
      </c>
      <c r="C837" t="s">
        <v>127</v>
      </c>
      <c r="D837" t="s">
        <v>1014</v>
      </c>
      <c r="E837">
        <v>7</v>
      </c>
      <c r="F837">
        <v>15</v>
      </c>
      <c r="G837">
        <v>5.7</v>
      </c>
      <c r="H837" t="s">
        <v>1023</v>
      </c>
      <c r="I837" t="s">
        <v>1222</v>
      </c>
      <c r="J837" t="s">
        <v>1415</v>
      </c>
      <c r="K837" t="s">
        <v>1426</v>
      </c>
    </row>
    <row r="838" spans="1:11" x14ac:dyDescent="0.25">
      <c r="A838" t="s">
        <v>2264</v>
      </c>
      <c r="B838" s="2">
        <v>45594</v>
      </c>
      <c r="C838" t="s">
        <v>269</v>
      </c>
      <c r="D838" t="s">
        <v>1011</v>
      </c>
      <c r="E838">
        <v>2</v>
      </c>
      <c r="F838">
        <v>12</v>
      </c>
      <c r="G838">
        <v>3.58</v>
      </c>
      <c r="H838" t="s">
        <v>1116</v>
      </c>
      <c r="I838" t="s">
        <v>1315</v>
      </c>
      <c r="J838" t="s">
        <v>1414</v>
      </c>
      <c r="K838" t="s">
        <v>1418</v>
      </c>
    </row>
    <row r="839" spans="1:11" x14ac:dyDescent="0.25">
      <c r="A839" t="s">
        <v>2265</v>
      </c>
      <c r="B839" s="2">
        <v>45594</v>
      </c>
      <c r="C839" t="s">
        <v>287</v>
      </c>
      <c r="D839" t="s">
        <v>1014</v>
      </c>
      <c r="E839">
        <v>5</v>
      </c>
      <c r="F839">
        <v>15</v>
      </c>
      <c r="G839">
        <v>4.07</v>
      </c>
      <c r="H839" t="s">
        <v>1167</v>
      </c>
      <c r="I839" t="s">
        <v>1366</v>
      </c>
      <c r="J839" t="s">
        <v>1414</v>
      </c>
      <c r="K839" t="s">
        <v>1418</v>
      </c>
    </row>
    <row r="840" spans="1:11" x14ac:dyDescent="0.25">
      <c r="A840" t="s">
        <v>2266</v>
      </c>
      <c r="B840" s="2">
        <v>45594</v>
      </c>
      <c r="C840" t="s">
        <v>969</v>
      </c>
      <c r="D840" t="s">
        <v>1013</v>
      </c>
      <c r="E840">
        <v>10</v>
      </c>
      <c r="F840">
        <v>25</v>
      </c>
      <c r="G840">
        <v>9.42</v>
      </c>
      <c r="H840" t="s">
        <v>1034</v>
      </c>
      <c r="I840" t="s">
        <v>1233</v>
      </c>
      <c r="J840" t="s">
        <v>1414</v>
      </c>
      <c r="K840" t="s">
        <v>1419</v>
      </c>
    </row>
    <row r="841" spans="1:11" x14ac:dyDescent="0.25">
      <c r="A841" t="s">
        <v>2267</v>
      </c>
      <c r="B841" s="2">
        <v>45596</v>
      </c>
      <c r="C841" t="s">
        <v>134</v>
      </c>
      <c r="D841" t="s">
        <v>1012</v>
      </c>
      <c r="E841">
        <v>1</v>
      </c>
      <c r="F841">
        <v>40</v>
      </c>
      <c r="G841">
        <v>13.18</v>
      </c>
      <c r="H841" t="s">
        <v>1111</v>
      </c>
      <c r="I841" t="s">
        <v>1310</v>
      </c>
      <c r="J841" t="s">
        <v>1416</v>
      </c>
      <c r="K841" t="s">
        <v>1423</v>
      </c>
    </row>
    <row r="842" spans="1:11" x14ac:dyDescent="0.25">
      <c r="A842" t="s">
        <v>2268</v>
      </c>
      <c r="B842" s="2">
        <v>45596</v>
      </c>
      <c r="C842" t="s">
        <v>393</v>
      </c>
      <c r="D842" t="s">
        <v>1013</v>
      </c>
      <c r="E842">
        <v>2</v>
      </c>
      <c r="F842">
        <v>25</v>
      </c>
      <c r="G842">
        <v>7.53</v>
      </c>
      <c r="H842" t="s">
        <v>1186</v>
      </c>
      <c r="I842" t="s">
        <v>1385</v>
      </c>
      <c r="J842" t="s">
        <v>1414</v>
      </c>
      <c r="K842" t="s">
        <v>1422</v>
      </c>
    </row>
    <row r="843" spans="1:11" x14ac:dyDescent="0.25">
      <c r="A843" t="s">
        <v>2269</v>
      </c>
      <c r="B843" s="2">
        <v>45596</v>
      </c>
      <c r="C843" t="s">
        <v>404</v>
      </c>
      <c r="D843" t="s">
        <v>1011</v>
      </c>
      <c r="E843">
        <v>7</v>
      </c>
      <c r="F843">
        <v>12</v>
      </c>
      <c r="G843">
        <v>4.74</v>
      </c>
      <c r="H843" t="s">
        <v>1167</v>
      </c>
      <c r="I843" t="s">
        <v>1366</v>
      </c>
      <c r="J843" t="s">
        <v>1415</v>
      </c>
      <c r="K843" t="s">
        <v>1425</v>
      </c>
    </row>
    <row r="844" spans="1:11" x14ac:dyDescent="0.25">
      <c r="A844" t="s">
        <v>2270</v>
      </c>
      <c r="B844" s="2">
        <v>45596</v>
      </c>
      <c r="C844" t="s">
        <v>476</v>
      </c>
      <c r="D844" t="s">
        <v>1011</v>
      </c>
      <c r="E844">
        <v>7</v>
      </c>
      <c r="F844">
        <v>12</v>
      </c>
      <c r="G844">
        <v>3.58</v>
      </c>
      <c r="H844" t="s">
        <v>1067</v>
      </c>
      <c r="I844" t="s">
        <v>1266</v>
      </c>
      <c r="J844" t="s">
        <v>1414</v>
      </c>
      <c r="K844" t="s">
        <v>1427</v>
      </c>
    </row>
    <row r="845" spans="1:11" x14ac:dyDescent="0.25">
      <c r="A845" t="s">
        <v>2271</v>
      </c>
      <c r="B845" s="2">
        <v>45597</v>
      </c>
      <c r="C845" t="s">
        <v>105</v>
      </c>
      <c r="D845" t="s">
        <v>1013</v>
      </c>
      <c r="E845">
        <v>8</v>
      </c>
      <c r="F845">
        <v>25</v>
      </c>
      <c r="G845">
        <v>5.8</v>
      </c>
      <c r="H845" t="s">
        <v>1035</v>
      </c>
      <c r="I845" t="s">
        <v>1234</v>
      </c>
      <c r="J845" t="s">
        <v>1415</v>
      </c>
      <c r="K845" t="s">
        <v>1421</v>
      </c>
    </row>
    <row r="846" spans="1:11" x14ac:dyDescent="0.25">
      <c r="A846" t="s">
        <v>2272</v>
      </c>
      <c r="B846" s="2">
        <v>45597</v>
      </c>
      <c r="C846" t="s">
        <v>699</v>
      </c>
      <c r="D846" t="s">
        <v>1011</v>
      </c>
      <c r="E846">
        <v>2</v>
      </c>
      <c r="F846">
        <v>12</v>
      </c>
      <c r="G846">
        <v>3.34</v>
      </c>
      <c r="H846" t="s">
        <v>1208</v>
      </c>
      <c r="I846" t="s">
        <v>1407</v>
      </c>
      <c r="J846" t="s">
        <v>1414</v>
      </c>
      <c r="K846" t="s">
        <v>1421</v>
      </c>
    </row>
    <row r="847" spans="1:11" x14ac:dyDescent="0.25">
      <c r="A847" t="s">
        <v>2273</v>
      </c>
      <c r="B847" s="2">
        <v>45597</v>
      </c>
      <c r="C847" t="s">
        <v>716</v>
      </c>
      <c r="D847" t="s">
        <v>1013</v>
      </c>
      <c r="E847">
        <v>8</v>
      </c>
      <c r="F847">
        <v>25</v>
      </c>
      <c r="G847">
        <v>9.2899999999999991</v>
      </c>
      <c r="H847" t="s">
        <v>1084</v>
      </c>
      <c r="I847" t="s">
        <v>1283</v>
      </c>
      <c r="J847" t="s">
        <v>1414</v>
      </c>
      <c r="K847" t="s">
        <v>1427</v>
      </c>
    </row>
    <row r="848" spans="1:11" x14ac:dyDescent="0.25">
      <c r="A848" t="s">
        <v>2274</v>
      </c>
      <c r="B848" s="2">
        <v>45598</v>
      </c>
      <c r="C848" t="s">
        <v>99</v>
      </c>
      <c r="D848" t="s">
        <v>1014</v>
      </c>
      <c r="E848">
        <v>8</v>
      </c>
      <c r="F848">
        <v>15</v>
      </c>
      <c r="G848">
        <v>5.94</v>
      </c>
      <c r="H848" t="s">
        <v>1047</v>
      </c>
      <c r="I848" t="s">
        <v>1246</v>
      </c>
      <c r="J848" t="s">
        <v>1414</v>
      </c>
      <c r="K848" t="s">
        <v>1424</v>
      </c>
    </row>
    <row r="849" spans="1:11" x14ac:dyDescent="0.25">
      <c r="A849" t="s">
        <v>2275</v>
      </c>
      <c r="B849" s="2">
        <v>45598</v>
      </c>
      <c r="C849" t="s">
        <v>119</v>
      </c>
      <c r="D849" t="s">
        <v>1015</v>
      </c>
      <c r="E849">
        <v>10</v>
      </c>
      <c r="F849">
        <v>10</v>
      </c>
      <c r="G849">
        <v>3.09</v>
      </c>
      <c r="H849" t="s">
        <v>1099</v>
      </c>
      <c r="I849" t="s">
        <v>1298</v>
      </c>
      <c r="J849" t="s">
        <v>1414</v>
      </c>
      <c r="K849" t="s">
        <v>1425</v>
      </c>
    </row>
    <row r="850" spans="1:11" x14ac:dyDescent="0.25">
      <c r="A850" t="s">
        <v>2276</v>
      </c>
      <c r="B850" s="2">
        <v>45598</v>
      </c>
      <c r="C850" t="s">
        <v>414</v>
      </c>
      <c r="D850" t="s">
        <v>1011</v>
      </c>
      <c r="E850">
        <v>10</v>
      </c>
      <c r="G850">
        <v>3.06</v>
      </c>
      <c r="H850" t="s">
        <v>1087</v>
      </c>
      <c r="I850" t="s">
        <v>1286</v>
      </c>
      <c r="J850" t="s">
        <v>1414</v>
      </c>
      <c r="K850" t="s">
        <v>1419</v>
      </c>
    </row>
    <row r="851" spans="1:11" x14ac:dyDescent="0.25">
      <c r="A851" t="s">
        <v>2277</v>
      </c>
      <c r="B851" s="2">
        <v>45598</v>
      </c>
      <c r="C851" t="s">
        <v>630</v>
      </c>
      <c r="D851" t="s">
        <v>1013</v>
      </c>
      <c r="E851">
        <v>1</v>
      </c>
      <c r="F851">
        <v>25</v>
      </c>
      <c r="G851">
        <v>5.0999999999999996</v>
      </c>
      <c r="H851" t="s">
        <v>1056</v>
      </c>
      <c r="I851" t="s">
        <v>1255</v>
      </c>
      <c r="J851" t="s">
        <v>1414</v>
      </c>
      <c r="K851" t="s">
        <v>1420</v>
      </c>
    </row>
    <row r="852" spans="1:11" x14ac:dyDescent="0.25">
      <c r="A852" t="s">
        <v>2278</v>
      </c>
      <c r="B852" s="2">
        <v>45599</v>
      </c>
      <c r="C852" t="s">
        <v>136</v>
      </c>
      <c r="D852" t="s">
        <v>1013</v>
      </c>
      <c r="E852">
        <v>7</v>
      </c>
      <c r="F852">
        <v>25</v>
      </c>
      <c r="G852">
        <v>8.57</v>
      </c>
      <c r="H852" t="s">
        <v>1093</v>
      </c>
      <c r="I852" t="s">
        <v>1292</v>
      </c>
      <c r="J852" t="s">
        <v>1414</v>
      </c>
      <c r="K852" t="s">
        <v>1420</v>
      </c>
    </row>
    <row r="853" spans="1:11" x14ac:dyDescent="0.25">
      <c r="A853" t="s">
        <v>2279</v>
      </c>
      <c r="B853" s="2">
        <v>45599</v>
      </c>
      <c r="C853" t="s">
        <v>228</v>
      </c>
      <c r="D853" t="s">
        <v>1012</v>
      </c>
      <c r="E853">
        <v>9</v>
      </c>
      <c r="F853">
        <v>40</v>
      </c>
      <c r="G853">
        <v>15.79</v>
      </c>
      <c r="H853" t="s">
        <v>1149</v>
      </c>
      <c r="I853" t="s">
        <v>1348</v>
      </c>
      <c r="J853" t="s">
        <v>1416</v>
      </c>
      <c r="K853" t="s">
        <v>1424</v>
      </c>
    </row>
    <row r="854" spans="1:11" x14ac:dyDescent="0.25">
      <c r="A854" t="s">
        <v>2280</v>
      </c>
      <c r="B854" s="2">
        <v>45599</v>
      </c>
      <c r="C854" t="s">
        <v>237</v>
      </c>
      <c r="D854" t="s">
        <v>1015</v>
      </c>
      <c r="E854">
        <v>5</v>
      </c>
      <c r="F854">
        <v>10</v>
      </c>
      <c r="G854">
        <v>2.91</v>
      </c>
      <c r="H854" t="s">
        <v>1016</v>
      </c>
      <c r="I854" t="s">
        <v>1215</v>
      </c>
      <c r="J854" t="s">
        <v>1417</v>
      </c>
      <c r="K854" t="s">
        <v>1423</v>
      </c>
    </row>
    <row r="855" spans="1:11" x14ac:dyDescent="0.25">
      <c r="A855" t="s">
        <v>2281</v>
      </c>
      <c r="B855" s="2">
        <v>45600</v>
      </c>
      <c r="C855" t="s">
        <v>83</v>
      </c>
      <c r="D855" t="s">
        <v>1015</v>
      </c>
      <c r="E855">
        <v>4</v>
      </c>
      <c r="F855">
        <v>10</v>
      </c>
      <c r="G855">
        <v>2.2200000000000002</v>
      </c>
      <c r="H855" t="s">
        <v>1024</v>
      </c>
      <c r="I855" t="s">
        <v>1223</v>
      </c>
      <c r="J855" t="s">
        <v>1417</v>
      </c>
      <c r="K855" t="s">
        <v>1418</v>
      </c>
    </row>
    <row r="856" spans="1:11" x14ac:dyDescent="0.25">
      <c r="A856" t="s">
        <v>2282</v>
      </c>
      <c r="B856" s="2">
        <v>45600</v>
      </c>
      <c r="C856" t="s">
        <v>741</v>
      </c>
      <c r="D856" t="s">
        <v>1013</v>
      </c>
      <c r="E856">
        <v>1</v>
      </c>
      <c r="F856">
        <v>25</v>
      </c>
      <c r="G856">
        <v>8.4499999999999993</v>
      </c>
      <c r="H856" t="s">
        <v>1106</v>
      </c>
      <c r="I856" t="s">
        <v>1305</v>
      </c>
      <c r="J856" t="s">
        <v>1415</v>
      </c>
      <c r="K856" t="s">
        <v>1421</v>
      </c>
    </row>
    <row r="857" spans="1:11" x14ac:dyDescent="0.25">
      <c r="A857" t="s">
        <v>2283</v>
      </c>
      <c r="B857" s="2">
        <v>45601</v>
      </c>
      <c r="C857" t="s">
        <v>47</v>
      </c>
      <c r="D857" t="s">
        <v>1014</v>
      </c>
      <c r="E857">
        <v>3</v>
      </c>
      <c r="F857">
        <v>15</v>
      </c>
      <c r="G857">
        <v>3.12</v>
      </c>
      <c r="H857" t="s">
        <v>1046</v>
      </c>
      <c r="I857" t="s">
        <v>1245</v>
      </c>
      <c r="J857" t="s">
        <v>1416</v>
      </c>
      <c r="K857" t="s">
        <v>1424</v>
      </c>
    </row>
    <row r="858" spans="1:11" x14ac:dyDescent="0.25">
      <c r="A858" t="s">
        <v>2284</v>
      </c>
      <c r="B858" s="2">
        <v>45601</v>
      </c>
      <c r="C858" t="s">
        <v>353</v>
      </c>
      <c r="D858" t="s">
        <v>1013</v>
      </c>
      <c r="E858">
        <v>7</v>
      </c>
      <c r="F858">
        <v>25</v>
      </c>
      <c r="G858">
        <v>7.96</v>
      </c>
      <c r="H858" t="s">
        <v>1022</v>
      </c>
      <c r="I858" t="s">
        <v>1221</v>
      </c>
      <c r="J858" t="s">
        <v>1414</v>
      </c>
      <c r="K858" t="s">
        <v>1425</v>
      </c>
    </row>
    <row r="859" spans="1:11" x14ac:dyDescent="0.25">
      <c r="A859" t="s">
        <v>2285</v>
      </c>
      <c r="B859" s="2">
        <v>45602</v>
      </c>
      <c r="C859" t="s">
        <v>713</v>
      </c>
      <c r="D859" t="s">
        <v>1015</v>
      </c>
      <c r="E859">
        <v>10</v>
      </c>
      <c r="F859">
        <v>10</v>
      </c>
      <c r="G859">
        <v>3.97</v>
      </c>
      <c r="H859" t="s">
        <v>1206</v>
      </c>
      <c r="I859" t="s">
        <v>1405</v>
      </c>
      <c r="J859" t="s">
        <v>1414</v>
      </c>
      <c r="K859" t="s">
        <v>1424</v>
      </c>
    </row>
    <row r="860" spans="1:11" x14ac:dyDescent="0.25">
      <c r="A860" t="s">
        <v>2286</v>
      </c>
      <c r="B860" s="2">
        <v>45602</v>
      </c>
      <c r="C860" t="s">
        <v>781</v>
      </c>
      <c r="D860" t="s">
        <v>1015</v>
      </c>
      <c r="E860">
        <v>7</v>
      </c>
      <c r="F860">
        <v>10</v>
      </c>
      <c r="G860">
        <v>3.07</v>
      </c>
      <c r="H860" t="s">
        <v>1132</v>
      </c>
      <c r="I860" t="s">
        <v>1331</v>
      </c>
      <c r="J860" t="s">
        <v>1414</v>
      </c>
      <c r="K860" t="s">
        <v>1420</v>
      </c>
    </row>
    <row r="861" spans="1:11" x14ac:dyDescent="0.25">
      <c r="A861" t="s">
        <v>2287</v>
      </c>
      <c r="B861" s="2">
        <v>45603</v>
      </c>
      <c r="C861" t="s">
        <v>735</v>
      </c>
      <c r="D861" t="s">
        <v>1014</v>
      </c>
      <c r="E861">
        <v>2</v>
      </c>
      <c r="F861">
        <v>15</v>
      </c>
      <c r="G861">
        <v>5.34</v>
      </c>
      <c r="H861" t="s">
        <v>1126</v>
      </c>
      <c r="I861" t="s">
        <v>1325</v>
      </c>
      <c r="J861" t="s">
        <v>1414</v>
      </c>
      <c r="K861" t="s">
        <v>1420</v>
      </c>
    </row>
    <row r="862" spans="1:11" x14ac:dyDescent="0.25">
      <c r="A862" t="s">
        <v>2288</v>
      </c>
      <c r="B862" s="2">
        <v>45604</v>
      </c>
      <c r="C862" t="s">
        <v>189</v>
      </c>
      <c r="D862" t="s">
        <v>1014</v>
      </c>
      <c r="E862">
        <v>6</v>
      </c>
      <c r="F862">
        <v>15</v>
      </c>
      <c r="G862">
        <v>5.79</v>
      </c>
      <c r="H862" t="s">
        <v>1025</v>
      </c>
      <c r="I862" t="s">
        <v>1224</v>
      </c>
      <c r="J862" t="s">
        <v>1417</v>
      </c>
      <c r="K862" t="s">
        <v>1423</v>
      </c>
    </row>
    <row r="863" spans="1:11" x14ac:dyDescent="0.25">
      <c r="A863" t="s">
        <v>2289</v>
      </c>
      <c r="B863" s="2">
        <v>45604</v>
      </c>
      <c r="C863" t="s">
        <v>628</v>
      </c>
      <c r="D863" t="s">
        <v>1015</v>
      </c>
      <c r="E863">
        <v>5</v>
      </c>
      <c r="F863">
        <v>10</v>
      </c>
      <c r="G863">
        <v>3.82</v>
      </c>
      <c r="H863" t="s">
        <v>1066</v>
      </c>
      <c r="I863" t="s">
        <v>1265</v>
      </c>
      <c r="J863" t="s">
        <v>1414</v>
      </c>
      <c r="K863" t="s">
        <v>1419</v>
      </c>
    </row>
    <row r="864" spans="1:11" x14ac:dyDescent="0.25">
      <c r="A864" t="s">
        <v>2290</v>
      </c>
      <c r="B864" s="2">
        <v>45604</v>
      </c>
      <c r="C864" t="s">
        <v>833</v>
      </c>
      <c r="D864" t="s">
        <v>1015</v>
      </c>
      <c r="E864">
        <v>1</v>
      </c>
      <c r="F864">
        <v>10</v>
      </c>
      <c r="G864">
        <v>2</v>
      </c>
      <c r="H864" t="s">
        <v>1113</v>
      </c>
      <c r="I864" t="s">
        <v>1312</v>
      </c>
      <c r="J864" t="s">
        <v>1417</v>
      </c>
      <c r="K864" t="s">
        <v>1421</v>
      </c>
    </row>
    <row r="865" spans="1:11" x14ac:dyDescent="0.25">
      <c r="A865" t="s">
        <v>2291</v>
      </c>
      <c r="B865" s="2">
        <v>45605</v>
      </c>
      <c r="C865" t="s">
        <v>547</v>
      </c>
      <c r="D865" t="s">
        <v>1015</v>
      </c>
      <c r="E865">
        <v>3</v>
      </c>
      <c r="F865">
        <v>10</v>
      </c>
      <c r="G865">
        <v>2.39</v>
      </c>
      <c r="H865" t="s">
        <v>1028</v>
      </c>
      <c r="I865" t="s">
        <v>1227</v>
      </c>
      <c r="J865" t="s">
        <v>1416</v>
      </c>
      <c r="K865" t="s">
        <v>1423</v>
      </c>
    </row>
    <row r="866" spans="1:11" x14ac:dyDescent="0.25">
      <c r="A866" t="s">
        <v>2292</v>
      </c>
      <c r="B866" s="2">
        <v>45605</v>
      </c>
      <c r="C866" t="s">
        <v>682</v>
      </c>
      <c r="D866" t="s">
        <v>1015</v>
      </c>
      <c r="E866">
        <v>5</v>
      </c>
      <c r="F866">
        <v>10</v>
      </c>
      <c r="G866">
        <v>2.48</v>
      </c>
      <c r="H866" t="s">
        <v>1187</v>
      </c>
      <c r="I866" t="s">
        <v>1386</v>
      </c>
      <c r="J866" t="s">
        <v>1415</v>
      </c>
      <c r="K866" t="s">
        <v>1421</v>
      </c>
    </row>
    <row r="867" spans="1:11" x14ac:dyDescent="0.25">
      <c r="A867" t="s">
        <v>2293</v>
      </c>
      <c r="B867" s="2">
        <v>45606</v>
      </c>
      <c r="C867" t="s">
        <v>142</v>
      </c>
      <c r="D867" t="s">
        <v>1013</v>
      </c>
      <c r="E867">
        <v>4</v>
      </c>
      <c r="F867">
        <v>25</v>
      </c>
      <c r="G867">
        <v>6.48</v>
      </c>
      <c r="H867" t="s">
        <v>1116</v>
      </c>
      <c r="I867" t="s">
        <v>1315</v>
      </c>
      <c r="J867" t="s">
        <v>1414</v>
      </c>
      <c r="K867" t="s">
        <v>1427</v>
      </c>
    </row>
    <row r="868" spans="1:11" x14ac:dyDescent="0.25">
      <c r="A868" t="s">
        <v>2294</v>
      </c>
      <c r="B868" s="2">
        <v>45606</v>
      </c>
      <c r="C868" t="s">
        <v>331</v>
      </c>
      <c r="D868" t="s">
        <v>1011</v>
      </c>
      <c r="E868">
        <v>8</v>
      </c>
      <c r="F868">
        <v>12</v>
      </c>
      <c r="G868">
        <v>3.72</v>
      </c>
      <c r="H868" t="s">
        <v>1089</v>
      </c>
      <c r="I868" t="s">
        <v>1288</v>
      </c>
      <c r="J868" t="s">
        <v>1416</v>
      </c>
      <c r="K868" t="s">
        <v>1424</v>
      </c>
    </row>
    <row r="869" spans="1:11" x14ac:dyDescent="0.25">
      <c r="A869" t="s">
        <v>2295</v>
      </c>
      <c r="B869" s="2">
        <v>45606</v>
      </c>
      <c r="C869" t="s">
        <v>378</v>
      </c>
      <c r="D869" t="s">
        <v>1011</v>
      </c>
      <c r="E869">
        <v>8</v>
      </c>
      <c r="F869">
        <v>12</v>
      </c>
      <c r="G869">
        <v>3.33</v>
      </c>
      <c r="H869" t="s">
        <v>1182</v>
      </c>
      <c r="I869" t="s">
        <v>1381</v>
      </c>
      <c r="J869" t="s">
        <v>1414</v>
      </c>
      <c r="K869" t="s">
        <v>1418</v>
      </c>
    </row>
    <row r="870" spans="1:11" x14ac:dyDescent="0.25">
      <c r="A870" t="s">
        <v>2296</v>
      </c>
      <c r="B870" s="2">
        <v>45606</v>
      </c>
      <c r="C870" t="s">
        <v>711</v>
      </c>
      <c r="D870" t="s">
        <v>1015</v>
      </c>
      <c r="E870">
        <v>4</v>
      </c>
      <c r="F870">
        <v>10</v>
      </c>
      <c r="G870">
        <v>2.23</v>
      </c>
      <c r="H870" t="s">
        <v>1018</v>
      </c>
      <c r="I870" t="s">
        <v>1217</v>
      </c>
      <c r="J870" t="s">
        <v>1414</v>
      </c>
      <c r="K870" t="s">
        <v>1426</v>
      </c>
    </row>
    <row r="871" spans="1:11" x14ac:dyDescent="0.25">
      <c r="A871" t="s">
        <v>2297</v>
      </c>
      <c r="B871" s="2">
        <v>45607</v>
      </c>
      <c r="C871" t="s">
        <v>279</v>
      </c>
      <c r="D871" t="s">
        <v>1012</v>
      </c>
      <c r="E871">
        <v>4</v>
      </c>
      <c r="F871">
        <v>40</v>
      </c>
      <c r="G871">
        <v>13.67</v>
      </c>
      <c r="H871" t="s">
        <v>1164</v>
      </c>
      <c r="I871" t="s">
        <v>1363</v>
      </c>
      <c r="J871" t="s">
        <v>1414</v>
      </c>
      <c r="K871" t="s">
        <v>1423</v>
      </c>
    </row>
    <row r="872" spans="1:11" x14ac:dyDescent="0.25">
      <c r="A872" t="s">
        <v>2298</v>
      </c>
      <c r="B872" s="2">
        <v>45607</v>
      </c>
      <c r="C872" t="s">
        <v>754</v>
      </c>
      <c r="D872" t="s">
        <v>1012</v>
      </c>
      <c r="E872">
        <v>10</v>
      </c>
      <c r="F872">
        <v>40</v>
      </c>
      <c r="G872">
        <v>8.85</v>
      </c>
      <c r="H872" t="s">
        <v>1121</v>
      </c>
      <c r="I872" t="s">
        <v>1320</v>
      </c>
      <c r="J872" t="s">
        <v>1414</v>
      </c>
      <c r="K872" t="s">
        <v>1422</v>
      </c>
    </row>
    <row r="873" spans="1:11" x14ac:dyDescent="0.25">
      <c r="A873" t="s">
        <v>2299</v>
      </c>
      <c r="B873" s="2">
        <v>45607</v>
      </c>
      <c r="C873" t="s">
        <v>793</v>
      </c>
      <c r="D873" t="s">
        <v>1011</v>
      </c>
      <c r="E873">
        <v>9</v>
      </c>
      <c r="F873">
        <v>12</v>
      </c>
      <c r="G873">
        <v>2.5499999999999998</v>
      </c>
      <c r="H873" t="s">
        <v>1033</v>
      </c>
      <c r="I873" t="s">
        <v>1232</v>
      </c>
      <c r="J873" t="s">
        <v>1414</v>
      </c>
      <c r="K873" t="s">
        <v>1419</v>
      </c>
    </row>
    <row r="874" spans="1:11" x14ac:dyDescent="0.25">
      <c r="A874" t="s">
        <v>2300</v>
      </c>
      <c r="B874" s="2">
        <v>45607</v>
      </c>
      <c r="C874" t="s">
        <v>803</v>
      </c>
      <c r="D874" t="s">
        <v>1014</v>
      </c>
      <c r="E874">
        <v>4</v>
      </c>
      <c r="F874">
        <v>15</v>
      </c>
      <c r="G874">
        <v>5.0199999999999996</v>
      </c>
      <c r="H874" t="s">
        <v>1085</v>
      </c>
      <c r="I874" t="s">
        <v>1284</v>
      </c>
      <c r="J874" t="s">
        <v>1414</v>
      </c>
      <c r="K874" t="s">
        <v>1420</v>
      </c>
    </row>
    <row r="875" spans="1:11" x14ac:dyDescent="0.25">
      <c r="A875" t="s">
        <v>2301</v>
      </c>
      <c r="B875" s="2">
        <v>45607</v>
      </c>
      <c r="C875" t="s">
        <v>848</v>
      </c>
      <c r="D875" t="s">
        <v>1014</v>
      </c>
      <c r="E875">
        <v>1</v>
      </c>
      <c r="F875">
        <v>15</v>
      </c>
      <c r="G875">
        <v>5.27</v>
      </c>
      <c r="H875" t="s">
        <v>1203</v>
      </c>
      <c r="I875" t="s">
        <v>1402</v>
      </c>
      <c r="J875" t="s">
        <v>1414</v>
      </c>
      <c r="K875" t="s">
        <v>1420</v>
      </c>
    </row>
    <row r="876" spans="1:11" x14ac:dyDescent="0.25">
      <c r="A876" t="s">
        <v>2302</v>
      </c>
      <c r="B876" s="2">
        <v>45607</v>
      </c>
      <c r="C876" t="s">
        <v>978</v>
      </c>
      <c r="D876" t="s">
        <v>1014</v>
      </c>
      <c r="E876">
        <v>8</v>
      </c>
      <c r="F876">
        <v>15</v>
      </c>
      <c r="G876">
        <v>3.79</v>
      </c>
      <c r="H876" t="s">
        <v>1061</v>
      </c>
      <c r="I876" t="s">
        <v>1260</v>
      </c>
      <c r="J876" t="s">
        <v>1414</v>
      </c>
      <c r="K876" t="s">
        <v>1422</v>
      </c>
    </row>
    <row r="877" spans="1:11" x14ac:dyDescent="0.25">
      <c r="A877" t="s">
        <v>2303</v>
      </c>
      <c r="B877" s="2">
        <v>45608</v>
      </c>
      <c r="C877" t="s">
        <v>559</v>
      </c>
      <c r="D877" t="s">
        <v>1015</v>
      </c>
      <c r="E877">
        <v>8</v>
      </c>
      <c r="F877">
        <v>10</v>
      </c>
      <c r="G877">
        <v>2.94</v>
      </c>
      <c r="H877" t="s">
        <v>1100</v>
      </c>
      <c r="I877" t="s">
        <v>1299</v>
      </c>
      <c r="J877" t="s">
        <v>1414</v>
      </c>
      <c r="K877" t="s">
        <v>1419</v>
      </c>
    </row>
    <row r="878" spans="1:11" x14ac:dyDescent="0.25">
      <c r="A878" t="s">
        <v>2304</v>
      </c>
      <c r="B878" s="2">
        <v>45608</v>
      </c>
      <c r="C878" t="s">
        <v>961</v>
      </c>
      <c r="D878" t="s">
        <v>1013</v>
      </c>
      <c r="E878">
        <v>10</v>
      </c>
      <c r="F878">
        <v>25</v>
      </c>
      <c r="G878">
        <v>6.9</v>
      </c>
      <c r="H878" t="s">
        <v>1150</v>
      </c>
      <c r="I878" t="s">
        <v>1349</v>
      </c>
      <c r="J878" t="s">
        <v>1416</v>
      </c>
      <c r="K878" t="s">
        <v>1426</v>
      </c>
    </row>
    <row r="879" spans="1:11" x14ac:dyDescent="0.25">
      <c r="A879" t="s">
        <v>2305</v>
      </c>
      <c r="B879" s="2">
        <v>45609</v>
      </c>
      <c r="C879" t="s">
        <v>449</v>
      </c>
      <c r="D879" t="s">
        <v>1012</v>
      </c>
      <c r="E879">
        <v>9</v>
      </c>
      <c r="F879">
        <v>40</v>
      </c>
      <c r="G879">
        <v>14.51</v>
      </c>
      <c r="H879" t="s">
        <v>1093</v>
      </c>
      <c r="I879" t="s">
        <v>1292</v>
      </c>
      <c r="J879" t="s">
        <v>1414</v>
      </c>
      <c r="K879" t="s">
        <v>1423</v>
      </c>
    </row>
    <row r="880" spans="1:11" x14ac:dyDescent="0.25">
      <c r="A880" t="s">
        <v>2306</v>
      </c>
      <c r="B880" s="2">
        <v>45609</v>
      </c>
      <c r="C880" t="s">
        <v>597</v>
      </c>
      <c r="D880" t="s">
        <v>1014</v>
      </c>
      <c r="E880">
        <v>9</v>
      </c>
      <c r="F880">
        <v>15</v>
      </c>
      <c r="G880">
        <v>4.51</v>
      </c>
      <c r="H880" t="s">
        <v>1095</v>
      </c>
      <c r="I880" t="s">
        <v>1294</v>
      </c>
      <c r="J880" t="s">
        <v>1415</v>
      </c>
      <c r="K880" t="s">
        <v>1425</v>
      </c>
    </row>
    <row r="881" spans="1:11" x14ac:dyDescent="0.25">
      <c r="A881" t="s">
        <v>2307</v>
      </c>
      <c r="B881" s="2">
        <v>45609</v>
      </c>
      <c r="C881" t="s">
        <v>638</v>
      </c>
      <c r="D881" t="s">
        <v>1012</v>
      </c>
      <c r="E881">
        <v>8</v>
      </c>
      <c r="F881">
        <v>40</v>
      </c>
      <c r="G881">
        <v>14.12</v>
      </c>
      <c r="H881" t="s">
        <v>1061</v>
      </c>
      <c r="I881" t="s">
        <v>1260</v>
      </c>
      <c r="J881" t="s">
        <v>1414</v>
      </c>
      <c r="K881" t="s">
        <v>1425</v>
      </c>
    </row>
    <row r="882" spans="1:11" x14ac:dyDescent="0.25">
      <c r="A882" t="s">
        <v>2308</v>
      </c>
      <c r="B882" s="2">
        <v>45609</v>
      </c>
      <c r="C882" t="s">
        <v>990</v>
      </c>
      <c r="D882" t="s">
        <v>1012</v>
      </c>
      <c r="E882">
        <v>1</v>
      </c>
      <c r="F882">
        <v>40</v>
      </c>
      <c r="G882">
        <v>9.23</v>
      </c>
      <c r="H882" t="s">
        <v>1064</v>
      </c>
      <c r="I882" t="s">
        <v>1263</v>
      </c>
      <c r="J882" t="s">
        <v>1416</v>
      </c>
      <c r="K882" t="s">
        <v>1418</v>
      </c>
    </row>
    <row r="883" spans="1:11" x14ac:dyDescent="0.25">
      <c r="A883" t="s">
        <v>2309</v>
      </c>
      <c r="B883" s="2">
        <v>45610</v>
      </c>
      <c r="C883" t="s">
        <v>640</v>
      </c>
      <c r="D883" t="s">
        <v>1011</v>
      </c>
      <c r="E883">
        <v>3</v>
      </c>
      <c r="F883">
        <v>12</v>
      </c>
      <c r="G883">
        <v>3.16</v>
      </c>
      <c r="H883" t="s">
        <v>1107</v>
      </c>
      <c r="I883" t="s">
        <v>1306</v>
      </c>
      <c r="J883" t="s">
        <v>1414</v>
      </c>
      <c r="K883" t="s">
        <v>1427</v>
      </c>
    </row>
    <row r="884" spans="1:11" x14ac:dyDescent="0.25">
      <c r="A884" t="s">
        <v>2310</v>
      </c>
      <c r="B884" s="2">
        <v>45610</v>
      </c>
      <c r="C884" t="s">
        <v>850</v>
      </c>
      <c r="D884" t="s">
        <v>1013</v>
      </c>
      <c r="E884">
        <v>8</v>
      </c>
      <c r="F884">
        <v>25</v>
      </c>
      <c r="G884">
        <v>9.1199999999999992</v>
      </c>
      <c r="H884" t="s">
        <v>1157</v>
      </c>
      <c r="I884" t="s">
        <v>1356</v>
      </c>
      <c r="J884" t="s">
        <v>1414</v>
      </c>
      <c r="K884" t="s">
        <v>1423</v>
      </c>
    </row>
    <row r="885" spans="1:11" x14ac:dyDescent="0.25">
      <c r="A885" t="s">
        <v>2311</v>
      </c>
      <c r="B885" s="2">
        <v>45611</v>
      </c>
      <c r="C885" t="s">
        <v>872</v>
      </c>
      <c r="D885" t="s">
        <v>1012</v>
      </c>
      <c r="E885">
        <v>6</v>
      </c>
      <c r="F885">
        <v>40</v>
      </c>
      <c r="G885">
        <v>13.56</v>
      </c>
      <c r="H885" t="s">
        <v>1194</v>
      </c>
      <c r="I885" t="s">
        <v>1393</v>
      </c>
      <c r="J885" t="s">
        <v>1414</v>
      </c>
      <c r="K885" t="s">
        <v>1424</v>
      </c>
    </row>
    <row r="886" spans="1:11" x14ac:dyDescent="0.25">
      <c r="A886" t="s">
        <v>2312</v>
      </c>
      <c r="B886" s="2">
        <v>45612</v>
      </c>
      <c r="C886" t="s">
        <v>435</v>
      </c>
      <c r="D886" t="s">
        <v>1012</v>
      </c>
      <c r="E886">
        <v>6</v>
      </c>
      <c r="F886">
        <v>40</v>
      </c>
      <c r="G886">
        <v>9.3699999999999992</v>
      </c>
      <c r="H886" t="s">
        <v>1045</v>
      </c>
      <c r="I886" t="s">
        <v>1244</v>
      </c>
      <c r="J886" t="s">
        <v>1414</v>
      </c>
      <c r="K886" t="s">
        <v>1422</v>
      </c>
    </row>
    <row r="887" spans="1:11" x14ac:dyDescent="0.25">
      <c r="A887" t="s">
        <v>2313</v>
      </c>
      <c r="B887" s="2">
        <v>45612</v>
      </c>
      <c r="C887" t="s">
        <v>951</v>
      </c>
      <c r="D887" t="s">
        <v>1013</v>
      </c>
      <c r="E887">
        <v>4</v>
      </c>
      <c r="F887">
        <v>25</v>
      </c>
      <c r="G887">
        <v>7.64</v>
      </c>
      <c r="H887" t="s">
        <v>1078</v>
      </c>
      <c r="I887" t="s">
        <v>1277</v>
      </c>
      <c r="J887" t="s">
        <v>1417</v>
      </c>
      <c r="K887" t="s">
        <v>1424</v>
      </c>
    </row>
    <row r="888" spans="1:11" x14ac:dyDescent="0.25">
      <c r="A888" t="s">
        <v>2314</v>
      </c>
      <c r="B888" s="2">
        <v>45613</v>
      </c>
      <c r="C888" t="s">
        <v>125</v>
      </c>
      <c r="D888" t="s">
        <v>1013</v>
      </c>
      <c r="E888">
        <v>9</v>
      </c>
      <c r="F888">
        <v>25</v>
      </c>
      <c r="G888">
        <v>6.72</v>
      </c>
      <c r="H888" t="s">
        <v>1070</v>
      </c>
      <c r="I888" t="s">
        <v>1269</v>
      </c>
      <c r="J888" t="s">
        <v>1414</v>
      </c>
      <c r="K888" t="s">
        <v>1427</v>
      </c>
    </row>
    <row r="889" spans="1:11" x14ac:dyDescent="0.25">
      <c r="A889" t="s">
        <v>2315</v>
      </c>
      <c r="B889" s="2">
        <v>45613</v>
      </c>
      <c r="C889" t="s">
        <v>774</v>
      </c>
      <c r="D889" t="s">
        <v>1011</v>
      </c>
      <c r="E889">
        <v>6</v>
      </c>
      <c r="F889">
        <v>12</v>
      </c>
      <c r="G889">
        <v>4.53</v>
      </c>
      <c r="H889" t="s">
        <v>1087</v>
      </c>
      <c r="I889" t="s">
        <v>1286</v>
      </c>
      <c r="J889" t="s">
        <v>1414</v>
      </c>
      <c r="K889" t="s">
        <v>1424</v>
      </c>
    </row>
    <row r="890" spans="1:11" x14ac:dyDescent="0.25">
      <c r="A890" t="s">
        <v>2316</v>
      </c>
      <c r="B890" s="2">
        <v>45613</v>
      </c>
      <c r="C890" t="s">
        <v>854</v>
      </c>
      <c r="D890" t="s">
        <v>1013</v>
      </c>
      <c r="E890">
        <v>2</v>
      </c>
      <c r="F890">
        <v>25</v>
      </c>
      <c r="G890">
        <v>8.14</v>
      </c>
      <c r="H890" t="s">
        <v>1120</v>
      </c>
      <c r="I890" t="s">
        <v>1319</v>
      </c>
      <c r="J890" t="s">
        <v>1416</v>
      </c>
      <c r="K890" t="s">
        <v>1427</v>
      </c>
    </row>
    <row r="891" spans="1:11" x14ac:dyDescent="0.25">
      <c r="A891" t="s">
        <v>2317</v>
      </c>
      <c r="B891" s="2">
        <v>45614</v>
      </c>
      <c r="C891" t="s">
        <v>427</v>
      </c>
      <c r="D891" t="s">
        <v>1014</v>
      </c>
      <c r="E891">
        <v>2</v>
      </c>
      <c r="F891">
        <v>15</v>
      </c>
      <c r="G891">
        <v>5.3</v>
      </c>
      <c r="H891" t="s">
        <v>1190</v>
      </c>
      <c r="I891" t="s">
        <v>1389</v>
      </c>
      <c r="J891" t="s">
        <v>1414</v>
      </c>
      <c r="K891" t="s">
        <v>1421</v>
      </c>
    </row>
    <row r="892" spans="1:11" x14ac:dyDescent="0.25">
      <c r="A892" t="s">
        <v>2318</v>
      </c>
      <c r="B892" s="2">
        <v>45614</v>
      </c>
      <c r="C892" t="s">
        <v>434</v>
      </c>
      <c r="D892" t="s">
        <v>1011</v>
      </c>
      <c r="E892">
        <v>10</v>
      </c>
      <c r="F892">
        <v>12</v>
      </c>
      <c r="G892">
        <v>2.4500000000000002</v>
      </c>
      <c r="H892" t="s">
        <v>1191</v>
      </c>
      <c r="I892" t="s">
        <v>1390</v>
      </c>
      <c r="J892" t="s">
        <v>1414</v>
      </c>
      <c r="K892" t="s">
        <v>1426</v>
      </c>
    </row>
    <row r="893" spans="1:11" x14ac:dyDescent="0.25">
      <c r="A893" t="s">
        <v>2319</v>
      </c>
      <c r="B893" s="2">
        <v>45614</v>
      </c>
      <c r="C893" t="s">
        <v>471</v>
      </c>
      <c r="D893" t="s">
        <v>1012</v>
      </c>
      <c r="E893">
        <v>1</v>
      </c>
      <c r="F893">
        <v>40</v>
      </c>
      <c r="G893">
        <v>8.51</v>
      </c>
      <c r="H893" t="s">
        <v>1127</v>
      </c>
      <c r="I893" t="s">
        <v>1326</v>
      </c>
      <c r="J893" t="s">
        <v>1415</v>
      </c>
      <c r="K893" t="s">
        <v>1423</v>
      </c>
    </row>
    <row r="894" spans="1:11" x14ac:dyDescent="0.25">
      <c r="A894" t="s">
        <v>2320</v>
      </c>
      <c r="B894" s="2">
        <v>45614</v>
      </c>
      <c r="C894" t="s">
        <v>566</v>
      </c>
      <c r="D894" t="s">
        <v>1013</v>
      </c>
      <c r="E894">
        <v>3</v>
      </c>
      <c r="F894">
        <v>25</v>
      </c>
      <c r="G894">
        <v>5.0999999999999996</v>
      </c>
      <c r="H894" t="s">
        <v>1066</v>
      </c>
      <c r="I894" t="s">
        <v>1265</v>
      </c>
      <c r="J894" t="s">
        <v>1416</v>
      </c>
      <c r="K894" t="s">
        <v>1420</v>
      </c>
    </row>
    <row r="895" spans="1:11" x14ac:dyDescent="0.25">
      <c r="A895" t="s">
        <v>2321</v>
      </c>
      <c r="B895" s="2">
        <v>45614</v>
      </c>
      <c r="C895" t="s">
        <v>762</v>
      </c>
      <c r="D895" t="s">
        <v>1015</v>
      </c>
      <c r="E895">
        <v>9</v>
      </c>
      <c r="F895">
        <v>10</v>
      </c>
      <c r="G895">
        <v>2.68</v>
      </c>
      <c r="H895" t="s">
        <v>1185</v>
      </c>
      <c r="I895" t="s">
        <v>1384</v>
      </c>
      <c r="J895" t="s">
        <v>1415</v>
      </c>
      <c r="K895" t="s">
        <v>1420</v>
      </c>
    </row>
    <row r="896" spans="1:11" x14ac:dyDescent="0.25">
      <c r="A896" t="s">
        <v>2322</v>
      </c>
      <c r="B896" s="2">
        <v>45614</v>
      </c>
      <c r="C896" t="s">
        <v>826</v>
      </c>
      <c r="D896" t="s">
        <v>1015</v>
      </c>
      <c r="E896">
        <v>10</v>
      </c>
      <c r="F896">
        <v>10</v>
      </c>
      <c r="G896">
        <v>3.4</v>
      </c>
      <c r="H896" t="s">
        <v>1137</v>
      </c>
      <c r="I896" t="s">
        <v>1336</v>
      </c>
      <c r="J896" t="s">
        <v>1416</v>
      </c>
      <c r="K896" t="s">
        <v>1422</v>
      </c>
    </row>
    <row r="897" spans="1:11" x14ac:dyDescent="0.25">
      <c r="A897" t="s">
        <v>2323</v>
      </c>
      <c r="B897" s="2">
        <v>45615</v>
      </c>
      <c r="C897" t="s">
        <v>403</v>
      </c>
      <c r="D897" t="s">
        <v>1015</v>
      </c>
      <c r="E897">
        <v>1</v>
      </c>
      <c r="F897">
        <v>10</v>
      </c>
      <c r="G897">
        <v>3.72</v>
      </c>
      <c r="H897" t="s">
        <v>1172</v>
      </c>
      <c r="I897" t="s">
        <v>1371</v>
      </c>
      <c r="J897" t="s">
        <v>1416</v>
      </c>
      <c r="K897" t="s">
        <v>1423</v>
      </c>
    </row>
    <row r="898" spans="1:11" x14ac:dyDescent="0.25">
      <c r="A898" t="s">
        <v>2324</v>
      </c>
      <c r="B898" s="2">
        <v>45616</v>
      </c>
      <c r="C898" t="s">
        <v>158</v>
      </c>
      <c r="D898" t="s">
        <v>1013</v>
      </c>
      <c r="E898">
        <v>10</v>
      </c>
      <c r="F898">
        <v>25</v>
      </c>
      <c r="G898">
        <v>9.86</v>
      </c>
      <c r="H898" t="s">
        <v>1073</v>
      </c>
      <c r="I898" t="s">
        <v>1272</v>
      </c>
      <c r="J898" t="s">
        <v>1415</v>
      </c>
      <c r="K898" t="s">
        <v>1426</v>
      </c>
    </row>
    <row r="899" spans="1:11" x14ac:dyDescent="0.25">
      <c r="A899" t="s">
        <v>2325</v>
      </c>
      <c r="B899" s="2">
        <v>45617</v>
      </c>
      <c r="C899" t="s">
        <v>372</v>
      </c>
      <c r="D899" t="s">
        <v>1011</v>
      </c>
      <c r="E899">
        <v>2</v>
      </c>
      <c r="F899">
        <v>12</v>
      </c>
      <c r="G899">
        <v>4.3899999999999997</v>
      </c>
      <c r="H899" t="s">
        <v>1043</v>
      </c>
      <c r="I899" t="s">
        <v>1242</v>
      </c>
      <c r="J899" t="s">
        <v>1414</v>
      </c>
      <c r="K899" t="s">
        <v>1426</v>
      </c>
    </row>
    <row r="900" spans="1:11" x14ac:dyDescent="0.25">
      <c r="A900" t="s">
        <v>2326</v>
      </c>
      <c r="B900" s="2">
        <v>45618</v>
      </c>
      <c r="C900" t="s">
        <v>341</v>
      </c>
      <c r="D900" t="s">
        <v>1014</v>
      </c>
      <c r="E900">
        <v>1</v>
      </c>
      <c r="F900">
        <v>15</v>
      </c>
      <c r="G900">
        <v>3.55</v>
      </c>
      <c r="H900" t="s">
        <v>1100</v>
      </c>
      <c r="I900" t="s">
        <v>1299</v>
      </c>
      <c r="J900" t="s">
        <v>1414</v>
      </c>
      <c r="K900" t="s">
        <v>1423</v>
      </c>
    </row>
    <row r="901" spans="1:11" x14ac:dyDescent="0.25">
      <c r="A901" t="s">
        <v>2327</v>
      </c>
      <c r="B901" s="2">
        <v>45618</v>
      </c>
      <c r="C901" t="s">
        <v>719</v>
      </c>
      <c r="D901" t="s">
        <v>1014</v>
      </c>
      <c r="E901">
        <v>7</v>
      </c>
      <c r="F901">
        <v>15</v>
      </c>
      <c r="G901">
        <v>4.03</v>
      </c>
      <c r="H901" t="s">
        <v>1105</v>
      </c>
      <c r="I901" t="s">
        <v>1304</v>
      </c>
      <c r="J901" t="s">
        <v>1414</v>
      </c>
      <c r="K901" t="s">
        <v>1427</v>
      </c>
    </row>
    <row r="902" spans="1:11" x14ac:dyDescent="0.25">
      <c r="A902" t="s">
        <v>2328</v>
      </c>
      <c r="B902" s="2">
        <v>45619</v>
      </c>
      <c r="C902" t="s">
        <v>646</v>
      </c>
      <c r="D902" t="s">
        <v>1013</v>
      </c>
      <c r="E902">
        <v>1</v>
      </c>
      <c r="F902">
        <v>25</v>
      </c>
      <c r="G902">
        <v>9.8800000000000008</v>
      </c>
      <c r="H902" t="s">
        <v>1064</v>
      </c>
      <c r="I902" t="s">
        <v>1263</v>
      </c>
      <c r="J902" t="s">
        <v>1414</v>
      </c>
      <c r="K902" t="s">
        <v>1423</v>
      </c>
    </row>
    <row r="903" spans="1:11" x14ac:dyDescent="0.25">
      <c r="A903" t="s">
        <v>2329</v>
      </c>
      <c r="B903" s="2">
        <v>45619</v>
      </c>
      <c r="C903" t="s">
        <v>651</v>
      </c>
      <c r="D903" t="s">
        <v>1013</v>
      </c>
      <c r="E903">
        <v>8</v>
      </c>
      <c r="F903">
        <v>25</v>
      </c>
      <c r="G903">
        <v>6.58</v>
      </c>
      <c r="H903" t="s">
        <v>1050</v>
      </c>
      <c r="I903" t="s">
        <v>1249</v>
      </c>
      <c r="J903" t="s">
        <v>1414</v>
      </c>
      <c r="K903" t="s">
        <v>1426</v>
      </c>
    </row>
    <row r="904" spans="1:11" x14ac:dyDescent="0.25">
      <c r="A904" t="s">
        <v>2330</v>
      </c>
      <c r="B904" s="2">
        <v>45619</v>
      </c>
      <c r="C904" t="s">
        <v>666</v>
      </c>
      <c r="D904" t="s">
        <v>1013</v>
      </c>
      <c r="E904">
        <v>8</v>
      </c>
      <c r="F904">
        <v>25</v>
      </c>
      <c r="G904">
        <v>6.56</v>
      </c>
      <c r="H904" t="s">
        <v>1194</v>
      </c>
      <c r="I904" t="s">
        <v>1393</v>
      </c>
      <c r="J904" t="s">
        <v>1416</v>
      </c>
      <c r="K904" t="s">
        <v>1420</v>
      </c>
    </row>
    <row r="905" spans="1:11" x14ac:dyDescent="0.25">
      <c r="A905" t="s">
        <v>2331</v>
      </c>
      <c r="B905" s="2">
        <v>45620</v>
      </c>
      <c r="C905" t="s">
        <v>693</v>
      </c>
      <c r="D905" t="s">
        <v>1015</v>
      </c>
      <c r="E905">
        <v>9</v>
      </c>
      <c r="F905">
        <v>10</v>
      </c>
      <c r="G905">
        <v>2.66</v>
      </c>
      <c r="H905" t="s">
        <v>1022</v>
      </c>
      <c r="I905" t="s">
        <v>1221</v>
      </c>
      <c r="J905" t="s">
        <v>1416</v>
      </c>
      <c r="K905" t="s">
        <v>1423</v>
      </c>
    </row>
    <row r="906" spans="1:11" x14ac:dyDescent="0.25">
      <c r="A906" t="s">
        <v>2332</v>
      </c>
      <c r="B906" s="2">
        <v>45622</v>
      </c>
      <c r="C906" t="s">
        <v>100</v>
      </c>
      <c r="D906" t="s">
        <v>1012</v>
      </c>
      <c r="E906">
        <v>1</v>
      </c>
      <c r="F906">
        <v>40</v>
      </c>
      <c r="G906">
        <v>10.130000000000001</v>
      </c>
      <c r="H906" t="s">
        <v>1084</v>
      </c>
      <c r="I906" t="s">
        <v>1283</v>
      </c>
      <c r="J906" t="s">
        <v>1414</v>
      </c>
      <c r="K906" t="s">
        <v>1422</v>
      </c>
    </row>
    <row r="907" spans="1:11" x14ac:dyDescent="0.25">
      <c r="A907" t="s">
        <v>2333</v>
      </c>
      <c r="B907" s="2">
        <v>45622</v>
      </c>
      <c r="C907" t="s">
        <v>156</v>
      </c>
      <c r="D907" t="s">
        <v>1014</v>
      </c>
      <c r="E907">
        <v>2</v>
      </c>
      <c r="F907">
        <v>15</v>
      </c>
      <c r="G907">
        <v>3.3</v>
      </c>
      <c r="H907" t="s">
        <v>1094</v>
      </c>
      <c r="I907" t="s">
        <v>1293</v>
      </c>
      <c r="J907" t="s">
        <v>1416</v>
      </c>
      <c r="K907" t="s">
        <v>1424</v>
      </c>
    </row>
    <row r="908" spans="1:11" x14ac:dyDescent="0.25">
      <c r="A908" t="s">
        <v>2334</v>
      </c>
      <c r="B908" s="2">
        <v>45622</v>
      </c>
      <c r="C908" t="s">
        <v>160</v>
      </c>
      <c r="D908" t="s">
        <v>1014</v>
      </c>
      <c r="E908">
        <v>6</v>
      </c>
      <c r="F908">
        <v>15</v>
      </c>
      <c r="G908">
        <v>5.45</v>
      </c>
      <c r="H908" t="s">
        <v>1111</v>
      </c>
      <c r="I908" t="s">
        <v>1310</v>
      </c>
      <c r="J908" t="s">
        <v>1416</v>
      </c>
      <c r="K908" t="s">
        <v>1419</v>
      </c>
    </row>
    <row r="909" spans="1:11" x14ac:dyDescent="0.25">
      <c r="A909" t="s">
        <v>2335</v>
      </c>
      <c r="B909" s="2">
        <v>45622</v>
      </c>
      <c r="C909" t="s">
        <v>325</v>
      </c>
      <c r="D909" t="s">
        <v>1012</v>
      </c>
      <c r="E909">
        <v>2</v>
      </c>
      <c r="F909">
        <v>40</v>
      </c>
      <c r="G909">
        <v>12.19</v>
      </c>
      <c r="H909" t="s">
        <v>1065</v>
      </c>
      <c r="I909" t="s">
        <v>1264</v>
      </c>
      <c r="J909" t="s">
        <v>1414</v>
      </c>
      <c r="K909" t="s">
        <v>1426</v>
      </c>
    </row>
    <row r="910" spans="1:11" x14ac:dyDescent="0.25">
      <c r="A910" t="s">
        <v>2336</v>
      </c>
      <c r="B910" s="2">
        <v>45622</v>
      </c>
      <c r="C910" t="s">
        <v>366</v>
      </c>
      <c r="D910" t="s">
        <v>1013</v>
      </c>
      <c r="E910">
        <v>2</v>
      </c>
      <c r="F910">
        <v>25</v>
      </c>
      <c r="G910">
        <v>6.17</v>
      </c>
      <c r="H910" t="s">
        <v>1159</v>
      </c>
      <c r="I910" t="s">
        <v>1358</v>
      </c>
      <c r="J910" t="s">
        <v>1414</v>
      </c>
      <c r="K910" t="s">
        <v>1425</v>
      </c>
    </row>
    <row r="911" spans="1:11" x14ac:dyDescent="0.25">
      <c r="A911" t="s">
        <v>2337</v>
      </c>
      <c r="B911" s="2">
        <v>45622</v>
      </c>
      <c r="C911" t="s">
        <v>764</v>
      </c>
      <c r="D911" t="s">
        <v>1013</v>
      </c>
      <c r="E911">
        <v>9</v>
      </c>
      <c r="F911">
        <v>25</v>
      </c>
      <c r="G911">
        <v>6.35</v>
      </c>
      <c r="H911" t="s">
        <v>1205</v>
      </c>
      <c r="I911" t="s">
        <v>1404</v>
      </c>
      <c r="J911" t="s">
        <v>1417</v>
      </c>
      <c r="K911" t="s">
        <v>1427</v>
      </c>
    </row>
    <row r="912" spans="1:11" x14ac:dyDescent="0.25">
      <c r="A912" t="s">
        <v>2338</v>
      </c>
      <c r="B912" s="2">
        <v>45623</v>
      </c>
      <c r="C912" t="s">
        <v>241</v>
      </c>
      <c r="D912" t="s">
        <v>1014</v>
      </c>
      <c r="E912">
        <v>2</v>
      </c>
      <c r="G912">
        <v>4.1500000000000004</v>
      </c>
      <c r="H912" t="s">
        <v>1152</v>
      </c>
      <c r="I912" t="s">
        <v>1351</v>
      </c>
      <c r="J912" t="s">
        <v>1416</v>
      </c>
      <c r="K912" t="s">
        <v>1419</v>
      </c>
    </row>
    <row r="913" spans="1:11" x14ac:dyDescent="0.25">
      <c r="A913" t="s">
        <v>2339</v>
      </c>
      <c r="B913" s="2">
        <v>45623</v>
      </c>
      <c r="C913" t="s">
        <v>401</v>
      </c>
      <c r="D913" t="s">
        <v>1013</v>
      </c>
      <c r="E913">
        <v>3</v>
      </c>
      <c r="F913">
        <v>25</v>
      </c>
      <c r="G913">
        <v>9.27</v>
      </c>
      <c r="H913" t="s">
        <v>1073</v>
      </c>
      <c r="I913" t="s">
        <v>1272</v>
      </c>
      <c r="J913" t="s">
        <v>1417</v>
      </c>
      <c r="K913" t="s">
        <v>1423</v>
      </c>
    </row>
    <row r="914" spans="1:11" x14ac:dyDescent="0.25">
      <c r="A914" t="s">
        <v>2340</v>
      </c>
      <c r="B914" s="2">
        <v>45623</v>
      </c>
      <c r="C914" t="s">
        <v>408</v>
      </c>
      <c r="D914" t="s">
        <v>1011</v>
      </c>
      <c r="E914">
        <v>4</v>
      </c>
      <c r="F914">
        <v>12</v>
      </c>
      <c r="G914">
        <v>4.3899999999999997</v>
      </c>
      <c r="H914" t="s">
        <v>1102</v>
      </c>
      <c r="I914" t="s">
        <v>1301</v>
      </c>
      <c r="J914" t="s">
        <v>1414</v>
      </c>
      <c r="K914" t="s">
        <v>1421</v>
      </c>
    </row>
    <row r="915" spans="1:11" x14ac:dyDescent="0.25">
      <c r="A915" t="s">
        <v>2341</v>
      </c>
      <c r="B915" s="2">
        <v>45623</v>
      </c>
      <c r="C915" t="s">
        <v>668</v>
      </c>
      <c r="D915" t="s">
        <v>1013</v>
      </c>
      <c r="E915">
        <v>10</v>
      </c>
      <c r="F915">
        <v>25</v>
      </c>
      <c r="G915">
        <v>9.83</v>
      </c>
      <c r="H915" t="s">
        <v>1108</v>
      </c>
      <c r="I915" t="s">
        <v>1307</v>
      </c>
      <c r="J915" t="s">
        <v>1416</v>
      </c>
      <c r="K915" t="s">
        <v>1423</v>
      </c>
    </row>
    <row r="916" spans="1:11" x14ac:dyDescent="0.25">
      <c r="A916" t="s">
        <v>2342</v>
      </c>
      <c r="B916" s="2">
        <v>45623</v>
      </c>
      <c r="C916" t="s">
        <v>807</v>
      </c>
      <c r="D916" t="s">
        <v>1011</v>
      </c>
      <c r="E916">
        <v>2</v>
      </c>
      <c r="F916">
        <v>12</v>
      </c>
      <c r="G916">
        <v>3.46</v>
      </c>
      <c r="H916" t="s">
        <v>1070</v>
      </c>
      <c r="I916" t="s">
        <v>1269</v>
      </c>
      <c r="J916" t="s">
        <v>1416</v>
      </c>
      <c r="K916" t="s">
        <v>1422</v>
      </c>
    </row>
    <row r="917" spans="1:11" x14ac:dyDescent="0.25">
      <c r="A917" t="s">
        <v>2343</v>
      </c>
      <c r="B917" s="2">
        <v>45624</v>
      </c>
      <c r="C917" t="s">
        <v>198</v>
      </c>
      <c r="D917" t="s">
        <v>1013</v>
      </c>
      <c r="E917">
        <v>2</v>
      </c>
      <c r="F917">
        <v>25</v>
      </c>
      <c r="G917">
        <v>7.66</v>
      </c>
      <c r="H917" t="s">
        <v>1139</v>
      </c>
      <c r="I917" t="s">
        <v>1338</v>
      </c>
      <c r="J917" t="s">
        <v>1414</v>
      </c>
      <c r="K917" t="s">
        <v>1423</v>
      </c>
    </row>
    <row r="918" spans="1:11" x14ac:dyDescent="0.25">
      <c r="A918" t="s">
        <v>2344</v>
      </c>
      <c r="B918" s="2">
        <v>45625</v>
      </c>
      <c r="C918" t="s">
        <v>458</v>
      </c>
      <c r="D918" t="s">
        <v>1015</v>
      </c>
      <c r="E918">
        <v>10</v>
      </c>
      <c r="F918">
        <v>10</v>
      </c>
      <c r="G918">
        <v>2.0299999999999998</v>
      </c>
      <c r="H918" t="s">
        <v>1057</v>
      </c>
      <c r="I918" t="s">
        <v>1256</v>
      </c>
      <c r="J918" t="s">
        <v>1416</v>
      </c>
      <c r="K918" t="s">
        <v>1426</v>
      </c>
    </row>
    <row r="919" spans="1:11" x14ac:dyDescent="0.25">
      <c r="A919" t="s">
        <v>2345</v>
      </c>
      <c r="B919" s="2">
        <v>45625</v>
      </c>
      <c r="C919" t="s">
        <v>564</v>
      </c>
      <c r="D919" t="s">
        <v>1015</v>
      </c>
      <c r="E919">
        <v>10</v>
      </c>
      <c r="F919">
        <v>10</v>
      </c>
      <c r="G919">
        <v>3.83</v>
      </c>
      <c r="H919" t="s">
        <v>1153</v>
      </c>
      <c r="I919" t="s">
        <v>1352</v>
      </c>
      <c r="J919" t="s">
        <v>1417</v>
      </c>
      <c r="K919" t="s">
        <v>1423</v>
      </c>
    </row>
    <row r="920" spans="1:11" x14ac:dyDescent="0.25">
      <c r="A920" t="s">
        <v>2346</v>
      </c>
      <c r="B920" s="2">
        <v>45625</v>
      </c>
      <c r="C920" t="s">
        <v>655</v>
      </c>
      <c r="D920" t="s">
        <v>1013</v>
      </c>
      <c r="E920">
        <v>2</v>
      </c>
      <c r="F920">
        <v>25</v>
      </c>
      <c r="G920">
        <v>7.63</v>
      </c>
      <c r="H920" t="s">
        <v>1133</v>
      </c>
      <c r="I920" t="s">
        <v>1332</v>
      </c>
      <c r="J920" t="s">
        <v>1415</v>
      </c>
      <c r="K920" t="s">
        <v>1426</v>
      </c>
    </row>
    <row r="921" spans="1:11" x14ac:dyDescent="0.25">
      <c r="A921" t="s">
        <v>2347</v>
      </c>
      <c r="B921" s="2">
        <v>45625</v>
      </c>
      <c r="C921" t="s">
        <v>660</v>
      </c>
      <c r="D921" t="s">
        <v>1014</v>
      </c>
      <c r="E921">
        <v>4</v>
      </c>
      <c r="F921">
        <v>15</v>
      </c>
      <c r="G921">
        <v>4.93</v>
      </c>
      <c r="H921" t="s">
        <v>1170</v>
      </c>
      <c r="I921" t="s">
        <v>1369</v>
      </c>
      <c r="J921" t="s">
        <v>1414</v>
      </c>
      <c r="K921" t="s">
        <v>1421</v>
      </c>
    </row>
    <row r="922" spans="1:11" x14ac:dyDescent="0.25">
      <c r="A922" t="s">
        <v>2348</v>
      </c>
      <c r="B922" s="2">
        <v>45627</v>
      </c>
      <c r="C922" t="s">
        <v>215</v>
      </c>
      <c r="D922" t="s">
        <v>1013</v>
      </c>
      <c r="E922">
        <v>8</v>
      </c>
      <c r="F922">
        <v>25</v>
      </c>
      <c r="G922">
        <v>7.07</v>
      </c>
      <c r="H922" t="s">
        <v>1106</v>
      </c>
      <c r="I922" t="s">
        <v>1305</v>
      </c>
      <c r="J922" t="s">
        <v>1414</v>
      </c>
      <c r="K922" t="s">
        <v>1419</v>
      </c>
    </row>
    <row r="923" spans="1:11" x14ac:dyDescent="0.25">
      <c r="A923" t="s">
        <v>2349</v>
      </c>
      <c r="B923" s="2">
        <v>45627</v>
      </c>
      <c r="C923" t="s">
        <v>723</v>
      </c>
      <c r="D923" t="s">
        <v>1011</v>
      </c>
      <c r="E923">
        <v>9</v>
      </c>
      <c r="F923">
        <v>12</v>
      </c>
      <c r="G923">
        <v>2.78</v>
      </c>
      <c r="H923" t="s">
        <v>1157</v>
      </c>
      <c r="I923" t="s">
        <v>1356</v>
      </c>
      <c r="J923" t="s">
        <v>1416</v>
      </c>
      <c r="K923" t="s">
        <v>1422</v>
      </c>
    </row>
    <row r="924" spans="1:11" x14ac:dyDescent="0.25">
      <c r="A924" t="s">
        <v>2350</v>
      </c>
      <c r="B924" s="2">
        <v>45627</v>
      </c>
      <c r="C924" t="s">
        <v>734</v>
      </c>
      <c r="D924" t="s">
        <v>1012</v>
      </c>
      <c r="E924">
        <v>3</v>
      </c>
      <c r="F924">
        <v>40</v>
      </c>
      <c r="G924">
        <v>15.33</v>
      </c>
      <c r="H924" t="s">
        <v>1101</v>
      </c>
      <c r="I924" t="s">
        <v>1300</v>
      </c>
      <c r="J924" t="s">
        <v>1414</v>
      </c>
      <c r="K924" t="s">
        <v>1418</v>
      </c>
    </row>
    <row r="925" spans="1:11" x14ac:dyDescent="0.25">
      <c r="A925" t="s">
        <v>2351</v>
      </c>
      <c r="B925" s="2">
        <v>45628</v>
      </c>
      <c r="C925" t="s">
        <v>661</v>
      </c>
      <c r="D925" t="s">
        <v>1011</v>
      </c>
      <c r="E925">
        <v>1</v>
      </c>
      <c r="F925">
        <v>12</v>
      </c>
      <c r="G925">
        <v>4.46</v>
      </c>
      <c r="H925" t="s">
        <v>1067</v>
      </c>
      <c r="I925" t="s">
        <v>1266</v>
      </c>
      <c r="J925" t="s">
        <v>1416</v>
      </c>
      <c r="K925" t="s">
        <v>1422</v>
      </c>
    </row>
    <row r="926" spans="1:11" x14ac:dyDescent="0.25">
      <c r="A926" t="s">
        <v>2352</v>
      </c>
      <c r="B926" s="2">
        <v>45629</v>
      </c>
      <c r="C926" t="s">
        <v>68</v>
      </c>
      <c r="D926" t="s">
        <v>1014</v>
      </c>
      <c r="E926">
        <v>10</v>
      </c>
      <c r="F926">
        <v>15</v>
      </c>
      <c r="G926">
        <v>3.12</v>
      </c>
      <c r="H926" t="s">
        <v>1063</v>
      </c>
      <c r="I926" t="s">
        <v>1262</v>
      </c>
      <c r="J926" t="s">
        <v>1414</v>
      </c>
      <c r="K926" t="s">
        <v>1423</v>
      </c>
    </row>
    <row r="927" spans="1:11" x14ac:dyDescent="0.25">
      <c r="A927" t="s">
        <v>2353</v>
      </c>
      <c r="B927" s="2">
        <v>45629</v>
      </c>
      <c r="C927" t="s">
        <v>176</v>
      </c>
      <c r="D927" t="s">
        <v>1013</v>
      </c>
      <c r="E927">
        <v>5</v>
      </c>
      <c r="F927">
        <v>25</v>
      </c>
      <c r="G927">
        <v>5.22</v>
      </c>
      <c r="H927" t="s">
        <v>1129</v>
      </c>
      <c r="I927" t="s">
        <v>1328</v>
      </c>
      <c r="J927" t="s">
        <v>1415</v>
      </c>
      <c r="K927" t="s">
        <v>1426</v>
      </c>
    </row>
    <row r="928" spans="1:11" x14ac:dyDescent="0.25">
      <c r="A928" t="s">
        <v>2354</v>
      </c>
      <c r="B928" s="2">
        <v>45630</v>
      </c>
      <c r="C928" t="s">
        <v>852</v>
      </c>
      <c r="D928" t="s">
        <v>1013</v>
      </c>
      <c r="E928">
        <v>2</v>
      </c>
      <c r="F928">
        <v>25</v>
      </c>
      <c r="G928">
        <v>7.12</v>
      </c>
      <c r="H928" t="s">
        <v>1096</v>
      </c>
      <c r="I928" t="s">
        <v>1295</v>
      </c>
      <c r="J928" t="s">
        <v>1415</v>
      </c>
      <c r="K928" t="s">
        <v>1420</v>
      </c>
    </row>
    <row r="929" spans="1:11" x14ac:dyDescent="0.25">
      <c r="A929" t="s">
        <v>2355</v>
      </c>
      <c r="B929" s="2">
        <v>45631</v>
      </c>
      <c r="C929" t="s">
        <v>30</v>
      </c>
      <c r="D929" t="s">
        <v>1011</v>
      </c>
      <c r="E929">
        <v>4</v>
      </c>
      <c r="G929">
        <v>4.01</v>
      </c>
      <c r="H929" t="s">
        <v>1033</v>
      </c>
      <c r="I929" t="s">
        <v>1232</v>
      </c>
      <c r="J929" t="s">
        <v>1414</v>
      </c>
      <c r="K929" t="s">
        <v>1426</v>
      </c>
    </row>
    <row r="930" spans="1:11" x14ac:dyDescent="0.25">
      <c r="A930" t="s">
        <v>2356</v>
      </c>
      <c r="B930" s="2">
        <v>45631</v>
      </c>
      <c r="C930" t="s">
        <v>698</v>
      </c>
      <c r="D930" t="s">
        <v>1012</v>
      </c>
      <c r="E930">
        <v>8</v>
      </c>
      <c r="F930">
        <v>40</v>
      </c>
      <c r="G930">
        <v>8.52</v>
      </c>
      <c r="H930" t="s">
        <v>1093</v>
      </c>
      <c r="I930" t="s">
        <v>1292</v>
      </c>
      <c r="J930" t="s">
        <v>1414</v>
      </c>
      <c r="K930" t="s">
        <v>1418</v>
      </c>
    </row>
    <row r="931" spans="1:11" x14ac:dyDescent="0.25">
      <c r="A931" t="s">
        <v>2357</v>
      </c>
      <c r="B931" s="2">
        <v>45631</v>
      </c>
      <c r="C931" t="s">
        <v>791</v>
      </c>
      <c r="D931" t="s">
        <v>1013</v>
      </c>
      <c r="E931">
        <v>10</v>
      </c>
      <c r="F931">
        <v>25</v>
      </c>
      <c r="G931">
        <v>6.39</v>
      </c>
      <c r="H931" t="s">
        <v>1038</v>
      </c>
      <c r="I931" t="s">
        <v>1237</v>
      </c>
      <c r="J931" t="s">
        <v>1416</v>
      </c>
      <c r="K931" t="s">
        <v>1425</v>
      </c>
    </row>
    <row r="932" spans="1:11" x14ac:dyDescent="0.25">
      <c r="A932" t="s">
        <v>2358</v>
      </c>
      <c r="B932" s="2">
        <v>45631</v>
      </c>
      <c r="C932" t="s">
        <v>980</v>
      </c>
      <c r="D932" t="s">
        <v>1013</v>
      </c>
      <c r="E932">
        <v>6</v>
      </c>
      <c r="F932">
        <v>25</v>
      </c>
      <c r="G932">
        <v>7.8</v>
      </c>
      <c r="H932" t="s">
        <v>1077</v>
      </c>
      <c r="I932" t="s">
        <v>1276</v>
      </c>
      <c r="J932" t="s">
        <v>1416</v>
      </c>
      <c r="K932" t="s">
        <v>1420</v>
      </c>
    </row>
    <row r="933" spans="1:11" x14ac:dyDescent="0.25">
      <c r="A933" t="s">
        <v>2359</v>
      </c>
      <c r="B933" s="2">
        <v>45631</v>
      </c>
      <c r="C933" t="s">
        <v>986</v>
      </c>
      <c r="D933" t="s">
        <v>1012</v>
      </c>
      <c r="E933">
        <v>4</v>
      </c>
      <c r="F933">
        <v>40</v>
      </c>
      <c r="G933">
        <v>8.2899999999999991</v>
      </c>
      <c r="H933" t="s">
        <v>1186</v>
      </c>
      <c r="I933" t="s">
        <v>1385</v>
      </c>
      <c r="J933" t="s">
        <v>1416</v>
      </c>
      <c r="K933" t="s">
        <v>1422</v>
      </c>
    </row>
    <row r="934" spans="1:11" x14ac:dyDescent="0.25">
      <c r="A934" t="s">
        <v>2360</v>
      </c>
      <c r="B934" s="2">
        <v>45632</v>
      </c>
      <c r="C934" t="s">
        <v>300</v>
      </c>
      <c r="D934" t="s">
        <v>1015</v>
      </c>
      <c r="E934">
        <v>10</v>
      </c>
      <c r="F934">
        <v>10</v>
      </c>
      <c r="G934">
        <v>3.14</v>
      </c>
      <c r="H934" t="s">
        <v>1169</v>
      </c>
      <c r="I934" t="s">
        <v>1368</v>
      </c>
      <c r="J934" t="s">
        <v>1414</v>
      </c>
      <c r="K934" t="s">
        <v>1421</v>
      </c>
    </row>
    <row r="935" spans="1:11" x14ac:dyDescent="0.25">
      <c r="A935" t="s">
        <v>2361</v>
      </c>
      <c r="B935" s="2">
        <v>45632</v>
      </c>
      <c r="C935" t="s">
        <v>370</v>
      </c>
      <c r="D935" t="s">
        <v>1013</v>
      </c>
      <c r="E935">
        <v>3</v>
      </c>
      <c r="F935">
        <v>25</v>
      </c>
      <c r="G935">
        <v>8.4700000000000006</v>
      </c>
      <c r="H935" t="s">
        <v>1179</v>
      </c>
      <c r="I935" t="s">
        <v>1378</v>
      </c>
      <c r="J935" t="s">
        <v>1416</v>
      </c>
      <c r="K935" t="s">
        <v>1422</v>
      </c>
    </row>
    <row r="936" spans="1:11" x14ac:dyDescent="0.25">
      <c r="A936" t="s">
        <v>2362</v>
      </c>
      <c r="B936" s="2">
        <v>45632</v>
      </c>
      <c r="C936" t="s">
        <v>451</v>
      </c>
      <c r="D936" t="s">
        <v>1012</v>
      </c>
      <c r="E936">
        <v>9</v>
      </c>
      <c r="F936">
        <v>40</v>
      </c>
      <c r="G936">
        <v>14.84</v>
      </c>
      <c r="H936" t="s">
        <v>1121</v>
      </c>
      <c r="I936" t="s">
        <v>1320</v>
      </c>
      <c r="J936" t="s">
        <v>1414</v>
      </c>
      <c r="K936" t="s">
        <v>1418</v>
      </c>
    </row>
    <row r="937" spans="1:11" x14ac:dyDescent="0.25">
      <c r="A937" t="s">
        <v>2363</v>
      </c>
      <c r="B937" s="2">
        <v>45633</v>
      </c>
      <c r="C937" t="s">
        <v>271</v>
      </c>
      <c r="D937" t="s">
        <v>1015</v>
      </c>
      <c r="E937">
        <v>6</v>
      </c>
      <c r="F937">
        <v>10</v>
      </c>
      <c r="G937">
        <v>3.49</v>
      </c>
      <c r="H937" t="s">
        <v>1095</v>
      </c>
      <c r="I937" t="s">
        <v>1294</v>
      </c>
      <c r="J937" t="s">
        <v>1414</v>
      </c>
      <c r="K937" t="s">
        <v>1421</v>
      </c>
    </row>
    <row r="938" spans="1:11" x14ac:dyDescent="0.25">
      <c r="A938" t="s">
        <v>2364</v>
      </c>
      <c r="B938" s="2">
        <v>45633</v>
      </c>
      <c r="C938" t="s">
        <v>702</v>
      </c>
      <c r="D938" t="s">
        <v>1014</v>
      </c>
      <c r="E938">
        <v>2</v>
      </c>
      <c r="F938">
        <v>15</v>
      </c>
      <c r="G938">
        <v>5.61</v>
      </c>
      <c r="H938" t="s">
        <v>1112</v>
      </c>
      <c r="I938" t="s">
        <v>1311</v>
      </c>
      <c r="J938" t="s">
        <v>1414</v>
      </c>
      <c r="K938" t="s">
        <v>1418</v>
      </c>
    </row>
    <row r="939" spans="1:11" x14ac:dyDescent="0.25">
      <c r="A939" t="s">
        <v>2365</v>
      </c>
      <c r="B939" s="2">
        <v>45633</v>
      </c>
      <c r="C939" t="s">
        <v>999</v>
      </c>
      <c r="D939" t="s">
        <v>1013</v>
      </c>
      <c r="E939">
        <v>7</v>
      </c>
      <c r="G939">
        <v>7.45</v>
      </c>
      <c r="H939" t="s">
        <v>1047</v>
      </c>
      <c r="I939" t="s">
        <v>1246</v>
      </c>
      <c r="J939" t="s">
        <v>1414</v>
      </c>
      <c r="K939" t="s">
        <v>1420</v>
      </c>
    </row>
    <row r="940" spans="1:11" x14ac:dyDescent="0.25">
      <c r="A940" t="s">
        <v>2366</v>
      </c>
      <c r="B940" s="2">
        <v>45635</v>
      </c>
      <c r="C940" t="s">
        <v>536</v>
      </c>
      <c r="D940" t="s">
        <v>1012</v>
      </c>
      <c r="E940">
        <v>3</v>
      </c>
      <c r="F940">
        <v>40</v>
      </c>
      <c r="G940">
        <v>13.88</v>
      </c>
      <c r="H940" t="s">
        <v>1200</v>
      </c>
      <c r="I940" t="s">
        <v>1399</v>
      </c>
      <c r="J940" t="s">
        <v>1414</v>
      </c>
      <c r="K940" t="s">
        <v>1426</v>
      </c>
    </row>
    <row r="941" spans="1:11" x14ac:dyDescent="0.25">
      <c r="A941" t="s">
        <v>2367</v>
      </c>
      <c r="B941" s="2">
        <v>45635</v>
      </c>
      <c r="C941" t="s">
        <v>898</v>
      </c>
      <c r="D941" t="s">
        <v>1012</v>
      </c>
      <c r="E941">
        <v>10</v>
      </c>
      <c r="F941">
        <v>40</v>
      </c>
      <c r="G941">
        <v>10.5</v>
      </c>
      <c r="H941" t="s">
        <v>1072</v>
      </c>
      <c r="I941" t="s">
        <v>1271</v>
      </c>
      <c r="J941" t="s">
        <v>1414</v>
      </c>
      <c r="K941" t="s">
        <v>1425</v>
      </c>
    </row>
    <row r="942" spans="1:11" x14ac:dyDescent="0.25">
      <c r="A942" t="s">
        <v>2368</v>
      </c>
      <c r="B942" s="2">
        <v>45636</v>
      </c>
      <c r="C942" t="s">
        <v>124</v>
      </c>
      <c r="D942" t="s">
        <v>1014</v>
      </c>
      <c r="E942">
        <v>3</v>
      </c>
      <c r="F942">
        <v>15</v>
      </c>
      <c r="G942">
        <v>3.32</v>
      </c>
      <c r="H942" t="s">
        <v>1103</v>
      </c>
      <c r="I942" t="s">
        <v>1302</v>
      </c>
      <c r="J942" t="s">
        <v>1414</v>
      </c>
      <c r="K942" t="s">
        <v>1419</v>
      </c>
    </row>
    <row r="943" spans="1:11" x14ac:dyDescent="0.25">
      <c r="A943" t="s">
        <v>2369</v>
      </c>
      <c r="B943" s="2">
        <v>45636</v>
      </c>
      <c r="C943" t="s">
        <v>298</v>
      </c>
      <c r="D943" t="s">
        <v>1012</v>
      </c>
      <c r="E943">
        <v>10</v>
      </c>
      <c r="F943">
        <v>40</v>
      </c>
      <c r="G943">
        <v>11.45</v>
      </c>
      <c r="H943" t="s">
        <v>1100</v>
      </c>
      <c r="I943" t="s">
        <v>1299</v>
      </c>
      <c r="J943" t="s">
        <v>1415</v>
      </c>
      <c r="K943" t="s">
        <v>1425</v>
      </c>
    </row>
    <row r="944" spans="1:11" x14ac:dyDescent="0.25">
      <c r="A944" t="s">
        <v>2370</v>
      </c>
      <c r="B944" s="2">
        <v>45637</v>
      </c>
      <c r="C944" t="s">
        <v>98</v>
      </c>
      <c r="D944" t="s">
        <v>1013</v>
      </c>
      <c r="E944">
        <v>10</v>
      </c>
      <c r="F944">
        <v>25</v>
      </c>
      <c r="G944">
        <v>9.69</v>
      </c>
      <c r="H944" t="s">
        <v>1083</v>
      </c>
      <c r="I944" t="s">
        <v>1282</v>
      </c>
      <c r="J944" t="s">
        <v>1414</v>
      </c>
      <c r="K944" t="s">
        <v>1419</v>
      </c>
    </row>
    <row r="945" spans="1:11" x14ac:dyDescent="0.25">
      <c r="A945" t="s">
        <v>2371</v>
      </c>
      <c r="B945" s="2">
        <v>45637</v>
      </c>
      <c r="C945" t="s">
        <v>369</v>
      </c>
      <c r="D945" t="s">
        <v>1011</v>
      </c>
      <c r="E945">
        <v>9</v>
      </c>
      <c r="F945">
        <v>12</v>
      </c>
      <c r="G945">
        <v>3.65</v>
      </c>
      <c r="H945" t="s">
        <v>1171</v>
      </c>
      <c r="I945" t="s">
        <v>1370</v>
      </c>
      <c r="J945" t="s">
        <v>1415</v>
      </c>
      <c r="K945" t="s">
        <v>1418</v>
      </c>
    </row>
    <row r="946" spans="1:11" x14ac:dyDescent="0.25">
      <c r="A946" t="s">
        <v>2372</v>
      </c>
      <c r="B946" s="2">
        <v>45637</v>
      </c>
      <c r="C946" t="s">
        <v>529</v>
      </c>
      <c r="D946" t="s">
        <v>1013</v>
      </c>
      <c r="E946">
        <v>5</v>
      </c>
      <c r="F946">
        <v>25</v>
      </c>
      <c r="G946">
        <v>8.9600000000000009</v>
      </c>
      <c r="H946" t="s">
        <v>1179</v>
      </c>
      <c r="I946" t="s">
        <v>1378</v>
      </c>
      <c r="J946" t="s">
        <v>1414</v>
      </c>
      <c r="K946" t="s">
        <v>1422</v>
      </c>
    </row>
    <row r="947" spans="1:11" x14ac:dyDescent="0.25">
      <c r="A947" t="s">
        <v>2373</v>
      </c>
      <c r="B947" s="2">
        <v>45637</v>
      </c>
      <c r="C947" t="s">
        <v>674</v>
      </c>
      <c r="D947" t="s">
        <v>1013</v>
      </c>
      <c r="E947">
        <v>4</v>
      </c>
      <c r="F947">
        <v>25</v>
      </c>
      <c r="G947">
        <v>9.9499999999999993</v>
      </c>
      <c r="H947" t="s">
        <v>1052</v>
      </c>
      <c r="I947" t="s">
        <v>1251</v>
      </c>
      <c r="J947" t="s">
        <v>1414</v>
      </c>
      <c r="K947" t="s">
        <v>1422</v>
      </c>
    </row>
    <row r="948" spans="1:11" x14ac:dyDescent="0.25">
      <c r="A948" t="s">
        <v>2374</v>
      </c>
      <c r="B948" s="2">
        <v>45637</v>
      </c>
      <c r="C948" t="s">
        <v>707</v>
      </c>
      <c r="D948" t="s">
        <v>1011</v>
      </c>
      <c r="E948">
        <v>3</v>
      </c>
      <c r="F948">
        <v>12</v>
      </c>
      <c r="G948">
        <v>4.3899999999999997</v>
      </c>
      <c r="H948" t="s">
        <v>1129</v>
      </c>
      <c r="I948" t="s">
        <v>1328</v>
      </c>
      <c r="J948" t="s">
        <v>1416</v>
      </c>
      <c r="K948" t="s">
        <v>1422</v>
      </c>
    </row>
    <row r="949" spans="1:11" x14ac:dyDescent="0.25">
      <c r="A949" t="s">
        <v>2375</v>
      </c>
      <c r="B949" s="2">
        <v>45638</v>
      </c>
      <c r="C949" t="s">
        <v>24</v>
      </c>
      <c r="D949" t="s">
        <v>1013</v>
      </c>
      <c r="E949">
        <v>5</v>
      </c>
      <c r="F949">
        <v>25</v>
      </c>
      <c r="G949">
        <v>9.1199999999999992</v>
      </c>
      <c r="H949" t="s">
        <v>1028</v>
      </c>
      <c r="I949" t="s">
        <v>1227</v>
      </c>
      <c r="J949" t="s">
        <v>1414</v>
      </c>
      <c r="K949" t="s">
        <v>1427</v>
      </c>
    </row>
    <row r="950" spans="1:11" x14ac:dyDescent="0.25">
      <c r="A950" t="s">
        <v>2376</v>
      </c>
      <c r="B950" s="2">
        <v>45638</v>
      </c>
      <c r="C950" t="s">
        <v>571</v>
      </c>
      <c r="D950" t="s">
        <v>1015</v>
      </c>
      <c r="E950">
        <v>5</v>
      </c>
      <c r="F950">
        <v>10</v>
      </c>
      <c r="G950">
        <v>2.04</v>
      </c>
      <c r="H950" t="s">
        <v>1152</v>
      </c>
      <c r="I950" t="s">
        <v>1351</v>
      </c>
      <c r="J950" t="s">
        <v>1414</v>
      </c>
      <c r="K950" t="s">
        <v>1418</v>
      </c>
    </row>
    <row r="951" spans="1:11" x14ac:dyDescent="0.25">
      <c r="A951" t="s">
        <v>2377</v>
      </c>
      <c r="B951" s="2">
        <v>45639</v>
      </c>
      <c r="C951" t="s">
        <v>244</v>
      </c>
      <c r="D951" t="s">
        <v>1014</v>
      </c>
      <c r="E951">
        <v>5</v>
      </c>
      <c r="F951">
        <v>15</v>
      </c>
      <c r="G951">
        <v>5.67</v>
      </c>
      <c r="H951" t="s">
        <v>1154</v>
      </c>
      <c r="I951" t="s">
        <v>1353</v>
      </c>
      <c r="J951" t="s">
        <v>1414</v>
      </c>
      <c r="K951" t="s">
        <v>1420</v>
      </c>
    </row>
    <row r="952" spans="1:11" x14ac:dyDescent="0.25">
      <c r="A952" t="s">
        <v>2378</v>
      </c>
      <c r="B952" s="2">
        <v>45639</v>
      </c>
      <c r="C952" t="s">
        <v>355</v>
      </c>
      <c r="D952" t="s">
        <v>1014</v>
      </c>
      <c r="E952">
        <v>1</v>
      </c>
      <c r="F952">
        <v>15</v>
      </c>
      <c r="G952">
        <v>5.36</v>
      </c>
      <c r="H952" t="s">
        <v>1151</v>
      </c>
      <c r="I952" t="s">
        <v>1350</v>
      </c>
      <c r="J952" t="s">
        <v>1417</v>
      </c>
      <c r="K952" t="s">
        <v>1424</v>
      </c>
    </row>
    <row r="953" spans="1:11" x14ac:dyDescent="0.25">
      <c r="A953" t="s">
        <v>2379</v>
      </c>
      <c r="B953" s="2">
        <v>45640</v>
      </c>
      <c r="C953" t="s">
        <v>439</v>
      </c>
      <c r="D953" t="s">
        <v>1014</v>
      </c>
      <c r="E953">
        <v>5</v>
      </c>
      <c r="F953">
        <v>15</v>
      </c>
      <c r="G953">
        <v>3.45</v>
      </c>
      <c r="H953" t="s">
        <v>1063</v>
      </c>
      <c r="I953" t="s">
        <v>1262</v>
      </c>
      <c r="J953" t="s">
        <v>1414</v>
      </c>
      <c r="K953" t="s">
        <v>1424</v>
      </c>
    </row>
    <row r="954" spans="1:11" x14ac:dyDescent="0.25">
      <c r="A954" t="s">
        <v>2380</v>
      </c>
      <c r="B954" s="2">
        <v>45641</v>
      </c>
      <c r="C954" t="s">
        <v>293</v>
      </c>
      <c r="D954" t="s">
        <v>1011</v>
      </c>
      <c r="E954">
        <v>9</v>
      </c>
      <c r="F954">
        <v>12</v>
      </c>
      <c r="G954">
        <v>3.54</v>
      </c>
      <c r="H954" t="s">
        <v>1149</v>
      </c>
      <c r="I954" t="s">
        <v>1348</v>
      </c>
      <c r="J954" t="s">
        <v>1414</v>
      </c>
      <c r="K954" t="s">
        <v>1421</v>
      </c>
    </row>
    <row r="955" spans="1:11" x14ac:dyDescent="0.25">
      <c r="A955" t="s">
        <v>2381</v>
      </c>
      <c r="B955" s="2">
        <v>45641</v>
      </c>
      <c r="C955" t="s">
        <v>379</v>
      </c>
      <c r="D955" t="s">
        <v>1011</v>
      </c>
      <c r="E955">
        <v>5</v>
      </c>
      <c r="F955">
        <v>12</v>
      </c>
      <c r="G955">
        <v>4.01</v>
      </c>
      <c r="H955" t="s">
        <v>1037</v>
      </c>
      <c r="I955" t="s">
        <v>1236</v>
      </c>
      <c r="J955" t="s">
        <v>1414</v>
      </c>
      <c r="K955" t="s">
        <v>1424</v>
      </c>
    </row>
    <row r="956" spans="1:11" x14ac:dyDescent="0.25">
      <c r="A956" t="s">
        <v>2382</v>
      </c>
      <c r="B956" s="2">
        <v>45641</v>
      </c>
      <c r="C956" t="s">
        <v>497</v>
      </c>
      <c r="D956" t="s">
        <v>1012</v>
      </c>
      <c r="E956">
        <v>10</v>
      </c>
      <c r="F956">
        <v>40</v>
      </c>
      <c r="G956">
        <v>15.7</v>
      </c>
      <c r="H956" t="s">
        <v>1032</v>
      </c>
      <c r="I956" t="s">
        <v>1231</v>
      </c>
      <c r="J956" t="s">
        <v>1416</v>
      </c>
      <c r="K956" t="s">
        <v>1422</v>
      </c>
    </row>
    <row r="957" spans="1:11" x14ac:dyDescent="0.25">
      <c r="A957" t="s">
        <v>2383</v>
      </c>
      <c r="B957" s="2">
        <v>45641</v>
      </c>
      <c r="C957" t="s">
        <v>542</v>
      </c>
      <c r="D957" t="s">
        <v>1012</v>
      </c>
      <c r="E957">
        <v>3</v>
      </c>
      <c r="F957">
        <v>40</v>
      </c>
      <c r="G957">
        <v>12.54</v>
      </c>
      <c r="H957" t="s">
        <v>1091</v>
      </c>
      <c r="I957" t="s">
        <v>1290</v>
      </c>
      <c r="J957" t="s">
        <v>1414</v>
      </c>
      <c r="K957" t="s">
        <v>1422</v>
      </c>
    </row>
    <row r="958" spans="1:11" x14ac:dyDescent="0.25">
      <c r="A958" t="s">
        <v>2384</v>
      </c>
      <c r="B958" s="2">
        <v>45641</v>
      </c>
      <c r="C958" t="s">
        <v>771</v>
      </c>
      <c r="D958" t="s">
        <v>1013</v>
      </c>
      <c r="E958">
        <v>5</v>
      </c>
      <c r="F958">
        <v>25</v>
      </c>
      <c r="G958">
        <v>8.98</v>
      </c>
      <c r="H958" t="s">
        <v>1113</v>
      </c>
      <c r="I958" t="s">
        <v>1312</v>
      </c>
      <c r="J958" t="s">
        <v>1415</v>
      </c>
      <c r="K958" t="s">
        <v>1418</v>
      </c>
    </row>
    <row r="959" spans="1:11" x14ac:dyDescent="0.25">
      <c r="A959" t="s">
        <v>2385</v>
      </c>
      <c r="B959" s="2">
        <v>45642</v>
      </c>
      <c r="C959" t="s">
        <v>49</v>
      </c>
      <c r="D959" t="s">
        <v>1012</v>
      </c>
      <c r="E959">
        <v>7</v>
      </c>
      <c r="F959">
        <v>40</v>
      </c>
      <c r="G959">
        <v>14.44</v>
      </c>
      <c r="H959" t="s">
        <v>1048</v>
      </c>
      <c r="I959" t="s">
        <v>1247</v>
      </c>
      <c r="J959" t="s">
        <v>1414</v>
      </c>
      <c r="K959" t="s">
        <v>1420</v>
      </c>
    </row>
    <row r="960" spans="1:11" x14ac:dyDescent="0.25">
      <c r="A960" t="s">
        <v>2386</v>
      </c>
      <c r="B960" s="2">
        <v>45642</v>
      </c>
      <c r="C960" t="s">
        <v>90</v>
      </c>
      <c r="D960" t="s">
        <v>1012</v>
      </c>
      <c r="E960">
        <v>8</v>
      </c>
      <c r="F960">
        <v>40</v>
      </c>
      <c r="G960">
        <v>9.3699999999999992</v>
      </c>
      <c r="H960" t="s">
        <v>1077</v>
      </c>
      <c r="I960" t="s">
        <v>1276</v>
      </c>
      <c r="J960" t="s">
        <v>1414</v>
      </c>
      <c r="K960" t="s">
        <v>1420</v>
      </c>
    </row>
    <row r="961" spans="1:11" x14ac:dyDescent="0.25">
      <c r="A961" t="s">
        <v>2387</v>
      </c>
      <c r="B961" s="2">
        <v>45642</v>
      </c>
      <c r="C961" t="s">
        <v>602</v>
      </c>
      <c r="D961" t="s">
        <v>1011</v>
      </c>
      <c r="E961">
        <v>8</v>
      </c>
      <c r="F961">
        <v>12</v>
      </c>
      <c r="G961">
        <v>2.73</v>
      </c>
      <c r="H961" t="s">
        <v>1101</v>
      </c>
      <c r="I961" t="s">
        <v>1300</v>
      </c>
      <c r="J961" t="s">
        <v>1416</v>
      </c>
      <c r="K961" t="s">
        <v>1418</v>
      </c>
    </row>
    <row r="962" spans="1:11" x14ac:dyDescent="0.25">
      <c r="A962" t="s">
        <v>2388</v>
      </c>
      <c r="B962" s="2">
        <v>45643</v>
      </c>
      <c r="C962" t="s">
        <v>214</v>
      </c>
      <c r="D962" t="s">
        <v>1014</v>
      </c>
      <c r="E962">
        <v>5</v>
      </c>
      <c r="F962">
        <v>15</v>
      </c>
      <c r="G962">
        <v>5.13</v>
      </c>
      <c r="H962" t="s">
        <v>1145</v>
      </c>
      <c r="I962" t="s">
        <v>1344</v>
      </c>
      <c r="J962" t="s">
        <v>1414</v>
      </c>
      <c r="K962" t="s">
        <v>1424</v>
      </c>
    </row>
    <row r="963" spans="1:11" x14ac:dyDescent="0.25">
      <c r="A963" t="s">
        <v>2389</v>
      </c>
      <c r="B963" s="2">
        <v>45643</v>
      </c>
      <c r="C963" t="s">
        <v>235</v>
      </c>
      <c r="D963" t="s">
        <v>1015</v>
      </c>
      <c r="E963">
        <v>3</v>
      </c>
      <c r="F963">
        <v>10</v>
      </c>
      <c r="G963">
        <v>2.86</v>
      </c>
      <c r="H963" t="s">
        <v>1097</v>
      </c>
      <c r="I963" t="s">
        <v>1296</v>
      </c>
      <c r="J963" t="s">
        <v>1414</v>
      </c>
      <c r="K963" t="s">
        <v>1423</v>
      </c>
    </row>
    <row r="964" spans="1:11" x14ac:dyDescent="0.25">
      <c r="A964" t="s">
        <v>2390</v>
      </c>
      <c r="B964" s="2">
        <v>45643</v>
      </c>
      <c r="C964" t="s">
        <v>928</v>
      </c>
      <c r="D964" t="s">
        <v>1014</v>
      </c>
      <c r="E964">
        <v>10</v>
      </c>
      <c r="F964">
        <v>15</v>
      </c>
      <c r="G964">
        <v>5.18</v>
      </c>
      <c r="H964" t="s">
        <v>1040</v>
      </c>
      <c r="I964" t="s">
        <v>1239</v>
      </c>
      <c r="J964" t="s">
        <v>1414</v>
      </c>
      <c r="K964" t="s">
        <v>1418</v>
      </c>
    </row>
    <row r="965" spans="1:11" x14ac:dyDescent="0.25">
      <c r="A965" t="s">
        <v>2391</v>
      </c>
      <c r="B965" s="2">
        <v>45643</v>
      </c>
      <c r="C965" t="s">
        <v>982</v>
      </c>
      <c r="D965" t="s">
        <v>1013</v>
      </c>
      <c r="E965">
        <v>7</v>
      </c>
      <c r="F965">
        <v>25</v>
      </c>
      <c r="G965">
        <v>9.41</v>
      </c>
      <c r="H965" t="s">
        <v>1208</v>
      </c>
      <c r="I965" t="s">
        <v>1407</v>
      </c>
      <c r="J965" t="s">
        <v>1414</v>
      </c>
      <c r="K965" t="s">
        <v>1418</v>
      </c>
    </row>
    <row r="966" spans="1:11" x14ac:dyDescent="0.25">
      <c r="A966" t="s">
        <v>2392</v>
      </c>
      <c r="B966" s="2">
        <v>45644</v>
      </c>
      <c r="C966" t="s">
        <v>311</v>
      </c>
      <c r="D966" t="s">
        <v>1012</v>
      </c>
      <c r="E966">
        <v>3</v>
      </c>
      <c r="F966">
        <v>40</v>
      </c>
      <c r="G966">
        <v>12.72</v>
      </c>
      <c r="H966" t="s">
        <v>1046</v>
      </c>
      <c r="I966" t="s">
        <v>1245</v>
      </c>
      <c r="J966" t="s">
        <v>1416</v>
      </c>
      <c r="K966" t="s">
        <v>1423</v>
      </c>
    </row>
    <row r="967" spans="1:11" x14ac:dyDescent="0.25">
      <c r="A967" t="s">
        <v>2393</v>
      </c>
      <c r="B967" s="2">
        <v>45644</v>
      </c>
      <c r="C967" t="s">
        <v>358</v>
      </c>
      <c r="D967" t="s">
        <v>1013</v>
      </c>
      <c r="E967">
        <v>2</v>
      </c>
      <c r="F967">
        <v>25</v>
      </c>
      <c r="G967">
        <v>7.31</v>
      </c>
      <c r="H967" t="s">
        <v>1024</v>
      </c>
      <c r="I967" t="s">
        <v>1223</v>
      </c>
      <c r="J967" t="s">
        <v>1416</v>
      </c>
      <c r="K967" t="s">
        <v>1426</v>
      </c>
    </row>
    <row r="968" spans="1:11" x14ac:dyDescent="0.25">
      <c r="A968" t="s">
        <v>2394</v>
      </c>
      <c r="B968" s="2">
        <v>45644</v>
      </c>
      <c r="C968" t="s">
        <v>380</v>
      </c>
      <c r="D968" t="s">
        <v>1015</v>
      </c>
      <c r="E968">
        <v>2</v>
      </c>
      <c r="F968">
        <v>10</v>
      </c>
      <c r="G968">
        <v>3.87</v>
      </c>
      <c r="H968" t="s">
        <v>1098</v>
      </c>
      <c r="I968" t="s">
        <v>1297</v>
      </c>
      <c r="J968" t="s">
        <v>1414</v>
      </c>
      <c r="K968" t="s">
        <v>1418</v>
      </c>
    </row>
    <row r="969" spans="1:11" x14ac:dyDescent="0.25">
      <c r="A969" t="s">
        <v>2395</v>
      </c>
      <c r="B969" s="2">
        <v>45644</v>
      </c>
      <c r="C969" t="s">
        <v>561</v>
      </c>
      <c r="D969" t="s">
        <v>1013</v>
      </c>
      <c r="E969">
        <v>3</v>
      </c>
      <c r="F969">
        <v>25</v>
      </c>
      <c r="G969">
        <v>8.4600000000000009</v>
      </c>
      <c r="H969" t="s">
        <v>1161</v>
      </c>
      <c r="I969" t="s">
        <v>1360</v>
      </c>
      <c r="J969" t="s">
        <v>1414</v>
      </c>
      <c r="K969" t="s">
        <v>1419</v>
      </c>
    </row>
    <row r="970" spans="1:11" x14ac:dyDescent="0.25">
      <c r="A970" t="s">
        <v>2396</v>
      </c>
      <c r="B970" s="2">
        <v>45645</v>
      </c>
      <c r="C970" t="s">
        <v>147</v>
      </c>
      <c r="D970" t="s">
        <v>1014</v>
      </c>
      <c r="E970">
        <v>8</v>
      </c>
      <c r="F970">
        <v>15</v>
      </c>
      <c r="G970">
        <v>4.0199999999999996</v>
      </c>
      <c r="H970" t="s">
        <v>1119</v>
      </c>
      <c r="I970" t="s">
        <v>1318</v>
      </c>
      <c r="J970" t="s">
        <v>1414</v>
      </c>
      <c r="K970" t="s">
        <v>1418</v>
      </c>
    </row>
    <row r="971" spans="1:11" x14ac:dyDescent="0.25">
      <c r="A971" t="s">
        <v>2397</v>
      </c>
      <c r="B971" s="2">
        <v>45645</v>
      </c>
      <c r="C971" t="s">
        <v>306</v>
      </c>
      <c r="D971" t="s">
        <v>1012</v>
      </c>
      <c r="E971">
        <v>6</v>
      </c>
      <c r="F971">
        <v>40</v>
      </c>
      <c r="G971">
        <v>8.58</v>
      </c>
      <c r="H971" t="s">
        <v>1018</v>
      </c>
      <c r="I971" t="s">
        <v>1217</v>
      </c>
      <c r="J971" t="s">
        <v>1416</v>
      </c>
      <c r="K971" t="s">
        <v>1423</v>
      </c>
    </row>
    <row r="972" spans="1:11" x14ac:dyDescent="0.25">
      <c r="A972" t="s">
        <v>2398</v>
      </c>
      <c r="B972" s="2">
        <v>45645</v>
      </c>
      <c r="C972" t="s">
        <v>654</v>
      </c>
      <c r="D972" t="s">
        <v>1011</v>
      </c>
      <c r="E972">
        <v>10</v>
      </c>
      <c r="F972">
        <v>12</v>
      </c>
      <c r="G972">
        <v>2.78</v>
      </c>
      <c r="H972" t="s">
        <v>1079</v>
      </c>
      <c r="I972" t="s">
        <v>1278</v>
      </c>
      <c r="J972" t="s">
        <v>1414</v>
      </c>
      <c r="K972" t="s">
        <v>1421</v>
      </c>
    </row>
    <row r="973" spans="1:11" x14ac:dyDescent="0.25">
      <c r="A973" t="s">
        <v>2399</v>
      </c>
      <c r="B973" s="2">
        <v>45646</v>
      </c>
      <c r="C973" t="s">
        <v>641</v>
      </c>
      <c r="D973" t="s">
        <v>1012</v>
      </c>
      <c r="E973">
        <v>5</v>
      </c>
      <c r="G973">
        <v>14.51</v>
      </c>
      <c r="H973" t="s">
        <v>1200</v>
      </c>
      <c r="I973" t="s">
        <v>1399</v>
      </c>
      <c r="J973" t="s">
        <v>1414</v>
      </c>
      <c r="K973" t="s">
        <v>1418</v>
      </c>
    </row>
    <row r="974" spans="1:11" x14ac:dyDescent="0.25">
      <c r="A974" t="s">
        <v>2400</v>
      </c>
      <c r="B974" s="2">
        <v>45646</v>
      </c>
      <c r="C974" t="s">
        <v>866</v>
      </c>
      <c r="D974" t="s">
        <v>1015</v>
      </c>
      <c r="E974">
        <v>9</v>
      </c>
      <c r="F974">
        <v>10</v>
      </c>
      <c r="G974">
        <v>3.78</v>
      </c>
      <c r="H974" t="s">
        <v>1085</v>
      </c>
      <c r="I974" t="s">
        <v>1284</v>
      </c>
      <c r="J974" t="s">
        <v>1417</v>
      </c>
      <c r="K974" t="s">
        <v>1420</v>
      </c>
    </row>
    <row r="975" spans="1:11" x14ac:dyDescent="0.25">
      <c r="A975" t="s">
        <v>2401</v>
      </c>
      <c r="B975" s="2">
        <v>45646</v>
      </c>
      <c r="C975" t="s">
        <v>905</v>
      </c>
      <c r="D975" t="s">
        <v>1013</v>
      </c>
      <c r="E975">
        <v>2</v>
      </c>
      <c r="F975">
        <v>25</v>
      </c>
      <c r="G975">
        <v>9.3000000000000007</v>
      </c>
      <c r="H975" t="s">
        <v>1019</v>
      </c>
      <c r="I975" t="s">
        <v>1218</v>
      </c>
      <c r="J975" t="s">
        <v>1415</v>
      </c>
      <c r="K975" t="s">
        <v>1420</v>
      </c>
    </row>
    <row r="976" spans="1:11" x14ac:dyDescent="0.25">
      <c r="A976" t="s">
        <v>2402</v>
      </c>
      <c r="B976" s="2">
        <v>45647</v>
      </c>
      <c r="C976" t="s">
        <v>75</v>
      </c>
      <c r="D976" t="s">
        <v>1014</v>
      </c>
      <c r="E976">
        <v>9</v>
      </c>
      <c r="F976">
        <v>15</v>
      </c>
      <c r="G976">
        <v>4.68</v>
      </c>
      <c r="H976" t="s">
        <v>1069</v>
      </c>
      <c r="I976" t="s">
        <v>1268</v>
      </c>
      <c r="J976" t="s">
        <v>1415</v>
      </c>
      <c r="K976" t="s">
        <v>1419</v>
      </c>
    </row>
    <row r="977" spans="1:11" x14ac:dyDescent="0.25">
      <c r="A977" t="s">
        <v>2403</v>
      </c>
      <c r="B977" s="2">
        <v>45647</v>
      </c>
      <c r="C977" t="s">
        <v>166</v>
      </c>
      <c r="D977" t="s">
        <v>1012</v>
      </c>
      <c r="E977">
        <v>8</v>
      </c>
      <c r="F977">
        <v>40</v>
      </c>
      <c r="G977">
        <v>15.62</v>
      </c>
      <c r="H977" t="s">
        <v>1126</v>
      </c>
      <c r="I977" t="s">
        <v>1325</v>
      </c>
      <c r="J977" t="s">
        <v>1414</v>
      </c>
      <c r="K977" t="s">
        <v>1422</v>
      </c>
    </row>
    <row r="978" spans="1:11" x14ac:dyDescent="0.25">
      <c r="A978" t="s">
        <v>2404</v>
      </c>
      <c r="B978" s="2">
        <v>45647</v>
      </c>
      <c r="C978" t="s">
        <v>169</v>
      </c>
      <c r="D978" t="s">
        <v>1015</v>
      </c>
      <c r="E978">
        <v>5</v>
      </c>
      <c r="F978">
        <v>10</v>
      </c>
      <c r="G978">
        <v>3.28</v>
      </c>
      <c r="H978" t="s">
        <v>1049</v>
      </c>
      <c r="I978" t="s">
        <v>1248</v>
      </c>
      <c r="J978" t="s">
        <v>1414</v>
      </c>
      <c r="K978" t="s">
        <v>1419</v>
      </c>
    </row>
    <row r="979" spans="1:11" x14ac:dyDescent="0.25">
      <c r="A979" t="s">
        <v>2405</v>
      </c>
      <c r="B979" s="2">
        <v>45647</v>
      </c>
      <c r="C979" t="s">
        <v>805</v>
      </c>
      <c r="D979" t="s">
        <v>1015</v>
      </c>
      <c r="E979">
        <v>3</v>
      </c>
      <c r="F979">
        <v>10</v>
      </c>
      <c r="G979">
        <v>3.25</v>
      </c>
      <c r="H979" t="s">
        <v>1183</v>
      </c>
      <c r="I979" t="s">
        <v>1382</v>
      </c>
      <c r="J979" t="s">
        <v>1414</v>
      </c>
      <c r="K979" t="s">
        <v>1424</v>
      </c>
    </row>
    <row r="980" spans="1:11" x14ac:dyDescent="0.25">
      <c r="A980" t="s">
        <v>2406</v>
      </c>
      <c r="B980" s="2">
        <v>45648</v>
      </c>
      <c r="C980" t="s">
        <v>19</v>
      </c>
      <c r="D980" t="s">
        <v>1014</v>
      </c>
      <c r="E980">
        <v>3</v>
      </c>
      <c r="F980">
        <v>15</v>
      </c>
      <c r="G980">
        <v>3.77</v>
      </c>
      <c r="H980" t="s">
        <v>1024</v>
      </c>
      <c r="I980" t="s">
        <v>1223</v>
      </c>
      <c r="J980" t="s">
        <v>1414</v>
      </c>
      <c r="K980" t="s">
        <v>1423</v>
      </c>
    </row>
    <row r="981" spans="1:11" x14ac:dyDescent="0.25">
      <c r="A981" t="s">
        <v>2407</v>
      </c>
      <c r="B981" s="2">
        <v>45648</v>
      </c>
      <c r="C981" t="s">
        <v>351</v>
      </c>
      <c r="D981" t="s">
        <v>1012</v>
      </c>
      <c r="E981">
        <v>1</v>
      </c>
      <c r="F981">
        <v>40</v>
      </c>
      <c r="G981">
        <v>14.45</v>
      </c>
      <c r="H981" t="s">
        <v>1178</v>
      </c>
      <c r="I981" t="s">
        <v>1377</v>
      </c>
      <c r="J981" t="s">
        <v>1416</v>
      </c>
      <c r="K981" t="s">
        <v>1424</v>
      </c>
    </row>
    <row r="982" spans="1:11" x14ac:dyDescent="0.25">
      <c r="A982" t="s">
        <v>2408</v>
      </c>
      <c r="B982" s="2">
        <v>45648</v>
      </c>
      <c r="C982" t="s">
        <v>568</v>
      </c>
      <c r="D982" t="s">
        <v>1011</v>
      </c>
      <c r="E982">
        <v>8</v>
      </c>
      <c r="F982">
        <v>12</v>
      </c>
      <c r="G982">
        <v>2.61</v>
      </c>
      <c r="H982" t="s">
        <v>1149</v>
      </c>
      <c r="I982" t="s">
        <v>1348</v>
      </c>
      <c r="J982" t="s">
        <v>1414</v>
      </c>
      <c r="K982" t="s">
        <v>1422</v>
      </c>
    </row>
    <row r="983" spans="1:11" x14ac:dyDescent="0.25">
      <c r="A983" t="s">
        <v>2409</v>
      </c>
      <c r="B983" s="2">
        <v>45648</v>
      </c>
      <c r="C983" t="s">
        <v>697</v>
      </c>
      <c r="D983" t="s">
        <v>1014</v>
      </c>
      <c r="E983">
        <v>4</v>
      </c>
      <c r="F983">
        <v>15</v>
      </c>
      <c r="G983">
        <v>4.01</v>
      </c>
      <c r="H983" t="s">
        <v>1126</v>
      </c>
      <c r="I983" t="s">
        <v>1325</v>
      </c>
      <c r="J983" t="s">
        <v>1415</v>
      </c>
      <c r="K983" t="s">
        <v>1420</v>
      </c>
    </row>
    <row r="984" spans="1:11" x14ac:dyDescent="0.25">
      <c r="A984" t="s">
        <v>2410</v>
      </c>
      <c r="B984" s="2">
        <v>45648</v>
      </c>
      <c r="C984" t="s">
        <v>796</v>
      </c>
      <c r="D984" t="s">
        <v>1015</v>
      </c>
      <c r="E984">
        <v>10</v>
      </c>
      <c r="F984">
        <v>10</v>
      </c>
      <c r="G984">
        <v>2.96</v>
      </c>
      <c r="H984" t="s">
        <v>1164</v>
      </c>
      <c r="I984" t="s">
        <v>1363</v>
      </c>
      <c r="J984" t="s">
        <v>1416</v>
      </c>
      <c r="K984" t="s">
        <v>1422</v>
      </c>
    </row>
    <row r="985" spans="1:11" x14ac:dyDescent="0.25">
      <c r="A985" t="s">
        <v>2411</v>
      </c>
      <c r="B985" s="2">
        <v>45648</v>
      </c>
      <c r="C985" t="s">
        <v>864</v>
      </c>
      <c r="D985" t="s">
        <v>1013</v>
      </c>
      <c r="E985">
        <v>2</v>
      </c>
      <c r="F985">
        <v>25</v>
      </c>
      <c r="G985">
        <v>9.57</v>
      </c>
      <c r="H985" t="s">
        <v>1154</v>
      </c>
      <c r="I985" t="s">
        <v>1353</v>
      </c>
      <c r="J985" t="s">
        <v>1416</v>
      </c>
      <c r="K985" t="s">
        <v>1421</v>
      </c>
    </row>
    <row r="986" spans="1:11" x14ac:dyDescent="0.25">
      <c r="A986" t="s">
        <v>2412</v>
      </c>
      <c r="B986" s="2">
        <v>45649</v>
      </c>
      <c r="C986" t="s">
        <v>418</v>
      </c>
      <c r="D986" t="s">
        <v>1014</v>
      </c>
      <c r="E986">
        <v>10</v>
      </c>
      <c r="G986">
        <v>3.45</v>
      </c>
      <c r="H986" t="s">
        <v>1119</v>
      </c>
      <c r="I986" t="s">
        <v>1318</v>
      </c>
      <c r="J986" t="s">
        <v>1414</v>
      </c>
      <c r="K986" t="s">
        <v>1423</v>
      </c>
    </row>
    <row r="987" spans="1:11" x14ac:dyDescent="0.25">
      <c r="A987" t="s">
        <v>2413</v>
      </c>
      <c r="B987" s="2">
        <v>45650</v>
      </c>
      <c r="C987" t="s">
        <v>498</v>
      </c>
      <c r="D987" t="s">
        <v>1014</v>
      </c>
      <c r="E987">
        <v>1</v>
      </c>
      <c r="F987">
        <v>15</v>
      </c>
      <c r="G987">
        <v>3.86</v>
      </c>
      <c r="H987" t="s">
        <v>1156</v>
      </c>
      <c r="I987" t="s">
        <v>1355</v>
      </c>
      <c r="J987" t="s">
        <v>1414</v>
      </c>
      <c r="K987" t="s">
        <v>1425</v>
      </c>
    </row>
    <row r="988" spans="1:11" x14ac:dyDescent="0.25">
      <c r="A988" t="s">
        <v>2414</v>
      </c>
      <c r="B988" s="2">
        <v>45650</v>
      </c>
      <c r="C988" t="s">
        <v>504</v>
      </c>
      <c r="D988" t="s">
        <v>1013</v>
      </c>
      <c r="E988">
        <v>8</v>
      </c>
      <c r="F988">
        <v>25</v>
      </c>
      <c r="G988">
        <v>8.4499999999999993</v>
      </c>
      <c r="H988" t="s">
        <v>1151</v>
      </c>
      <c r="I988" t="s">
        <v>1350</v>
      </c>
      <c r="J988" t="s">
        <v>1414</v>
      </c>
      <c r="K988" t="s">
        <v>1427</v>
      </c>
    </row>
    <row r="989" spans="1:11" x14ac:dyDescent="0.25">
      <c r="A989" t="s">
        <v>2415</v>
      </c>
      <c r="B989" s="2">
        <v>45650</v>
      </c>
      <c r="C989" t="s">
        <v>657</v>
      </c>
      <c r="D989" t="s">
        <v>1014</v>
      </c>
      <c r="E989">
        <v>1</v>
      </c>
      <c r="F989">
        <v>15</v>
      </c>
      <c r="G989">
        <v>5.61</v>
      </c>
      <c r="H989" t="s">
        <v>1025</v>
      </c>
      <c r="I989" t="s">
        <v>1224</v>
      </c>
      <c r="J989" t="s">
        <v>1414</v>
      </c>
      <c r="K989" t="s">
        <v>1421</v>
      </c>
    </row>
    <row r="990" spans="1:11" x14ac:dyDescent="0.25">
      <c r="A990" t="s">
        <v>2416</v>
      </c>
      <c r="B990" s="2">
        <v>45650</v>
      </c>
      <c r="C990" t="s">
        <v>887</v>
      </c>
      <c r="D990" t="s">
        <v>1011</v>
      </c>
      <c r="E990">
        <v>7</v>
      </c>
      <c r="F990">
        <v>12</v>
      </c>
      <c r="G990">
        <v>3.23</v>
      </c>
      <c r="H990" t="s">
        <v>1098</v>
      </c>
      <c r="I990" t="s">
        <v>1297</v>
      </c>
      <c r="J990" t="s">
        <v>1414</v>
      </c>
      <c r="K990" t="s">
        <v>1424</v>
      </c>
    </row>
    <row r="991" spans="1:11" x14ac:dyDescent="0.25">
      <c r="A991" t="s">
        <v>2417</v>
      </c>
      <c r="B991" s="2">
        <v>45651</v>
      </c>
      <c r="C991" t="s">
        <v>145</v>
      </c>
      <c r="D991" t="s">
        <v>1012</v>
      </c>
      <c r="E991">
        <v>8</v>
      </c>
      <c r="F991">
        <v>40</v>
      </c>
      <c r="G991">
        <v>12.11</v>
      </c>
      <c r="H991" t="s">
        <v>1117</v>
      </c>
      <c r="I991" t="s">
        <v>1316</v>
      </c>
      <c r="J991" t="s">
        <v>1414</v>
      </c>
      <c r="K991" t="s">
        <v>1426</v>
      </c>
    </row>
    <row r="992" spans="1:11" x14ac:dyDescent="0.25">
      <c r="A992" t="s">
        <v>2418</v>
      </c>
      <c r="B992" s="2">
        <v>45651</v>
      </c>
      <c r="C992" t="s">
        <v>453</v>
      </c>
      <c r="D992" t="s">
        <v>1013</v>
      </c>
      <c r="E992">
        <v>10</v>
      </c>
      <c r="F992">
        <v>25</v>
      </c>
      <c r="G992">
        <v>5.58</v>
      </c>
      <c r="H992" t="s">
        <v>1195</v>
      </c>
      <c r="I992" t="s">
        <v>1394</v>
      </c>
      <c r="J992" t="s">
        <v>1414</v>
      </c>
      <c r="K992" t="s">
        <v>1420</v>
      </c>
    </row>
    <row r="993" spans="1:11" x14ac:dyDescent="0.25">
      <c r="A993" t="s">
        <v>2419</v>
      </c>
      <c r="B993" s="2">
        <v>45651</v>
      </c>
      <c r="C993" t="s">
        <v>551</v>
      </c>
      <c r="D993" t="s">
        <v>1012</v>
      </c>
      <c r="E993">
        <v>7</v>
      </c>
      <c r="F993">
        <v>40</v>
      </c>
      <c r="G993">
        <v>8.07</v>
      </c>
      <c r="H993" t="s">
        <v>1067</v>
      </c>
      <c r="I993" t="s">
        <v>1266</v>
      </c>
      <c r="J993" t="s">
        <v>1414</v>
      </c>
      <c r="K993" t="s">
        <v>1424</v>
      </c>
    </row>
    <row r="994" spans="1:11" x14ac:dyDescent="0.25">
      <c r="A994" t="s">
        <v>2420</v>
      </c>
      <c r="B994" s="2">
        <v>45652</v>
      </c>
      <c r="C994" t="s">
        <v>824</v>
      </c>
      <c r="D994" t="s">
        <v>1013</v>
      </c>
      <c r="E994">
        <v>1</v>
      </c>
      <c r="F994">
        <v>25</v>
      </c>
      <c r="G994">
        <v>7.33</v>
      </c>
      <c r="H994" t="s">
        <v>1146</v>
      </c>
      <c r="I994" t="s">
        <v>1345</v>
      </c>
      <c r="J994" t="s">
        <v>1416</v>
      </c>
      <c r="K994" t="s">
        <v>1423</v>
      </c>
    </row>
    <row r="995" spans="1:11" x14ac:dyDescent="0.25">
      <c r="A995" t="s">
        <v>2421</v>
      </c>
      <c r="B995" s="2">
        <v>45653</v>
      </c>
      <c r="C995" t="s">
        <v>430</v>
      </c>
      <c r="D995" t="s">
        <v>1011</v>
      </c>
      <c r="E995">
        <v>5</v>
      </c>
      <c r="F995">
        <v>12</v>
      </c>
      <c r="G995">
        <v>4.26</v>
      </c>
      <c r="H995" t="s">
        <v>1124</v>
      </c>
      <c r="I995" t="s">
        <v>1323</v>
      </c>
      <c r="J995" t="s">
        <v>1414</v>
      </c>
      <c r="K995" t="s">
        <v>1418</v>
      </c>
    </row>
    <row r="996" spans="1:11" x14ac:dyDescent="0.25">
      <c r="A996" t="s">
        <v>2422</v>
      </c>
      <c r="B996" s="2">
        <v>45653</v>
      </c>
      <c r="C996" t="s">
        <v>595</v>
      </c>
      <c r="D996" t="s">
        <v>1014</v>
      </c>
      <c r="E996">
        <v>8</v>
      </c>
      <c r="F996">
        <v>15</v>
      </c>
      <c r="G996">
        <v>3.68</v>
      </c>
      <c r="H996" t="s">
        <v>1195</v>
      </c>
      <c r="I996" t="s">
        <v>1394</v>
      </c>
      <c r="J996" t="s">
        <v>1414</v>
      </c>
      <c r="K996" t="s">
        <v>1418</v>
      </c>
    </row>
    <row r="997" spans="1:11" x14ac:dyDescent="0.25">
      <c r="A997" t="s">
        <v>2423</v>
      </c>
      <c r="B997" s="2">
        <v>45654</v>
      </c>
      <c r="C997" t="s">
        <v>505</v>
      </c>
      <c r="D997" t="s">
        <v>1014</v>
      </c>
      <c r="E997">
        <v>1</v>
      </c>
      <c r="F997">
        <v>15</v>
      </c>
      <c r="G997">
        <v>3.83</v>
      </c>
      <c r="H997" t="s">
        <v>1055</v>
      </c>
      <c r="I997" t="s">
        <v>1254</v>
      </c>
      <c r="J997" t="s">
        <v>1417</v>
      </c>
      <c r="K997" t="s">
        <v>1419</v>
      </c>
    </row>
    <row r="998" spans="1:11" x14ac:dyDescent="0.25">
      <c r="A998" t="s">
        <v>2424</v>
      </c>
      <c r="B998" s="2">
        <v>45654</v>
      </c>
      <c r="C998" t="s">
        <v>550</v>
      </c>
      <c r="D998" t="s">
        <v>1014</v>
      </c>
      <c r="E998">
        <v>3</v>
      </c>
      <c r="F998">
        <v>15</v>
      </c>
      <c r="G998">
        <v>3.05</v>
      </c>
      <c r="H998" t="s">
        <v>1120</v>
      </c>
      <c r="I998" t="s">
        <v>1319</v>
      </c>
      <c r="J998" t="s">
        <v>1414</v>
      </c>
      <c r="K998" t="s">
        <v>1424</v>
      </c>
    </row>
    <row r="999" spans="1:11" x14ac:dyDescent="0.25">
      <c r="A999" t="s">
        <v>2425</v>
      </c>
      <c r="B999" s="2">
        <v>45655</v>
      </c>
      <c r="C999" t="s">
        <v>121</v>
      </c>
      <c r="D999" t="s">
        <v>1015</v>
      </c>
      <c r="E999">
        <v>1</v>
      </c>
      <c r="F999">
        <v>10</v>
      </c>
      <c r="G999">
        <v>3.56</v>
      </c>
      <c r="H999" t="s">
        <v>1101</v>
      </c>
      <c r="I999" t="s">
        <v>1300</v>
      </c>
      <c r="J999" t="s">
        <v>1416</v>
      </c>
      <c r="K999" t="s">
        <v>1419</v>
      </c>
    </row>
    <row r="1000" spans="1:11" x14ac:dyDescent="0.25">
      <c r="A1000" t="s">
        <v>2426</v>
      </c>
      <c r="B1000" s="2">
        <v>45656</v>
      </c>
      <c r="C1000" t="s">
        <v>671</v>
      </c>
      <c r="D1000" t="s">
        <v>1012</v>
      </c>
      <c r="E1000">
        <v>3</v>
      </c>
      <c r="F1000">
        <v>40</v>
      </c>
      <c r="G1000">
        <v>13.05</v>
      </c>
      <c r="H1000" t="s">
        <v>1150</v>
      </c>
      <c r="I1000" t="s">
        <v>1349</v>
      </c>
      <c r="J1000" t="s">
        <v>1414</v>
      </c>
      <c r="K1000" t="s">
        <v>1421</v>
      </c>
    </row>
    <row r="1001" spans="1:11" x14ac:dyDescent="0.25">
      <c r="A1001" t="s">
        <v>2427</v>
      </c>
      <c r="B1001" s="2">
        <v>45656</v>
      </c>
      <c r="C1001" t="s">
        <v>907</v>
      </c>
      <c r="D1001" t="s">
        <v>1014</v>
      </c>
      <c r="E1001">
        <v>6</v>
      </c>
      <c r="F1001">
        <v>15</v>
      </c>
      <c r="G1001">
        <v>5.15</v>
      </c>
      <c r="H1001" t="s">
        <v>1212</v>
      </c>
      <c r="I1001" t="s">
        <v>1411</v>
      </c>
      <c r="J1001" t="s">
        <v>1414</v>
      </c>
      <c r="K1001" t="s">
        <v>1424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D1" zoomScaleNormal="70" workbookViewId="0">
      <selection activeCell="Q8" sqref="Q8"/>
    </sheetView>
  </sheetViews>
  <sheetFormatPr defaultRowHeight="15" x14ac:dyDescent="0.25"/>
  <cols>
    <col min="1" max="1" width="10" customWidth="1"/>
    <col min="2" max="4" width="12.140625" style="5" customWidth="1"/>
    <col min="5" max="5" width="28.85546875" bestFit="1" customWidth="1"/>
    <col min="6" max="6" width="17.42578125" style="7" customWidth="1"/>
    <col min="7" max="7" width="14.140625" style="9" customWidth="1"/>
    <col min="8" max="8" width="13.42578125" style="11" bestFit="1" customWidth="1"/>
    <col min="9" max="9" width="13" style="13" customWidth="1"/>
    <col min="10" max="10" width="15" customWidth="1"/>
    <col min="11" max="11" width="17.85546875" bestFit="1" customWidth="1"/>
    <col min="12" max="12" width="16.5703125" style="7" customWidth="1"/>
    <col min="13" max="13" width="13.140625" style="7" bestFit="1" customWidth="1"/>
    <col min="14" max="14" width="26.42578125" style="13" customWidth="1"/>
    <col min="15" max="15" width="26.28515625" customWidth="1"/>
    <col min="16" max="16" width="20.85546875" customWidth="1"/>
    <col min="17" max="17" width="20" bestFit="1" customWidth="1"/>
  </cols>
  <sheetData>
    <row r="1" spans="1:17" x14ac:dyDescent="0.25">
      <c r="A1" s="3" t="s">
        <v>0</v>
      </c>
      <c r="B1" s="4" t="s">
        <v>1</v>
      </c>
      <c r="C1" s="4" t="s">
        <v>2438</v>
      </c>
      <c r="D1" s="4" t="s">
        <v>2439</v>
      </c>
      <c r="E1" s="3" t="s">
        <v>2</v>
      </c>
      <c r="F1" s="6" t="s">
        <v>3</v>
      </c>
      <c r="G1" s="8" t="s">
        <v>4</v>
      </c>
      <c r="H1" s="10" t="s">
        <v>5</v>
      </c>
      <c r="I1" s="12" t="s">
        <v>6</v>
      </c>
      <c r="J1" s="3" t="s">
        <v>7</v>
      </c>
      <c r="K1" s="3" t="s">
        <v>8</v>
      </c>
      <c r="L1" s="6" t="s">
        <v>9</v>
      </c>
      <c r="M1" s="6" t="s">
        <v>10</v>
      </c>
      <c r="N1" s="12" t="s">
        <v>2436</v>
      </c>
      <c r="O1" s="3" t="s">
        <v>2437</v>
      </c>
      <c r="P1" s="3" t="s">
        <v>2434</v>
      </c>
      <c r="Q1" s="3" t="s">
        <v>2597</v>
      </c>
    </row>
    <row r="2" spans="1:17" x14ac:dyDescent="0.25">
      <c r="A2" t="s">
        <v>1428</v>
      </c>
      <c r="B2" s="5">
        <v>45292</v>
      </c>
      <c r="C2" s="5" t="str">
        <f>TEXT(Greenleaf[[#This Row],[Order Date]],"MMM")</f>
        <v>Jan</v>
      </c>
      <c r="D2" s="5" t="str">
        <f>TEXT(Greenleaf[[#This Row],[Order Date]],"YYYY")</f>
        <v>2024</v>
      </c>
      <c r="E2" t="s">
        <v>2460</v>
      </c>
      <c r="F2" s="7" t="s">
        <v>1015</v>
      </c>
      <c r="G2" s="9">
        <v>10</v>
      </c>
      <c r="H2" s="11">
        <v>10</v>
      </c>
      <c r="I2" s="13">
        <v>3.42</v>
      </c>
      <c r="J2" t="s">
        <v>1029</v>
      </c>
      <c r="K2" t="s">
        <v>2470</v>
      </c>
      <c r="L2" s="7" t="s">
        <v>1416</v>
      </c>
      <c r="M2" s="7" t="s">
        <v>1418</v>
      </c>
      <c r="N2" s="14">
        <f>Greenleaf[[#This Row],[Unit Price]]*Greenleaf[[#This Row],[Quantity Sold]]</f>
        <v>100</v>
      </c>
      <c r="O2" s="13">
        <f>Greenleaf[[#This Row],[Unit Cost]]*Greenleaf[[#This Row],[Quantity Sold]]</f>
        <v>34.200000000000003</v>
      </c>
      <c r="P2" s="13">
        <f>Greenleaf[[#This Row],[ Unit  price per quantity]]-Greenleaf[[#This Row],[ Unit cost per quantity]]</f>
        <v>65.8</v>
      </c>
      <c r="Q2" s="14">
        <f>Greenleaf[[#This Row],[Quantity Sold]]*Greenleaf[[#This Row],[Unit Price]]</f>
        <v>100</v>
      </c>
    </row>
    <row r="3" spans="1:17" x14ac:dyDescent="0.25">
      <c r="A3" t="s">
        <v>1429</v>
      </c>
      <c r="B3" s="5">
        <v>45292</v>
      </c>
      <c r="C3" s="5" t="str">
        <f>TEXT(Greenleaf[[#This Row],[Order Date]],"MMM")</f>
        <v>Jan</v>
      </c>
      <c r="D3" s="5" t="str">
        <f>TEXT(Greenleaf[[#This Row],[Order Date]],"YYYY")</f>
        <v>2024</v>
      </c>
      <c r="E3" t="s">
        <v>2462</v>
      </c>
      <c r="F3" s="7" t="s">
        <v>1013</v>
      </c>
      <c r="G3" s="9">
        <v>6</v>
      </c>
      <c r="H3" s="11">
        <v>25</v>
      </c>
      <c r="I3" s="13">
        <v>5.08</v>
      </c>
      <c r="J3" t="s">
        <v>1025</v>
      </c>
      <c r="K3" t="s">
        <v>2471</v>
      </c>
      <c r="L3" s="7" t="s">
        <v>1414</v>
      </c>
      <c r="M3" s="7" t="s">
        <v>1420</v>
      </c>
      <c r="N3" s="14">
        <f>Greenleaf[[#This Row],[Unit Price]]*Greenleaf[[#This Row],[Quantity Sold]]</f>
        <v>150</v>
      </c>
      <c r="O3" s="13">
        <f>Greenleaf[[#This Row],[Unit Cost]]*Greenleaf[[#This Row],[Quantity Sold]]</f>
        <v>30.48</v>
      </c>
      <c r="P3" s="13">
        <f>Greenleaf[[#This Row],[ Unit  price per quantity]]-Greenleaf[[#This Row],[ Unit cost per quantity]]</f>
        <v>119.52</v>
      </c>
      <c r="Q3" s="14">
        <f>Greenleaf[[#This Row],[Quantity Sold]]*Greenleaf[[#This Row],[Unit Price]]</f>
        <v>150</v>
      </c>
    </row>
    <row r="4" spans="1:17" x14ac:dyDescent="0.25">
      <c r="A4" t="s">
        <v>1430</v>
      </c>
      <c r="B4" s="5">
        <v>45293</v>
      </c>
      <c r="C4" s="5" t="str">
        <f>TEXT(Greenleaf[[#This Row],[Order Date]],"MMM")</f>
        <v>Jan</v>
      </c>
      <c r="D4" s="5" t="str">
        <f>TEXT(Greenleaf[[#This Row],[Order Date]],"YYYY")</f>
        <v>2024</v>
      </c>
      <c r="E4" t="s">
        <v>2464</v>
      </c>
      <c r="F4" s="7" t="s">
        <v>1012</v>
      </c>
      <c r="G4" s="9">
        <v>7</v>
      </c>
      <c r="H4" s="11">
        <v>40</v>
      </c>
      <c r="I4" s="13">
        <v>12.35</v>
      </c>
      <c r="J4" t="s">
        <v>1039</v>
      </c>
      <c r="K4" t="s">
        <v>2472</v>
      </c>
      <c r="L4" s="7" t="s">
        <v>1416</v>
      </c>
      <c r="M4" s="7" t="s">
        <v>1423</v>
      </c>
      <c r="N4" s="14">
        <f>Greenleaf[[#This Row],[Unit Price]]*Greenleaf[[#This Row],[Quantity Sold]]</f>
        <v>280</v>
      </c>
      <c r="O4" s="13">
        <f>Greenleaf[[#This Row],[Unit Cost]]*Greenleaf[[#This Row],[Quantity Sold]]</f>
        <v>86.45</v>
      </c>
      <c r="P4" s="13">
        <f>Greenleaf[[#This Row],[ Unit  price per quantity]]-Greenleaf[[#This Row],[ Unit cost per quantity]]</f>
        <v>193.55</v>
      </c>
      <c r="Q4" s="14">
        <f>Greenleaf[[#This Row],[Quantity Sold]]*Greenleaf[[#This Row],[Unit Price]]</f>
        <v>280</v>
      </c>
    </row>
    <row r="5" spans="1:17" x14ac:dyDescent="0.25">
      <c r="A5" t="s">
        <v>1431</v>
      </c>
      <c r="B5" s="5">
        <v>45293</v>
      </c>
      <c r="C5" s="5" t="str">
        <f>TEXT(Greenleaf[[#This Row],[Order Date]],"MMM")</f>
        <v>Jan</v>
      </c>
      <c r="D5" s="5" t="str">
        <f>TEXT(Greenleaf[[#This Row],[Order Date]],"YYYY")</f>
        <v>2024</v>
      </c>
      <c r="E5" t="s">
        <v>2460</v>
      </c>
      <c r="F5" s="7" t="s">
        <v>1015</v>
      </c>
      <c r="G5" s="9">
        <v>5</v>
      </c>
      <c r="H5" s="11">
        <v>10</v>
      </c>
      <c r="I5" s="13">
        <v>3.55</v>
      </c>
      <c r="J5" t="s">
        <v>1034</v>
      </c>
      <c r="K5" t="s">
        <v>2473</v>
      </c>
      <c r="L5" s="7" t="s">
        <v>1414</v>
      </c>
      <c r="M5" s="7" t="s">
        <v>1419</v>
      </c>
      <c r="N5" s="14">
        <f>Greenleaf[[#This Row],[Unit Price]]*Greenleaf[[#This Row],[Quantity Sold]]</f>
        <v>50</v>
      </c>
      <c r="O5" s="15">
        <f>Greenleaf[[#This Row],[Unit Cost]]*Greenleaf[[#This Row],[Quantity Sold]]</f>
        <v>17.75</v>
      </c>
      <c r="P5" s="16">
        <f>Greenleaf[[#This Row],[ Unit  price per quantity]]-Greenleaf[[#This Row],[ Unit cost per quantity]]</f>
        <v>32.25</v>
      </c>
      <c r="Q5" s="14">
        <f>Greenleaf[[#This Row],[Quantity Sold]]*Greenleaf[[#This Row],[Unit Price]]</f>
        <v>50</v>
      </c>
    </row>
    <row r="6" spans="1:17" x14ac:dyDescent="0.25">
      <c r="A6" t="s">
        <v>1432</v>
      </c>
      <c r="B6" s="5">
        <v>45293</v>
      </c>
      <c r="C6" s="5" t="str">
        <f>TEXT(Greenleaf[[#This Row],[Order Date]],"MMM")</f>
        <v>Jan</v>
      </c>
      <c r="D6" s="5" t="str">
        <f>TEXT(Greenleaf[[#This Row],[Order Date]],"YYYY")</f>
        <v>2024</v>
      </c>
      <c r="E6" t="s">
        <v>2460</v>
      </c>
      <c r="F6" s="7" t="s">
        <v>1015</v>
      </c>
      <c r="G6" s="9">
        <v>2</v>
      </c>
      <c r="H6" s="11">
        <v>10</v>
      </c>
      <c r="I6" s="13">
        <v>3.27</v>
      </c>
      <c r="J6" t="s">
        <v>1043</v>
      </c>
      <c r="K6" t="s">
        <v>2474</v>
      </c>
      <c r="L6" s="7" t="s">
        <v>1417</v>
      </c>
      <c r="M6" s="7" t="s">
        <v>1422</v>
      </c>
      <c r="N6" s="14">
        <f>Greenleaf[[#This Row],[Unit Price]]*Greenleaf[[#This Row],[Quantity Sold]]</f>
        <v>20</v>
      </c>
      <c r="O6" s="15">
        <f>Greenleaf[[#This Row],[Unit Cost]]*Greenleaf[[#This Row],[Quantity Sold]]</f>
        <v>6.54</v>
      </c>
      <c r="P6" s="16">
        <f>Greenleaf[[#This Row],[ Unit  price per quantity]]-Greenleaf[[#This Row],[ Unit cost per quantity]]</f>
        <v>13.46</v>
      </c>
      <c r="Q6" s="14">
        <f>Greenleaf[[#This Row],[Quantity Sold]]*Greenleaf[[#This Row],[Unit Price]]</f>
        <v>20</v>
      </c>
    </row>
    <row r="7" spans="1:17" x14ac:dyDescent="0.25">
      <c r="A7" t="s">
        <v>1433</v>
      </c>
      <c r="B7" s="5">
        <v>45293</v>
      </c>
      <c r="C7" s="5" t="str">
        <f>TEXT(Greenleaf[[#This Row],[Order Date]],"MMM")</f>
        <v>Jan</v>
      </c>
      <c r="D7" s="5" t="str">
        <f>TEXT(Greenleaf[[#This Row],[Order Date]],"YYYY")</f>
        <v>2024</v>
      </c>
      <c r="E7" t="s">
        <v>2464</v>
      </c>
      <c r="F7" s="7" t="s">
        <v>1012</v>
      </c>
      <c r="G7" s="9">
        <v>8</v>
      </c>
      <c r="H7" s="11">
        <v>40</v>
      </c>
      <c r="I7" s="13">
        <v>14.7</v>
      </c>
      <c r="J7" t="s">
        <v>1067</v>
      </c>
      <c r="K7" t="s">
        <v>2475</v>
      </c>
      <c r="L7" s="7" t="s">
        <v>1415</v>
      </c>
      <c r="M7" s="7" t="s">
        <v>1423</v>
      </c>
      <c r="N7" s="14">
        <f>Greenleaf[[#This Row],[Unit Price]]*Greenleaf[[#This Row],[Quantity Sold]]</f>
        <v>320</v>
      </c>
      <c r="O7" s="15">
        <f>Greenleaf[[#This Row],[Unit Cost]]*Greenleaf[[#This Row],[Quantity Sold]]</f>
        <v>117.6</v>
      </c>
      <c r="P7" s="16">
        <f>Greenleaf[[#This Row],[ Unit  price per quantity]]-Greenleaf[[#This Row],[ Unit cost per quantity]]</f>
        <v>202.4</v>
      </c>
      <c r="Q7" s="14">
        <f>Greenleaf[[#This Row],[Quantity Sold]]*Greenleaf[[#This Row],[Unit Price]]</f>
        <v>320</v>
      </c>
    </row>
    <row r="8" spans="1:17" x14ac:dyDescent="0.25">
      <c r="A8" t="s">
        <v>1434</v>
      </c>
      <c r="B8" s="5">
        <v>45293</v>
      </c>
      <c r="C8" s="5" t="str">
        <f>TEXT(Greenleaf[[#This Row],[Order Date]],"MMM")</f>
        <v>Jan</v>
      </c>
      <c r="D8" s="5" t="str">
        <f>TEXT(Greenleaf[[#This Row],[Order Date]],"YYYY")</f>
        <v>2024</v>
      </c>
      <c r="E8" t="s">
        <v>2463</v>
      </c>
      <c r="F8" s="7" t="s">
        <v>1014</v>
      </c>
      <c r="G8" s="9">
        <v>10</v>
      </c>
      <c r="H8" s="11">
        <v>15</v>
      </c>
      <c r="I8" s="13">
        <v>5.5</v>
      </c>
      <c r="J8" t="s">
        <v>1047</v>
      </c>
      <c r="K8" t="s">
        <v>2476</v>
      </c>
      <c r="L8" s="7" t="s">
        <v>1414</v>
      </c>
      <c r="M8" s="7" t="s">
        <v>1423</v>
      </c>
      <c r="N8" s="14">
        <f>Greenleaf[[#This Row],[Unit Price]]*Greenleaf[[#This Row],[Quantity Sold]]</f>
        <v>150</v>
      </c>
      <c r="O8" s="15">
        <f>Greenleaf[[#This Row],[Unit Cost]]*Greenleaf[[#This Row],[Quantity Sold]]</f>
        <v>55</v>
      </c>
      <c r="P8" s="16">
        <f>Greenleaf[[#This Row],[ Unit  price per quantity]]-Greenleaf[[#This Row],[ Unit cost per quantity]]</f>
        <v>95</v>
      </c>
      <c r="Q8" s="14">
        <f>Greenleaf[[#This Row],[Quantity Sold]]*Greenleaf[[#This Row],[Unit Price]]</f>
        <v>150</v>
      </c>
    </row>
    <row r="9" spans="1:17" x14ac:dyDescent="0.25">
      <c r="A9" t="s">
        <v>1435</v>
      </c>
      <c r="B9" s="5">
        <v>45293</v>
      </c>
      <c r="C9" s="5" t="str">
        <f>TEXT(Greenleaf[[#This Row],[Order Date]],"MMM")</f>
        <v>Jan</v>
      </c>
      <c r="D9" s="5" t="str">
        <f>TEXT(Greenleaf[[#This Row],[Order Date]],"YYYY")</f>
        <v>2024</v>
      </c>
      <c r="E9" t="s">
        <v>2464</v>
      </c>
      <c r="F9" s="7" t="s">
        <v>1012</v>
      </c>
      <c r="G9" s="9">
        <v>6</v>
      </c>
      <c r="H9" s="11">
        <v>40</v>
      </c>
      <c r="I9" s="13">
        <v>8.8000000000000007</v>
      </c>
      <c r="J9" t="s">
        <v>1134</v>
      </c>
      <c r="K9" t="s">
        <v>2477</v>
      </c>
      <c r="L9" s="7" t="s">
        <v>1414</v>
      </c>
      <c r="M9" s="7" t="s">
        <v>1424</v>
      </c>
      <c r="N9" s="14">
        <f>Greenleaf[[#This Row],[Unit Price]]*Greenleaf[[#This Row],[Quantity Sold]]</f>
        <v>240</v>
      </c>
      <c r="O9" s="15">
        <f>Greenleaf[[#This Row],[Unit Cost]]*Greenleaf[[#This Row],[Quantity Sold]]</f>
        <v>52.800000000000004</v>
      </c>
      <c r="P9" s="16">
        <f>Greenleaf[[#This Row],[ Unit  price per quantity]]-Greenleaf[[#This Row],[ Unit cost per quantity]]</f>
        <v>187.2</v>
      </c>
      <c r="Q9" s="14">
        <f>Greenleaf[[#This Row],[Quantity Sold]]*Greenleaf[[#This Row],[Unit Price]]</f>
        <v>240</v>
      </c>
    </row>
    <row r="10" spans="1:17" x14ac:dyDescent="0.25">
      <c r="A10" t="s">
        <v>1436</v>
      </c>
      <c r="B10" s="5">
        <v>45293</v>
      </c>
      <c r="C10" s="5" t="str">
        <f>TEXT(Greenleaf[[#This Row],[Order Date]],"MMM")</f>
        <v>Jan</v>
      </c>
      <c r="D10" s="5" t="str">
        <f>TEXT(Greenleaf[[#This Row],[Order Date]],"YYYY")</f>
        <v>2024</v>
      </c>
      <c r="E10" t="s">
        <v>2462</v>
      </c>
      <c r="F10" s="7" t="s">
        <v>1013</v>
      </c>
      <c r="G10" s="9">
        <v>1</v>
      </c>
      <c r="H10" s="11">
        <v>25</v>
      </c>
      <c r="I10" s="13">
        <v>9.01</v>
      </c>
      <c r="J10" t="s">
        <v>1021</v>
      </c>
      <c r="K10" t="s">
        <v>2473</v>
      </c>
      <c r="L10" s="7" t="s">
        <v>1414</v>
      </c>
      <c r="M10" s="7" t="s">
        <v>1425</v>
      </c>
      <c r="N10" s="14">
        <f>Greenleaf[[#This Row],[Unit Price]]*Greenleaf[[#This Row],[Quantity Sold]]</f>
        <v>25</v>
      </c>
      <c r="O10" s="15">
        <f>Greenleaf[[#This Row],[Unit Cost]]*Greenleaf[[#This Row],[Quantity Sold]]</f>
        <v>9.01</v>
      </c>
      <c r="P10" s="16">
        <f>Greenleaf[[#This Row],[ Unit  price per quantity]]-Greenleaf[[#This Row],[ Unit cost per quantity]]</f>
        <v>15.99</v>
      </c>
      <c r="Q10" s="14">
        <f>Greenleaf[[#This Row],[Quantity Sold]]*Greenleaf[[#This Row],[Unit Price]]</f>
        <v>25</v>
      </c>
    </row>
    <row r="11" spans="1:17" x14ac:dyDescent="0.25">
      <c r="A11" t="s">
        <v>1437</v>
      </c>
      <c r="B11" s="5">
        <v>45294</v>
      </c>
      <c r="C11" s="5" t="str">
        <f>TEXT(Greenleaf[[#This Row],[Order Date]],"MMM")</f>
        <v>Jan</v>
      </c>
      <c r="D11" s="5" t="str">
        <f>TEXT(Greenleaf[[#This Row],[Order Date]],"YYYY")</f>
        <v>2024</v>
      </c>
      <c r="E11" t="s">
        <v>2460</v>
      </c>
      <c r="F11" s="7" t="s">
        <v>1015</v>
      </c>
      <c r="G11" s="9">
        <v>2</v>
      </c>
      <c r="H11" s="11">
        <v>10</v>
      </c>
      <c r="I11" s="13">
        <v>2.89</v>
      </c>
      <c r="J11" t="s">
        <v>1016</v>
      </c>
      <c r="K11" t="s">
        <v>2478</v>
      </c>
      <c r="L11" s="7" t="s">
        <v>1414</v>
      </c>
      <c r="M11" s="7" t="s">
        <v>1420</v>
      </c>
      <c r="N11" s="14">
        <f>Greenleaf[[#This Row],[Unit Price]]*Greenleaf[[#This Row],[Quantity Sold]]</f>
        <v>20</v>
      </c>
      <c r="O11" s="15">
        <f>Greenleaf[[#This Row],[Unit Cost]]*Greenleaf[[#This Row],[Quantity Sold]]</f>
        <v>5.78</v>
      </c>
      <c r="P11" s="13">
        <f>Greenleaf[[#This Row],[ Unit  price per quantity]]-Greenleaf[[#This Row],[ Unit cost per quantity]]</f>
        <v>14.219999999999999</v>
      </c>
      <c r="Q11" s="14">
        <f>Greenleaf[[#This Row],[Quantity Sold]]*Greenleaf[[#This Row],[Unit Price]]</f>
        <v>20</v>
      </c>
    </row>
    <row r="12" spans="1:17" x14ac:dyDescent="0.25">
      <c r="A12" t="s">
        <v>1438</v>
      </c>
      <c r="B12" s="5">
        <v>45294</v>
      </c>
      <c r="C12" s="5" t="str">
        <f>TEXT(Greenleaf[[#This Row],[Order Date]],"MMM")</f>
        <v>Jan</v>
      </c>
      <c r="D12" s="5" t="str">
        <f>TEXT(Greenleaf[[#This Row],[Order Date]],"YYYY")</f>
        <v>2024</v>
      </c>
      <c r="E12" t="s">
        <v>2464</v>
      </c>
      <c r="F12" s="7" t="s">
        <v>1012</v>
      </c>
      <c r="G12" s="9">
        <v>8</v>
      </c>
      <c r="H12" s="11">
        <v>40</v>
      </c>
      <c r="I12" s="13">
        <v>9.99</v>
      </c>
      <c r="J12" t="s">
        <v>1156</v>
      </c>
      <c r="K12" t="s">
        <v>2470</v>
      </c>
      <c r="L12" s="7" t="s">
        <v>1414</v>
      </c>
      <c r="M12" s="7" t="s">
        <v>1422</v>
      </c>
      <c r="N12" s="14">
        <f>Greenleaf[[#This Row],[Unit Price]]*Greenleaf[[#This Row],[Quantity Sold]]</f>
        <v>320</v>
      </c>
      <c r="O12" s="13">
        <f>Greenleaf[[#This Row],[Unit Cost]]*Greenleaf[[#This Row],[Quantity Sold]]</f>
        <v>79.92</v>
      </c>
      <c r="P12" s="13">
        <f>Greenleaf[[#This Row],[ Unit  price per quantity]]-Greenleaf[[#This Row],[ Unit cost per quantity]]</f>
        <v>240.07999999999998</v>
      </c>
      <c r="Q12" s="14">
        <f>Greenleaf[[#This Row],[Quantity Sold]]*Greenleaf[[#This Row],[Unit Price]]</f>
        <v>320</v>
      </c>
    </row>
    <row r="13" spans="1:17" x14ac:dyDescent="0.25">
      <c r="A13" t="s">
        <v>1439</v>
      </c>
      <c r="B13" s="5">
        <v>45294</v>
      </c>
      <c r="C13" s="5" t="str">
        <f>TEXT(Greenleaf[[#This Row],[Order Date]],"MMM")</f>
        <v>Jan</v>
      </c>
      <c r="D13" s="5" t="str">
        <f>TEXT(Greenleaf[[#This Row],[Order Date]],"YYYY")</f>
        <v>2024</v>
      </c>
      <c r="E13" t="s">
        <v>2461</v>
      </c>
      <c r="F13" s="7" t="s">
        <v>1011</v>
      </c>
      <c r="G13" s="9">
        <v>3</v>
      </c>
      <c r="H13" s="11">
        <v>12</v>
      </c>
      <c r="I13" s="13">
        <v>2.88</v>
      </c>
      <c r="J13" t="s">
        <v>1139</v>
      </c>
      <c r="K13" t="s">
        <v>2479</v>
      </c>
      <c r="L13" s="7" t="s">
        <v>1414</v>
      </c>
      <c r="M13" s="7" t="s">
        <v>1421</v>
      </c>
      <c r="N13" s="14">
        <f>Greenleaf[[#This Row],[Unit Price]]*Greenleaf[[#This Row],[Quantity Sold]]</f>
        <v>36</v>
      </c>
      <c r="O13" s="13">
        <f>Greenleaf[[#This Row],[Unit Cost]]*Greenleaf[[#This Row],[Quantity Sold]]</f>
        <v>8.64</v>
      </c>
      <c r="P13" s="13">
        <f>Greenleaf[[#This Row],[ Unit  price per quantity]]-Greenleaf[[#This Row],[ Unit cost per quantity]]</f>
        <v>27.36</v>
      </c>
      <c r="Q13" s="14">
        <f>Greenleaf[[#This Row],[Quantity Sold]]*Greenleaf[[#This Row],[Unit Price]]</f>
        <v>36</v>
      </c>
    </row>
    <row r="14" spans="1:17" x14ac:dyDescent="0.25">
      <c r="A14" t="s">
        <v>1440</v>
      </c>
      <c r="B14" s="5">
        <v>45294</v>
      </c>
      <c r="C14" s="5" t="str">
        <f>TEXT(Greenleaf[[#This Row],[Order Date]],"MMM")</f>
        <v>Jan</v>
      </c>
      <c r="D14" s="5" t="str">
        <f>TEXT(Greenleaf[[#This Row],[Order Date]],"YYYY")</f>
        <v>2024</v>
      </c>
      <c r="E14" t="s">
        <v>2460</v>
      </c>
      <c r="F14" s="7" t="s">
        <v>1015</v>
      </c>
      <c r="G14" s="9">
        <v>1</v>
      </c>
      <c r="H14" s="11">
        <v>10</v>
      </c>
      <c r="I14" s="13">
        <v>2.35</v>
      </c>
      <c r="J14" t="s">
        <v>1159</v>
      </c>
      <c r="K14" t="s">
        <v>2480</v>
      </c>
      <c r="L14" s="7" t="s">
        <v>1414</v>
      </c>
      <c r="M14" s="7" t="s">
        <v>1426</v>
      </c>
      <c r="N14" s="14">
        <f>Greenleaf[[#This Row],[Unit Price]]*Greenleaf[[#This Row],[Quantity Sold]]</f>
        <v>10</v>
      </c>
      <c r="O14" s="13">
        <f>Greenleaf[[#This Row],[Unit Cost]]*Greenleaf[[#This Row],[Quantity Sold]]</f>
        <v>2.35</v>
      </c>
      <c r="P14" s="13">
        <f>Greenleaf[[#This Row],[ Unit  price per quantity]]-Greenleaf[[#This Row],[ Unit cost per quantity]]</f>
        <v>7.65</v>
      </c>
      <c r="Q14" s="14">
        <f>Greenleaf[[#This Row],[Quantity Sold]]*Greenleaf[[#This Row],[Unit Price]]</f>
        <v>10</v>
      </c>
    </row>
    <row r="15" spans="1:17" x14ac:dyDescent="0.25">
      <c r="A15" t="s">
        <v>1441</v>
      </c>
      <c r="B15" s="5">
        <v>45295</v>
      </c>
      <c r="C15" s="5" t="str">
        <f>TEXT(Greenleaf[[#This Row],[Order Date]],"MMM")</f>
        <v>Jan</v>
      </c>
      <c r="D15" s="5" t="str">
        <f>TEXT(Greenleaf[[#This Row],[Order Date]],"YYYY")</f>
        <v>2024</v>
      </c>
      <c r="E15" t="s">
        <v>2462</v>
      </c>
      <c r="F15" s="7" t="s">
        <v>1013</v>
      </c>
      <c r="G15" s="9">
        <v>1</v>
      </c>
      <c r="H15" s="11">
        <v>25</v>
      </c>
      <c r="I15" s="13">
        <v>8.85</v>
      </c>
      <c r="J15" t="s">
        <v>1120</v>
      </c>
      <c r="K15" t="s">
        <v>2481</v>
      </c>
      <c r="L15" s="7" t="s">
        <v>1414</v>
      </c>
      <c r="M15" s="7" t="s">
        <v>1423</v>
      </c>
      <c r="N15" s="14">
        <f>Greenleaf[[#This Row],[Unit Price]]*Greenleaf[[#This Row],[Quantity Sold]]</f>
        <v>25</v>
      </c>
      <c r="O15" s="13">
        <f>Greenleaf[[#This Row],[Unit Cost]]*Greenleaf[[#This Row],[Quantity Sold]]</f>
        <v>8.85</v>
      </c>
      <c r="P15" s="13">
        <f>Greenleaf[[#This Row],[ Unit  price per quantity]]-Greenleaf[[#This Row],[ Unit cost per quantity]]</f>
        <v>16.149999999999999</v>
      </c>
      <c r="Q15" s="14">
        <f>Greenleaf[[#This Row],[Quantity Sold]]*Greenleaf[[#This Row],[Unit Price]]</f>
        <v>25</v>
      </c>
    </row>
    <row r="16" spans="1:17" x14ac:dyDescent="0.25">
      <c r="A16" t="s">
        <v>1442</v>
      </c>
      <c r="B16" s="5">
        <v>45295</v>
      </c>
      <c r="C16" s="5" t="str">
        <f>TEXT(Greenleaf[[#This Row],[Order Date]],"MMM")</f>
        <v>Jan</v>
      </c>
      <c r="D16" s="5" t="str">
        <f>TEXT(Greenleaf[[#This Row],[Order Date]],"YYYY")</f>
        <v>2024</v>
      </c>
      <c r="E16" t="s">
        <v>2464</v>
      </c>
      <c r="F16" s="7" t="s">
        <v>1012</v>
      </c>
      <c r="G16" s="9">
        <v>6</v>
      </c>
      <c r="H16" s="11">
        <v>40</v>
      </c>
      <c r="I16" s="13">
        <v>14.54</v>
      </c>
      <c r="J16" t="s">
        <v>1201</v>
      </c>
      <c r="K16" t="s">
        <v>2482</v>
      </c>
      <c r="L16" s="7" t="s">
        <v>1415</v>
      </c>
      <c r="M16" s="7" t="s">
        <v>1420</v>
      </c>
      <c r="N16" s="14">
        <f>Greenleaf[[#This Row],[Unit Price]]*Greenleaf[[#This Row],[Quantity Sold]]</f>
        <v>240</v>
      </c>
      <c r="O16" s="13">
        <f>Greenleaf[[#This Row],[Unit Cost]]*Greenleaf[[#This Row],[Quantity Sold]]</f>
        <v>87.24</v>
      </c>
      <c r="P16" s="13">
        <f>Greenleaf[[#This Row],[ Unit  price per quantity]]-Greenleaf[[#This Row],[ Unit cost per quantity]]</f>
        <v>152.76</v>
      </c>
      <c r="Q16" s="14">
        <f>Greenleaf[[#This Row],[Quantity Sold]]*Greenleaf[[#This Row],[Unit Price]]</f>
        <v>240</v>
      </c>
    </row>
    <row r="17" spans="1:17" x14ac:dyDescent="0.25">
      <c r="A17" t="s">
        <v>1443</v>
      </c>
      <c r="B17" s="5">
        <v>45295</v>
      </c>
      <c r="C17" s="5" t="str">
        <f>TEXT(Greenleaf[[#This Row],[Order Date]],"MMM")</f>
        <v>Jan</v>
      </c>
      <c r="D17" s="5" t="str">
        <f>TEXT(Greenleaf[[#This Row],[Order Date]],"YYYY")</f>
        <v>2024</v>
      </c>
      <c r="E17" t="s">
        <v>2460</v>
      </c>
      <c r="F17" s="7" t="s">
        <v>1015</v>
      </c>
      <c r="G17" s="9">
        <v>10</v>
      </c>
      <c r="H17" s="11">
        <v>10</v>
      </c>
      <c r="I17" s="13">
        <v>2.36</v>
      </c>
      <c r="J17" t="s">
        <v>1035</v>
      </c>
      <c r="K17" t="s">
        <v>2483</v>
      </c>
      <c r="L17" s="7" t="s">
        <v>1416</v>
      </c>
      <c r="M17" s="7" t="s">
        <v>1421</v>
      </c>
      <c r="N17" s="14">
        <f>Greenleaf[[#This Row],[Unit Price]]*Greenleaf[[#This Row],[Quantity Sold]]</f>
        <v>100</v>
      </c>
      <c r="O17" s="13">
        <f>Greenleaf[[#This Row],[Unit Cost]]*Greenleaf[[#This Row],[Quantity Sold]]</f>
        <v>23.599999999999998</v>
      </c>
      <c r="P17" s="13">
        <f>Greenleaf[[#This Row],[ Unit  price per quantity]]-Greenleaf[[#This Row],[ Unit cost per quantity]]</f>
        <v>76.400000000000006</v>
      </c>
      <c r="Q17" s="14">
        <f>Greenleaf[[#This Row],[Quantity Sold]]*Greenleaf[[#This Row],[Unit Price]]</f>
        <v>100</v>
      </c>
    </row>
    <row r="18" spans="1:17" x14ac:dyDescent="0.25">
      <c r="A18" t="s">
        <v>1444</v>
      </c>
      <c r="B18" s="5">
        <v>45295</v>
      </c>
      <c r="C18" s="5" t="str">
        <f>TEXT(Greenleaf[[#This Row],[Order Date]],"MMM")</f>
        <v>Jan</v>
      </c>
      <c r="D18" s="5" t="str">
        <f>TEXT(Greenleaf[[#This Row],[Order Date]],"YYYY")</f>
        <v>2024</v>
      </c>
      <c r="E18" t="s">
        <v>2460</v>
      </c>
      <c r="F18" s="7" t="s">
        <v>1015</v>
      </c>
      <c r="G18" s="9">
        <v>2</v>
      </c>
      <c r="H18" s="11">
        <v>10</v>
      </c>
      <c r="I18" s="13">
        <v>2.0699999999999998</v>
      </c>
      <c r="J18" t="s">
        <v>1039</v>
      </c>
      <c r="K18" t="s">
        <v>2472</v>
      </c>
      <c r="L18" s="7" t="s">
        <v>1414</v>
      </c>
      <c r="M18" s="7" t="s">
        <v>1423</v>
      </c>
      <c r="N18" s="14">
        <f>Greenleaf[[#This Row],[Unit Price]]*Greenleaf[[#This Row],[Quantity Sold]]</f>
        <v>20</v>
      </c>
      <c r="O18" s="13">
        <f>Greenleaf[[#This Row],[Unit Cost]]*Greenleaf[[#This Row],[Quantity Sold]]</f>
        <v>4.1399999999999997</v>
      </c>
      <c r="P18" s="13">
        <f>Greenleaf[[#This Row],[ Unit  price per quantity]]-Greenleaf[[#This Row],[ Unit cost per quantity]]</f>
        <v>15.86</v>
      </c>
      <c r="Q18" s="14">
        <f>Greenleaf[[#This Row],[Quantity Sold]]*Greenleaf[[#This Row],[Unit Price]]</f>
        <v>20</v>
      </c>
    </row>
    <row r="19" spans="1:17" x14ac:dyDescent="0.25">
      <c r="A19" t="s">
        <v>1445</v>
      </c>
      <c r="B19" s="5">
        <v>45296</v>
      </c>
      <c r="C19" s="5" t="str">
        <f>TEXT(Greenleaf[[#This Row],[Order Date]],"MMM")</f>
        <v>Jan</v>
      </c>
      <c r="D19" s="5" t="str">
        <f>TEXT(Greenleaf[[#This Row],[Order Date]],"YYYY")</f>
        <v>2024</v>
      </c>
      <c r="E19" t="s">
        <v>2462</v>
      </c>
      <c r="F19" s="7" t="s">
        <v>1013</v>
      </c>
      <c r="G19" s="9">
        <v>7</v>
      </c>
      <c r="H19" s="11">
        <v>25</v>
      </c>
      <c r="I19" s="13">
        <v>6.64</v>
      </c>
      <c r="J19" t="s">
        <v>1147</v>
      </c>
      <c r="K19" t="s">
        <v>2484</v>
      </c>
      <c r="L19" s="7" t="s">
        <v>1414</v>
      </c>
      <c r="M19" s="7" t="s">
        <v>1420</v>
      </c>
      <c r="N19" s="14">
        <f>Greenleaf[[#This Row],[Unit Price]]*Greenleaf[[#This Row],[Quantity Sold]]</f>
        <v>175</v>
      </c>
      <c r="O19" s="13">
        <f>Greenleaf[[#This Row],[Unit Cost]]*Greenleaf[[#This Row],[Quantity Sold]]</f>
        <v>46.48</v>
      </c>
      <c r="P19" s="13">
        <f>Greenleaf[[#This Row],[ Unit  price per quantity]]-Greenleaf[[#This Row],[ Unit cost per quantity]]</f>
        <v>128.52000000000001</v>
      </c>
      <c r="Q19" s="14">
        <f>Greenleaf[[#This Row],[Quantity Sold]]*Greenleaf[[#This Row],[Unit Price]]</f>
        <v>175</v>
      </c>
    </row>
    <row r="20" spans="1:17" x14ac:dyDescent="0.25">
      <c r="A20" t="s">
        <v>1446</v>
      </c>
      <c r="B20" s="5">
        <v>45296</v>
      </c>
      <c r="C20" s="5" t="str">
        <f>TEXT(Greenleaf[[#This Row],[Order Date]],"MMM")</f>
        <v>Jan</v>
      </c>
      <c r="D20" s="5" t="str">
        <f>TEXT(Greenleaf[[#This Row],[Order Date]],"YYYY")</f>
        <v>2024</v>
      </c>
      <c r="E20" t="s">
        <v>2464</v>
      </c>
      <c r="F20" s="7" t="s">
        <v>1012</v>
      </c>
      <c r="G20" s="9">
        <v>5</v>
      </c>
      <c r="H20" s="11">
        <v>40</v>
      </c>
      <c r="I20" s="13">
        <v>15.48</v>
      </c>
      <c r="J20" t="s">
        <v>1168</v>
      </c>
      <c r="K20" t="s">
        <v>2485</v>
      </c>
      <c r="L20" s="7" t="s">
        <v>1414</v>
      </c>
      <c r="M20" s="7" t="s">
        <v>1424</v>
      </c>
      <c r="N20" s="14">
        <f>Greenleaf[[#This Row],[Unit Price]]*Greenleaf[[#This Row],[Quantity Sold]]</f>
        <v>200</v>
      </c>
      <c r="O20" s="13">
        <f>Greenleaf[[#This Row],[Unit Cost]]*Greenleaf[[#This Row],[Quantity Sold]]</f>
        <v>77.400000000000006</v>
      </c>
      <c r="P20" s="13">
        <f>Greenleaf[[#This Row],[ Unit  price per quantity]]-Greenleaf[[#This Row],[ Unit cost per quantity]]</f>
        <v>122.6</v>
      </c>
      <c r="Q20" s="14">
        <f>Greenleaf[[#This Row],[Quantity Sold]]*Greenleaf[[#This Row],[Unit Price]]</f>
        <v>200</v>
      </c>
    </row>
    <row r="21" spans="1:17" x14ac:dyDescent="0.25">
      <c r="A21" t="s">
        <v>1447</v>
      </c>
      <c r="B21" s="5">
        <v>45296</v>
      </c>
      <c r="C21" s="5" t="str">
        <f>TEXT(Greenleaf[[#This Row],[Order Date]],"MMM")</f>
        <v>Jan</v>
      </c>
      <c r="D21" s="5" t="str">
        <f>TEXT(Greenleaf[[#This Row],[Order Date]],"YYYY")</f>
        <v>2024</v>
      </c>
      <c r="E21" t="s">
        <v>2460</v>
      </c>
      <c r="F21" s="7" t="s">
        <v>1015</v>
      </c>
      <c r="G21" s="9">
        <v>8</v>
      </c>
      <c r="H21" s="11">
        <v>10</v>
      </c>
      <c r="I21" s="13">
        <v>2.67</v>
      </c>
      <c r="J21" t="s">
        <v>1116</v>
      </c>
      <c r="K21" t="s">
        <v>2486</v>
      </c>
      <c r="L21" s="7" t="s">
        <v>1414</v>
      </c>
      <c r="M21" s="7" t="s">
        <v>1421</v>
      </c>
      <c r="N21" s="14">
        <f>Greenleaf[[#This Row],[Unit Price]]*Greenleaf[[#This Row],[Quantity Sold]]</f>
        <v>80</v>
      </c>
      <c r="O21" s="13">
        <f>Greenleaf[[#This Row],[Unit Cost]]*Greenleaf[[#This Row],[Quantity Sold]]</f>
        <v>21.36</v>
      </c>
      <c r="P21" s="13">
        <f>Greenleaf[[#This Row],[ Unit  price per quantity]]-Greenleaf[[#This Row],[ Unit cost per quantity]]</f>
        <v>58.64</v>
      </c>
      <c r="Q21" s="14">
        <f>Greenleaf[[#This Row],[Quantity Sold]]*Greenleaf[[#This Row],[Unit Price]]</f>
        <v>80</v>
      </c>
    </row>
    <row r="22" spans="1:17" x14ac:dyDescent="0.25">
      <c r="A22" t="s">
        <v>1448</v>
      </c>
      <c r="B22" s="5">
        <v>45296</v>
      </c>
      <c r="C22" s="5" t="str">
        <f>TEXT(Greenleaf[[#This Row],[Order Date]],"MMM")</f>
        <v>Jan</v>
      </c>
      <c r="D22" s="5" t="str">
        <f>TEXT(Greenleaf[[#This Row],[Order Date]],"YYYY")</f>
        <v>2024</v>
      </c>
      <c r="E22" t="s">
        <v>2461</v>
      </c>
      <c r="F22" s="7" t="s">
        <v>1011</v>
      </c>
      <c r="G22" s="9">
        <v>3</v>
      </c>
      <c r="H22" s="11">
        <v>12</v>
      </c>
      <c r="I22" s="13">
        <v>3.23</v>
      </c>
      <c r="J22" t="s">
        <v>1025</v>
      </c>
      <c r="K22" t="s">
        <v>2471</v>
      </c>
      <c r="L22" s="7" t="s">
        <v>1414</v>
      </c>
      <c r="M22" s="7" t="s">
        <v>1425</v>
      </c>
      <c r="N22" s="14">
        <f>Greenleaf[[#This Row],[Unit Price]]*Greenleaf[[#This Row],[Quantity Sold]]</f>
        <v>36</v>
      </c>
      <c r="O22" s="13">
        <f>Greenleaf[[#This Row],[Unit Cost]]*Greenleaf[[#This Row],[Quantity Sold]]</f>
        <v>9.69</v>
      </c>
      <c r="P22" s="13">
        <f>Greenleaf[[#This Row],[ Unit  price per quantity]]-Greenleaf[[#This Row],[ Unit cost per quantity]]</f>
        <v>26.310000000000002</v>
      </c>
      <c r="Q22" s="14">
        <f>Greenleaf[[#This Row],[Quantity Sold]]*Greenleaf[[#This Row],[Unit Price]]</f>
        <v>36</v>
      </c>
    </row>
    <row r="23" spans="1:17" x14ac:dyDescent="0.25">
      <c r="A23" t="s">
        <v>1449</v>
      </c>
      <c r="B23" s="5">
        <v>45297</v>
      </c>
      <c r="C23" s="5" t="str">
        <f>TEXT(Greenleaf[[#This Row],[Order Date]],"MMM")</f>
        <v>Jan</v>
      </c>
      <c r="D23" s="5" t="str">
        <f>TEXT(Greenleaf[[#This Row],[Order Date]],"YYYY")</f>
        <v>2024</v>
      </c>
      <c r="E23" t="s">
        <v>2464</v>
      </c>
      <c r="F23" s="7" t="s">
        <v>1012</v>
      </c>
      <c r="G23" s="9">
        <v>3</v>
      </c>
      <c r="H23" s="11">
        <v>40</v>
      </c>
      <c r="I23" s="13">
        <v>11.81</v>
      </c>
      <c r="J23" t="s">
        <v>1066</v>
      </c>
      <c r="K23" t="s">
        <v>2487</v>
      </c>
      <c r="L23" s="7" t="s">
        <v>1415</v>
      </c>
      <c r="M23" s="7" t="s">
        <v>1422</v>
      </c>
      <c r="N23" s="14">
        <f>Greenleaf[[#This Row],[Unit Price]]*Greenleaf[[#This Row],[Quantity Sold]]</f>
        <v>120</v>
      </c>
      <c r="O23" s="13">
        <f>Greenleaf[[#This Row],[Unit Cost]]*Greenleaf[[#This Row],[Quantity Sold]]</f>
        <v>35.43</v>
      </c>
      <c r="P23" s="13">
        <f>Greenleaf[[#This Row],[ Unit  price per quantity]]-Greenleaf[[#This Row],[ Unit cost per quantity]]</f>
        <v>84.57</v>
      </c>
      <c r="Q23" s="14">
        <f>Greenleaf[[#This Row],[Quantity Sold]]*Greenleaf[[#This Row],[Unit Price]]</f>
        <v>120</v>
      </c>
    </row>
    <row r="24" spans="1:17" x14ac:dyDescent="0.25">
      <c r="A24" t="s">
        <v>1450</v>
      </c>
      <c r="B24" s="5">
        <v>45297</v>
      </c>
      <c r="C24" s="5" t="str">
        <f>TEXT(Greenleaf[[#This Row],[Order Date]],"MMM")</f>
        <v>Jan</v>
      </c>
      <c r="D24" s="5" t="str">
        <f>TEXT(Greenleaf[[#This Row],[Order Date]],"YYYY")</f>
        <v>2024</v>
      </c>
      <c r="E24" t="s">
        <v>2464</v>
      </c>
      <c r="F24" s="7" t="s">
        <v>1012</v>
      </c>
      <c r="G24" s="9">
        <v>6</v>
      </c>
      <c r="H24" s="11">
        <v>40</v>
      </c>
      <c r="I24" s="13">
        <v>12.11</v>
      </c>
      <c r="J24" t="s">
        <v>1050</v>
      </c>
      <c r="K24" t="s">
        <v>2488</v>
      </c>
      <c r="L24" s="7" t="s">
        <v>1414</v>
      </c>
      <c r="M24" s="7" t="s">
        <v>1422</v>
      </c>
      <c r="N24" s="14">
        <f>Greenleaf[[#This Row],[Unit Price]]*Greenleaf[[#This Row],[Quantity Sold]]</f>
        <v>240</v>
      </c>
      <c r="O24" s="13">
        <f>Greenleaf[[#This Row],[Unit Cost]]*Greenleaf[[#This Row],[Quantity Sold]]</f>
        <v>72.66</v>
      </c>
      <c r="P24" s="13">
        <f>Greenleaf[[#This Row],[ Unit  price per quantity]]-Greenleaf[[#This Row],[ Unit cost per quantity]]</f>
        <v>167.34</v>
      </c>
      <c r="Q24" s="14">
        <f>Greenleaf[[#This Row],[Quantity Sold]]*Greenleaf[[#This Row],[Unit Price]]</f>
        <v>240</v>
      </c>
    </row>
    <row r="25" spans="1:17" x14ac:dyDescent="0.25">
      <c r="A25" t="s">
        <v>1451</v>
      </c>
      <c r="B25" s="5">
        <v>45297</v>
      </c>
      <c r="C25" s="5" t="str">
        <f>TEXT(Greenleaf[[#This Row],[Order Date]],"MMM")</f>
        <v>Jan</v>
      </c>
      <c r="D25" s="5" t="str">
        <f>TEXT(Greenleaf[[#This Row],[Order Date]],"YYYY")</f>
        <v>2024</v>
      </c>
      <c r="E25" t="s">
        <v>2462</v>
      </c>
      <c r="F25" s="7" t="s">
        <v>1013</v>
      </c>
      <c r="G25" s="9">
        <v>7</v>
      </c>
      <c r="H25" s="11">
        <v>25</v>
      </c>
      <c r="I25" s="13">
        <v>8.4499999999999993</v>
      </c>
      <c r="J25" t="s">
        <v>1107</v>
      </c>
      <c r="K25" t="s">
        <v>2487</v>
      </c>
      <c r="L25" s="7" t="s">
        <v>1414</v>
      </c>
      <c r="M25" s="7" t="s">
        <v>1424</v>
      </c>
      <c r="N25" s="14">
        <f>Greenleaf[[#This Row],[Unit Price]]*Greenleaf[[#This Row],[Quantity Sold]]</f>
        <v>175</v>
      </c>
      <c r="O25" s="13">
        <f>Greenleaf[[#This Row],[Unit Cost]]*Greenleaf[[#This Row],[Quantity Sold]]</f>
        <v>59.149999999999991</v>
      </c>
      <c r="P25" s="13">
        <f>Greenleaf[[#This Row],[ Unit  price per quantity]]-Greenleaf[[#This Row],[ Unit cost per quantity]]</f>
        <v>115.85000000000001</v>
      </c>
      <c r="Q25" s="14">
        <f>Greenleaf[[#This Row],[Quantity Sold]]*Greenleaf[[#This Row],[Unit Price]]</f>
        <v>175</v>
      </c>
    </row>
    <row r="26" spans="1:17" x14ac:dyDescent="0.25">
      <c r="A26" t="s">
        <v>1452</v>
      </c>
      <c r="B26" s="5">
        <v>45297</v>
      </c>
      <c r="C26" s="5" t="str">
        <f>TEXT(Greenleaf[[#This Row],[Order Date]],"MMM")</f>
        <v>Jan</v>
      </c>
      <c r="D26" s="5" t="str">
        <f>TEXT(Greenleaf[[#This Row],[Order Date]],"YYYY")</f>
        <v>2024</v>
      </c>
      <c r="E26" t="s">
        <v>2460</v>
      </c>
      <c r="F26" s="7" t="s">
        <v>1015</v>
      </c>
      <c r="G26" s="9">
        <v>8</v>
      </c>
      <c r="H26" s="11">
        <v>10</v>
      </c>
      <c r="I26" s="13">
        <v>3.8</v>
      </c>
      <c r="J26" t="s">
        <v>1185</v>
      </c>
      <c r="K26" t="s">
        <v>2489</v>
      </c>
      <c r="L26" s="7" t="s">
        <v>1417</v>
      </c>
      <c r="M26" s="7" t="s">
        <v>1421</v>
      </c>
      <c r="N26" s="14">
        <f>Greenleaf[[#This Row],[Unit Price]]*Greenleaf[[#This Row],[Quantity Sold]]</f>
        <v>80</v>
      </c>
      <c r="O26" s="13">
        <f>Greenleaf[[#This Row],[Unit Cost]]*Greenleaf[[#This Row],[Quantity Sold]]</f>
        <v>30.4</v>
      </c>
      <c r="P26" s="13">
        <f>Greenleaf[[#This Row],[ Unit  price per quantity]]-Greenleaf[[#This Row],[ Unit cost per quantity]]</f>
        <v>49.6</v>
      </c>
      <c r="Q26" s="14">
        <f>Greenleaf[[#This Row],[Quantity Sold]]*Greenleaf[[#This Row],[Unit Price]]</f>
        <v>80</v>
      </c>
    </row>
    <row r="27" spans="1:17" x14ac:dyDescent="0.25">
      <c r="A27" t="s">
        <v>1453</v>
      </c>
      <c r="B27" s="5">
        <v>45297</v>
      </c>
      <c r="C27" s="5" t="str">
        <f>TEXT(Greenleaf[[#This Row],[Order Date]],"MMM")</f>
        <v>Jan</v>
      </c>
      <c r="D27" s="5" t="str">
        <f>TEXT(Greenleaf[[#This Row],[Order Date]],"YYYY")</f>
        <v>2024</v>
      </c>
      <c r="E27" t="s">
        <v>2463</v>
      </c>
      <c r="F27" s="7" t="s">
        <v>1014</v>
      </c>
      <c r="G27" s="9">
        <v>7</v>
      </c>
      <c r="H27" s="11">
        <v>15</v>
      </c>
      <c r="I27" s="13">
        <v>3.13</v>
      </c>
      <c r="J27" t="s">
        <v>1047</v>
      </c>
      <c r="K27" t="s">
        <v>2476</v>
      </c>
      <c r="L27" s="7" t="s">
        <v>1416</v>
      </c>
      <c r="M27" s="7" t="s">
        <v>1420</v>
      </c>
      <c r="N27" s="14">
        <f>Greenleaf[[#This Row],[Unit Price]]*Greenleaf[[#This Row],[Quantity Sold]]</f>
        <v>105</v>
      </c>
      <c r="O27" s="13">
        <f>Greenleaf[[#This Row],[Unit Cost]]*Greenleaf[[#This Row],[Quantity Sold]]</f>
        <v>21.91</v>
      </c>
      <c r="P27" s="13">
        <f>Greenleaf[[#This Row],[ Unit  price per quantity]]-Greenleaf[[#This Row],[ Unit cost per quantity]]</f>
        <v>83.09</v>
      </c>
      <c r="Q27" s="14">
        <f>Greenleaf[[#This Row],[Quantity Sold]]*Greenleaf[[#This Row],[Unit Price]]</f>
        <v>105</v>
      </c>
    </row>
    <row r="28" spans="1:17" x14ac:dyDescent="0.25">
      <c r="A28" t="s">
        <v>1454</v>
      </c>
      <c r="B28" s="5">
        <v>45297</v>
      </c>
      <c r="C28" s="5" t="str">
        <f>TEXT(Greenleaf[[#This Row],[Order Date]],"MMM")</f>
        <v>Jan</v>
      </c>
      <c r="D28" s="5" t="str">
        <f>TEXT(Greenleaf[[#This Row],[Order Date]],"YYYY")</f>
        <v>2024</v>
      </c>
      <c r="E28" t="s">
        <v>2460</v>
      </c>
      <c r="F28" s="7" t="s">
        <v>1015</v>
      </c>
      <c r="G28" s="9">
        <v>6</v>
      </c>
      <c r="H28" s="11">
        <v>10</v>
      </c>
      <c r="I28" s="13">
        <v>3.18</v>
      </c>
      <c r="J28" t="s">
        <v>1154</v>
      </c>
      <c r="K28" t="s">
        <v>2490</v>
      </c>
      <c r="L28" s="7" t="s">
        <v>1414</v>
      </c>
      <c r="M28" s="7" t="s">
        <v>1418</v>
      </c>
      <c r="N28" s="14">
        <f>Greenleaf[[#This Row],[Unit Price]]*Greenleaf[[#This Row],[Quantity Sold]]</f>
        <v>60</v>
      </c>
      <c r="O28" s="13">
        <f>Greenleaf[[#This Row],[Unit Cost]]*Greenleaf[[#This Row],[Quantity Sold]]</f>
        <v>19.080000000000002</v>
      </c>
      <c r="P28" s="13">
        <f>Greenleaf[[#This Row],[ Unit  price per quantity]]-Greenleaf[[#This Row],[ Unit cost per quantity]]</f>
        <v>40.92</v>
      </c>
      <c r="Q28" s="14">
        <f>Greenleaf[[#This Row],[Quantity Sold]]*Greenleaf[[#This Row],[Unit Price]]</f>
        <v>60</v>
      </c>
    </row>
    <row r="29" spans="1:17" x14ac:dyDescent="0.25">
      <c r="A29" t="s">
        <v>1455</v>
      </c>
      <c r="B29" s="5">
        <v>45298</v>
      </c>
      <c r="C29" s="5" t="str">
        <f>TEXT(Greenleaf[[#This Row],[Order Date]],"MMM")</f>
        <v>Jan</v>
      </c>
      <c r="D29" s="5" t="str">
        <f>TEXT(Greenleaf[[#This Row],[Order Date]],"YYYY")</f>
        <v>2024</v>
      </c>
      <c r="E29" t="s">
        <v>2461</v>
      </c>
      <c r="F29" s="7" t="s">
        <v>1011</v>
      </c>
      <c r="G29" s="9">
        <v>9</v>
      </c>
      <c r="H29" s="11">
        <v>12</v>
      </c>
      <c r="I29" s="13">
        <v>3.94</v>
      </c>
      <c r="J29" t="s">
        <v>1031</v>
      </c>
      <c r="K29" t="s">
        <v>2491</v>
      </c>
      <c r="L29" s="7" t="s">
        <v>1414</v>
      </c>
      <c r="M29" s="7" t="s">
        <v>1423</v>
      </c>
      <c r="N29" s="14">
        <f>Greenleaf[[#This Row],[Unit Price]]*Greenleaf[[#This Row],[Quantity Sold]]</f>
        <v>108</v>
      </c>
      <c r="O29" s="13">
        <f>Greenleaf[[#This Row],[Unit Cost]]*Greenleaf[[#This Row],[Quantity Sold]]</f>
        <v>35.46</v>
      </c>
      <c r="P29" s="13">
        <f>Greenleaf[[#This Row],[ Unit  price per quantity]]-Greenleaf[[#This Row],[ Unit cost per quantity]]</f>
        <v>72.539999999999992</v>
      </c>
      <c r="Q29" s="14">
        <f>Greenleaf[[#This Row],[Quantity Sold]]*Greenleaf[[#This Row],[Unit Price]]</f>
        <v>108</v>
      </c>
    </row>
    <row r="30" spans="1:17" x14ac:dyDescent="0.25">
      <c r="A30" t="s">
        <v>1456</v>
      </c>
      <c r="B30" s="5">
        <v>45298</v>
      </c>
      <c r="C30" s="5" t="str">
        <f>TEXT(Greenleaf[[#This Row],[Order Date]],"MMM")</f>
        <v>Jan</v>
      </c>
      <c r="D30" s="5" t="str">
        <f>TEXT(Greenleaf[[#This Row],[Order Date]],"YYYY")</f>
        <v>2024</v>
      </c>
      <c r="E30" t="s">
        <v>2464</v>
      </c>
      <c r="F30" s="7" t="s">
        <v>1012</v>
      </c>
      <c r="G30" s="9">
        <v>3</v>
      </c>
      <c r="H30" s="11">
        <v>40</v>
      </c>
      <c r="I30" s="13">
        <v>10.79</v>
      </c>
      <c r="J30" t="s">
        <v>1056</v>
      </c>
      <c r="K30" t="s">
        <v>2492</v>
      </c>
      <c r="L30" s="7" t="s">
        <v>1414</v>
      </c>
      <c r="M30" s="7" t="s">
        <v>1420</v>
      </c>
      <c r="N30" s="14">
        <f>Greenleaf[[#This Row],[Unit Price]]*Greenleaf[[#This Row],[Quantity Sold]]</f>
        <v>120</v>
      </c>
      <c r="O30" s="13">
        <f>Greenleaf[[#This Row],[Unit Cost]]*Greenleaf[[#This Row],[Quantity Sold]]</f>
        <v>32.369999999999997</v>
      </c>
      <c r="P30" s="13">
        <f>Greenleaf[[#This Row],[ Unit  price per quantity]]-Greenleaf[[#This Row],[ Unit cost per quantity]]</f>
        <v>87.63</v>
      </c>
      <c r="Q30" s="14">
        <f>Greenleaf[[#This Row],[Quantity Sold]]*Greenleaf[[#This Row],[Unit Price]]</f>
        <v>120</v>
      </c>
    </row>
    <row r="31" spans="1:17" x14ac:dyDescent="0.25">
      <c r="A31" t="s">
        <v>1457</v>
      </c>
      <c r="B31" s="5">
        <v>45298</v>
      </c>
      <c r="C31" s="5" t="str">
        <f>TEXT(Greenleaf[[#This Row],[Order Date]],"MMM")</f>
        <v>Jan</v>
      </c>
      <c r="D31" s="5" t="str">
        <f>TEXT(Greenleaf[[#This Row],[Order Date]],"YYYY")</f>
        <v>2024</v>
      </c>
      <c r="E31" t="s">
        <v>2462</v>
      </c>
      <c r="F31" s="7" t="s">
        <v>1013</v>
      </c>
      <c r="G31" s="9">
        <v>4</v>
      </c>
      <c r="H31" s="11">
        <v>25</v>
      </c>
      <c r="I31" s="13">
        <v>8.43</v>
      </c>
      <c r="J31" t="s">
        <v>1021</v>
      </c>
      <c r="K31" t="s">
        <v>2473</v>
      </c>
      <c r="L31" s="7" t="s">
        <v>1416</v>
      </c>
      <c r="M31" s="7" t="s">
        <v>1421</v>
      </c>
      <c r="N31" s="14">
        <f>Greenleaf[[#This Row],[Unit Price]]*Greenleaf[[#This Row],[Quantity Sold]]</f>
        <v>100</v>
      </c>
      <c r="O31" s="13">
        <f>Greenleaf[[#This Row],[Unit Cost]]*Greenleaf[[#This Row],[Quantity Sold]]</f>
        <v>33.72</v>
      </c>
      <c r="P31" s="13">
        <f>Greenleaf[[#This Row],[ Unit  price per quantity]]-Greenleaf[[#This Row],[ Unit cost per quantity]]</f>
        <v>66.28</v>
      </c>
      <c r="Q31" s="14">
        <f>Greenleaf[[#This Row],[Quantity Sold]]*Greenleaf[[#This Row],[Unit Price]]</f>
        <v>100</v>
      </c>
    </row>
    <row r="32" spans="1:17" x14ac:dyDescent="0.25">
      <c r="A32" t="s">
        <v>1458</v>
      </c>
      <c r="B32" s="5">
        <v>45299</v>
      </c>
      <c r="C32" s="5" t="str">
        <f>TEXT(Greenleaf[[#This Row],[Order Date]],"MMM")</f>
        <v>Jan</v>
      </c>
      <c r="D32" s="5" t="str">
        <f>TEXT(Greenleaf[[#This Row],[Order Date]],"YYYY")</f>
        <v>2024</v>
      </c>
      <c r="E32" t="s">
        <v>2463</v>
      </c>
      <c r="F32" s="7" t="s">
        <v>1014</v>
      </c>
      <c r="G32" s="9">
        <v>5</v>
      </c>
      <c r="H32" s="11">
        <v>15</v>
      </c>
      <c r="I32" s="13">
        <v>3.55</v>
      </c>
      <c r="J32" t="s">
        <v>1170</v>
      </c>
      <c r="K32" t="s">
        <v>2493</v>
      </c>
      <c r="L32" s="7" t="s">
        <v>1414</v>
      </c>
      <c r="M32" s="7" t="s">
        <v>1419</v>
      </c>
      <c r="N32" s="14">
        <f>Greenleaf[[#This Row],[Unit Price]]*Greenleaf[[#This Row],[Quantity Sold]]</f>
        <v>75</v>
      </c>
      <c r="O32" s="13">
        <f>Greenleaf[[#This Row],[Unit Cost]]*Greenleaf[[#This Row],[Quantity Sold]]</f>
        <v>17.75</v>
      </c>
      <c r="P32" s="13">
        <f>Greenleaf[[#This Row],[ Unit  price per quantity]]-Greenleaf[[#This Row],[ Unit cost per quantity]]</f>
        <v>57.25</v>
      </c>
      <c r="Q32" s="14">
        <f>Greenleaf[[#This Row],[Quantity Sold]]*Greenleaf[[#This Row],[Unit Price]]</f>
        <v>75</v>
      </c>
    </row>
    <row r="33" spans="1:17" x14ac:dyDescent="0.25">
      <c r="A33" t="s">
        <v>1459</v>
      </c>
      <c r="B33" s="5">
        <v>45299</v>
      </c>
      <c r="C33" s="5" t="str">
        <f>TEXT(Greenleaf[[#This Row],[Order Date]],"MMM")</f>
        <v>Jan</v>
      </c>
      <c r="D33" s="5" t="str">
        <f>TEXT(Greenleaf[[#This Row],[Order Date]],"YYYY")</f>
        <v>2024</v>
      </c>
      <c r="E33" t="s">
        <v>2463</v>
      </c>
      <c r="F33" s="7" t="s">
        <v>1014</v>
      </c>
      <c r="G33" s="9">
        <v>6</v>
      </c>
      <c r="H33" s="11">
        <v>15</v>
      </c>
      <c r="I33" s="13">
        <v>4.04</v>
      </c>
      <c r="J33" t="s">
        <v>1177</v>
      </c>
      <c r="K33" t="s">
        <v>2494</v>
      </c>
      <c r="L33" s="7" t="s">
        <v>1414</v>
      </c>
      <c r="M33" s="7" t="s">
        <v>1418</v>
      </c>
      <c r="N33" s="14">
        <f>Greenleaf[[#This Row],[Unit Price]]*Greenleaf[[#This Row],[Quantity Sold]]</f>
        <v>90</v>
      </c>
      <c r="O33" s="13">
        <f>Greenleaf[[#This Row],[Unit Cost]]*Greenleaf[[#This Row],[Quantity Sold]]</f>
        <v>24.240000000000002</v>
      </c>
      <c r="P33" s="13">
        <f>Greenleaf[[#This Row],[ Unit  price per quantity]]-Greenleaf[[#This Row],[ Unit cost per quantity]]</f>
        <v>65.759999999999991</v>
      </c>
      <c r="Q33" s="14">
        <f>Greenleaf[[#This Row],[Quantity Sold]]*Greenleaf[[#This Row],[Unit Price]]</f>
        <v>90</v>
      </c>
    </row>
    <row r="34" spans="1:17" x14ac:dyDescent="0.25">
      <c r="A34" t="s">
        <v>1460</v>
      </c>
      <c r="B34" s="5">
        <v>45300</v>
      </c>
      <c r="C34" s="5" t="str">
        <f>TEXT(Greenleaf[[#This Row],[Order Date]],"MMM")</f>
        <v>Jan</v>
      </c>
      <c r="D34" s="5" t="str">
        <f>TEXT(Greenleaf[[#This Row],[Order Date]],"YYYY")</f>
        <v>2024</v>
      </c>
      <c r="E34" t="s">
        <v>2460</v>
      </c>
      <c r="F34" s="7" t="s">
        <v>1015</v>
      </c>
      <c r="G34" s="9">
        <v>8</v>
      </c>
      <c r="H34" s="11">
        <v>10</v>
      </c>
      <c r="I34" s="13">
        <v>2.6</v>
      </c>
      <c r="J34" t="s">
        <v>1112</v>
      </c>
      <c r="K34" t="s">
        <v>2495</v>
      </c>
      <c r="L34" s="7" t="s">
        <v>1415</v>
      </c>
      <c r="M34" s="7" t="s">
        <v>1421</v>
      </c>
      <c r="N34" s="14">
        <f>Greenleaf[[#This Row],[Unit Price]]*Greenleaf[[#This Row],[Quantity Sold]]</f>
        <v>80</v>
      </c>
      <c r="O34" s="13">
        <f>Greenleaf[[#This Row],[Unit Cost]]*Greenleaf[[#This Row],[Quantity Sold]]</f>
        <v>20.8</v>
      </c>
      <c r="P34" s="13">
        <f>Greenleaf[[#This Row],[ Unit  price per quantity]]-Greenleaf[[#This Row],[ Unit cost per quantity]]</f>
        <v>59.2</v>
      </c>
      <c r="Q34" s="14">
        <f>Greenleaf[[#This Row],[Quantity Sold]]*Greenleaf[[#This Row],[Unit Price]]</f>
        <v>80</v>
      </c>
    </row>
    <row r="35" spans="1:17" x14ac:dyDescent="0.25">
      <c r="A35" t="s">
        <v>1461</v>
      </c>
      <c r="B35" s="5">
        <v>45300</v>
      </c>
      <c r="C35" s="5" t="str">
        <f>TEXT(Greenleaf[[#This Row],[Order Date]],"MMM")</f>
        <v>Jan</v>
      </c>
      <c r="D35" s="5" t="str">
        <f>TEXT(Greenleaf[[#This Row],[Order Date]],"YYYY")</f>
        <v>2024</v>
      </c>
      <c r="E35" t="s">
        <v>2461</v>
      </c>
      <c r="F35" s="7" t="s">
        <v>1011</v>
      </c>
      <c r="G35" s="9">
        <v>10</v>
      </c>
      <c r="H35" s="11">
        <v>12</v>
      </c>
      <c r="I35" s="13">
        <v>2.74</v>
      </c>
      <c r="J35" t="s">
        <v>1166</v>
      </c>
      <c r="K35" t="s">
        <v>2496</v>
      </c>
      <c r="L35" s="7" t="s">
        <v>1414</v>
      </c>
      <c r="M35" s="7" t="s">
        <v>1422</v>
      </c>
      <c r="N35" s="14">
        <f>Greenleaf[[#This Row],[Unit Price]]*Greenleaf[[#This Row],[Quantity Sold]]</f>
        <v>120</v>
      </c>
      <c r="O35" s="13">
        <f>Greenleaf[[#This Row],[Unit Cost]]*Greenleaf[[#This Row],[Quantity Sold]]</f>
        <v>27.400000000000002</v>
      </c>
      <c r="P35" s="13">
        <f>Greenleaf[[#This Row],[ Unit  price per quantity]]-Greenleaf[[#This Row],[ Unit cost per quantity]]</f>
        <v>92.6</v>
      </c>
      <c r="Q35" s="14">
        <f>Greenleaf[[#This Row],[Quantity Sold]]*Greenleaf[[#This Row],[Unit Price]]</f>
        <v>120</v>
      </c>
    </row>
    <row r="36" spans="1:17" x14ac:dyDescent="0.25">
      <c r="A36" t="s">
        <v>1462</v>
      </c>
      <c r="B36" s="5">
        <v>45301</v>
      </c>
      <c r="C36" s="5" t="str">
        <f>TEXT(Greenleaf[[#This Row],[Order Date]],"MMM")</f>
        <v>Jan</v>
      </c>
      <c r="D36" s="5" t="str">
        <f>TEXT(Greenleaf[[#This Row],[Order Date]],"YYYY")</f>
        <v>2024</v>
      </c>
      <c r="E36" t="s">
        <v>2462</v>
      </c>
      <c r="F36" s="7" t="s">
        <v>1013</v>
      </c>
      <c r="G36" s="9">
        <v>10</v>
      </c>
      <c r="H36" s="11">
        <v>25</v>
      </c>
      <c r="I36" s="13">
        <v>9.86</v>
      </c>
      <c r="J36" t="s">
        <v>1035</v>
      </c>
      <c r="K36" t="s">
        <v>2483</v>
      </c>
      <c r="L36" s="7" t="s">
        <v>1414</v>
      </c>
      <c r="M36" s="7" t="s">
        <v>1422</v>
      </c>
      <c r="N36" s="14">
        <f>Greenleaf[[#This Row],[Unit Price]]*Greenleaf[[#This Row],[Quantity Sold]]</f>
        <v>250</v>
      </c>
      <c r="O36" s="13">
        <f>Greenleaf[[#This Row],[Unit Cost]]*Greenleaf[[#This Row],[Quantity Sold]]</f>
        <v>98.6</v>
      </c>
      <c r="P36" s="13">
        <f>Greenleaf[[#This Row],[ Unit  price per quantity]]-Greenleaf[[#This Row],[ Unit cost per quantity]]</f>
        <v>151.4</v>
      </c>
      <c r="Q36" s="14">
        <f>Greenleaf[[#This Row],[Quantity Sold]]*Greenleaf[[#This Row],[Unit Price]]</f>
        <v>250</v>
      </c>
    </row>
    <row r="37" spans="1:17" x14ac:dyDescent="0.25">
      <c r="A37" t="s">
        <v>1463</v>
      </c>
      <c r="B37" s="5">
        <v>45301</v>
      </c>
      <c r="C37" s="5" t="str">
        <f>TEXT(Greenleaf[[#This Row],[Order Date]],"MMM")</f>
        <v>Jan</v>
      </c>
      <c r="D37" s="5" t="str">
        <f>TEXT(Greenleaf[[#This Row],[Order Date]],"YYYY")</f>
        <v>2024</v>
      </c>
      <c r="E37" t="s">
        <v>2461</v>
      </c>
      <c r="F37" s="7" t="s">
        <v>1011</v>
      </c>
      <c r="G37" s="9">
        <v>9</v>
      </c>
      <c r="H37" s="11">
        <v>12</v>
      </c>
      <c r="I37" s="13">
        <v>3.33</v>
      </c>
      <c r="J37" t="s">
        <v>1047</v>
      </c>
      <c r="K37" t="s">
        <v>2476</v>
      </c>
      <c r="L37" s="7" t="s">
        <v>1414</v>
      </c>
      <c r="M37" s="7" t="s">
        <v>1425</v>
      </c>
      <c r="N37" s="14">
        <f>Greenleaf[[#This Row],[Unit Price]]*Greenleaf[[#This Row],[Quantity Sold]]</f>
        <v>108</v>
      </c>
      <c r="O37" s="13">
        <f>Greenleaf[[#This Row],[Unit Cost]]*Greenleaf[[#This Row],[Quantity Sold]]</f>
        <v>29.97</v>
      </c>
      <c r="P37" s="13">
        <f>Greenleaf[[#This Row],[ Unit  price per quantity]]-Greenleaf[[#This Row],[ Unit cost per quantity]]</f>
        <v>78.03</v>
      </c>
      <c r="Q37" s="14">
        <f>Greenleaf[[#This Row],[Quantity Sold]]*Greenleaf[[#This Row],[Unit Price]]</f>
        <v>108</v>
      </c>
    </row>
    <row r="38" spans="1:17" x14ac:dyDescent="0.25">
      <c r="A38" t="s">
        <v>1464</v>
      </c>
      <c r="B38" s="5">
        <v>45301</v>
      </c>
      <c r="C38" s="5" t="str">
        <f>TEXT(Greenleaf[[#This Row],[Order Date]],"MMM")</f>
        <v>Jan</v>
      </c>
      <c r="D38" s="5" t="str">
        <f>TEXT(Greenleaf[[#This Row],[Order Date]],"YYYY")</f>
        <v>2024</v>
      </c>
      <c r="E38" t="s">
        <v>2463</v>
      </c>
      <c r="F38" s="7" t="s">
        <v>1014</v>
      </c>
      <c r="G38" s="9">
        <v>6</v>
      </c>
      <c r="H38" s="11">
        <v>15</v>
      </c>
      <c r="I38" s="13">
        <v>3.13</v>
      </c>
      <c r="J38" t="s">
        <v>1071</v>
      </c>
      <c r="K38" t="s">
        <v>2497</v>
      </c>
      <c r="L38" s="7" t="s">
        <v>1414</v>
      </c>
      <c r="M38" s="7" t="s">
        <v>1427</v>
      </c>
      <c r="N38" s="14">
        <f>Greenleaf[[#This Row],[Unit Price]]*Greenleaf[[#This Row],[Quantity Sold]]</f>
        <v>90</v>
      </c>
      <c r="O38" s="13">
        <f>Greenleaf[[#This Row],[Unit Cost]]*Greenleaf[[#This Row],[Quantity Sold]]</f>
        <v>18.78</v>
      </c>
      <c r="P38" s="13">
        <f>Greenleaf[[#This Row],[ Unit  price per quantity]]-Greenleaf[[#This Row],[ Unit cost per quantity]]</f>
        <v>71.22</v>
      </c>
      <c r="Q38" s="14">
        <f>Greenleaf[[#This Row],[Quantity Sold]]*Greenleaf[[#This Row],[Unit Price]]</f>
        <v>90</v>
      </c>
    </row>
    <row r="39" spans="1:17" x14ac:dyDescent="0.25">
      <c r="A39" t="s">
        <v>1465</v>
      </c>
      <c r="B39" s="5">
        <v>45302</v>
      </c>
      <c r="C39" s="5" t="str">
        <f>TEXT(Greenleaf[[#This Row],[Order Date]],"MMM")</f>
        <v>Jan</v>
      </c>
      <c r="D39" s="5" t="str">
        <f>TEXT(Greenleaf[[#This Row],[Order Date]],"YYYY")</f>
        <v>2024</v>
      </c>
      <c r="E39" t="s">
        <v>2461</v>
      </c>
      <c r="F39" s="7" t="s">
        <v>1011</v>
      </c>
      <c r="G39" s="9">
        <v>4</v>
      </c>
      <c r="H39" s="11">
        <v>12</v>
      </c>
      <c r="I39" s="13">
        <v>4.74</v>
      </c>
      <c r="J39" t="s">
        <v>1090</v>
      </c>
      <c r="K39" t="s">
        <v>2498</v>
      </c>
      <c r="L39" s="7" t="s">
        <v>1415</v>
      </c>
      <c r="M39" s="7" t="s">
        <v>1425</v>
      </c>
      <c r="N39" s="14">
        <f>Greenleaf[[#This Row],[Unit Price]]*Greenleaf[[#This Row],[Quantity Sold]]</f>
        <v>48</v>
      </c>
      <c r="O39" s="13">
        <f>Greenleaf[[#This Row],[Unit Cost]]*Greenleaf[[#This Row],[Quantity Sold]]</f>
        <v>18.96</v>
      </c>
      <c r="P39" s="13">
        <f>Greenleaf[[#This Row],[ Unit  price per quantity]]-Greenleaf[[#This Row],[ Unit cost per quantity]]</f>
        <v>29.04</v>
      </c>
      <c r="Q39" s="14">
        <f>Greenleaf[[#This Row],[Quantity Sold]]*Greenleaf[[#This Row],[Unit Price]]</f>
        <v>48</v>
      </c>
    </row>
    <row r="40" spans="1:17" x14ac:dyDescent="0.25">
      <c r="A40" t="s">
        <v>1466</v>
      </c>
      <c r="B40" s="5">
        <v>45303</v>
      </c>
      <c r="C40" s="5" t="str">
        <f>TEXT(Greenleaf[[#This Row],[Order Date]],"MMM")</f>
        <v>Jan</v>
      </c>
      <c r="D40" s="5" t="str">
        <f>TEXT(Greenleaf[[#This Row],[Order Date]],"YYYY")</f>
        <v>2024</v>
      </c>
      <c r="E40" t="s">
        <v>2461</v>
      </c>
      <c r="F40" s="7" t="s">
        <v>1011</v>
      </c>
      <c r="G40" s="9">
        <v>9</v>
      </c>
      <c r="H40" s="11">
        <v>12</v>
      </c>
      <c r="I40" s="13">
        <v>4.33</v>
      </c>
      <c r="J40" t="s">
        <v>1126</v>
      </c>
      <c r="K40" t="s">
        <v>2499</v>
      </c>
      <c r="L40" s="7" t="s">
        <v>1414</v>
      </c>
      <c r="M40" s="7" t="s">
        <v>1424</v>
      </c>
      <c r="N40" s="14">
        <f>Greenleaf[[#This Row],[Unit Price]]*Greenleaf[[#This Row],[Quantity Sold]]</f>
        <v>108</v>
      </c>
      <c r="O40" s="13">
        <f>Greenleaf[[#This Row],[Unit Cost]]*Greenleaf[[#This Row],[Quantity Sold]]</f>
        <v>38.97</v>
      </c>
      <c r="P40" s="13">
        <f>Greenleaf[[#This Row],[ Unit  price per quantity]]-Greenleaf[[#This Row],[ Unit cost per quantity]]</f>
        <v>69.03</v>
      </c>
      <c r="Q40" s="14">
        <f>Greenleaf[[#This Row],[Quantity Sold]]*Greenleaf[[#This Row],[Unit Price]]</f>
        <v>108</v>
      </c>
    </row>
    <row r="41" spans="1:17" x14ac:dyDescent="0.25">
      <c r="A41" t="s">
        <v>1467</v>
      </c>
      <c r="B41" s="5">
        <v>45303</v>
      </c>
      <c r="C41" s="5" t="str">
        <f>TEXT(Greenleaf[[#This Row],[Order Date]],"MMM")</f>
        <v>Jan</v>
      </c>
      <c r="D41" s="5" t="str">
        <f>TEXT(Greenleaf[[#This Row],[Order Date]],"YYYY")</f>
        <v>2024</v>
      </c>
      <c r="E41" t="s">
        <v>2462</v>
      </c>
      <c r="F41" s="7" t="s">
        <v>1013</v>
      </c>
      <c r="G41" s="9">
        <v>3</v>
      </c>
      <c r="H41" s="11">
        <v>25</v>
      </c>
      <c r="I41" s="13">
        <v>8.17</v>
      </c>
      <c r="J41" t="s">
        <v>1061</v>
      </c>
      <c r="K41" t="s">
        <v>2500</v>
      </c>
      <c r="L41" s="7" t="s">
        <v>1416</v>
      </c>
      <c r="M41" s="7" t="s">
        <v>1419</v>
      </c>
      <c r="N41" s="14">
        <f>Greenleaf[[#This Row],[Unit Price]]*Greenleaf[[#This Row],[Quantity Sold]]</f>
        <v>75</v>
      </c>
      <c r="O41" s="13">
        <f>Greenleaf[[#This Row],[Unit Cost]]*Greenleaf[[#This Row],[Quantity Sold]]</f>
        <v>24.509999999999998</v>
      </c>
      <c r="P41" s="13">
        <f>Greenleaf[[#This Row],[ Unit  price per quantity]]-Greenleaf[[#This Row],[ Unit cost per quantity]]</f>
        <v>50.49</v>
      </c>
      <c r="Q41" s="14">
        <f>Greenleaf[[#This Row],[Quantity Sold]]*Greenleaf[[#This Row],[Unit Price]]</f>
        <v>75</v>
      </c>
    </row>
    <row r="42" spans="1:17" x14ac:dyDescent="0.25">
      <c r="A42" t="s">
        <v>1468</v>
      </c>
      <c r="B42" s="5">
        <v>45303</v>
      </c>
      <c r="C42" s="5" t="str">
        <f>TEXT(Greenleaf[[#This Row],[Order Date]],"MMM")</f>
        <v>Jan</v>
      </c>
      <c r="D42" s="5" t="str">
        <f>TEXT(Greenleaf[[#This Row],[Order Date]],"YYYY")</f>
        <v>2024</v>
      </c>
      <c r="E42" t="s">
        <v>2462</v>
      </c>
      <c r="F42" s="7" t="s">
        <v>1013</v>
      </c>
      <c r="G42" s="9">
        <v>6</v>
      </c>
      <c r="H42" s="11">
        <v>25</v>
      </c>
      <c r="I42" s="13">
        <v>6.37</v>
      </c>
      <c r="J42" t="s">
        <v>1183</v>
      </c>
      <c r="K42" t="s">
        <v>2501</v>
      </c>
      <c r="L42" s="7" t="s">
        <v>1414</v>
      </c>
      <c r="M42" s="7" t="s">
        <v>1424</v>
      </c>
      <c r="N42" s="14">
        <f>Greenleaf[[#This Row],[Unit Price]]*Greenleaf[[#This Row],[Quantity Sold]]</f>
        <v>150</v>
      </c>
      <c r="O42" s="13">
        <f>Greenleaf[[#This Row],[Unit Cost]]*Greenleaf[[#This Row],[Quantity Sold]]</f>
        <v>38.22</v>
      </c>
      <c r="P42" s="13">
        <f>Greenleaf[[#This Row],[ Unit  price per quantity]]-Greenleaf[[#This Row],[ Unit cost per quantity]]</f>
        <v>111.78</v>
      </c>
      <c r="Q42" s="14">
        <f>Greenleaf[[#This Row],[Quantity Sold]]*Greenleaf[[#This Row],[Unit Price]]</f>
        <v>150</v>
      </c>
    </row>
    <row r="43" spans="1:17" x14ac:dyDescent="0.25">
      <c r="A43" t="s">
        <v>1469</v>
      </c>
      <c r="B43" s="5">
        <v>45304</v>
      </c>
      <c r="C43" s="5" t="str">
        <f>TEXT(Greenleaf[[#This Row],[Order Date]],"MMM")</f>
        <v>Jan</v>
      </c>
      <c r="D43" s="5" t="str">
        <f>TEXT(Greenleaf[[#This Row],[Order Date]],"YYYY")</f>
        <v>2024</v>
      </c>
      <c r="E43" t="s">
        <v>2462</v>
      </c>
      <c r="F43" s="7" t="s">
        <v>1013</v>
      </c>
      <c r="G43" s="9">
        <v>7</v>
      </c>
      <c r="H43" s="11">
        <v>25</v>
      </c>
      <c r="I43" s="13">
        <v>6.03</v>
      </c>
      <c r="J43" t="s">
        <v>1188</v>
      </c>
      <c r="K43" t="s">
        <v>2476</v>
      </c>
      <c r="L43" s="7" t="s">
        <v>1414</v>
      </c>
      <c r="M43" s="7" t="s">
        <v>1421</v>
      </c>
      <c r="N43" s="14">
        <f>Greenleaf[[#This Row],[Unit Price]]*Greenleaf[[#This Row],[Quantity Sold]]</f>
        <v>175</v>
      </c>
      <c r="O43" s="13">
        <f>Greenleaf[[#This Row],[Unit Cost]]*Greenleaf[[#This Row],[Quantity Sold]]</f>
        <v>42.21</v>
      </c>
      <c r="P43" s="13">
        <f>Greenleaf[[#This Row],[ Unit  price per quantity]]-Greenleaf[[#This Row],[ Unit cost per quantity]]</f>
        <v>132.79</v>
      </c>
      <c r="Q43" s="14">
        <f>Greenleaf[[#This Row],[Quantity Sold]]*Greenleaf[[#This Row],[Unit Price]]</f>
        <v>175</v>
      </c>
    </row>
    <row r="44" spans="1:17" x14ac:dyDescent="0.25">
      <c r="A44" t="s">
        <v>1470</v>
      </c>
      <c r="B44" s="5">
        <v>45304</v>
      </c>
      <c r="C44" s="5" t="str">
        <f>TEXT(Greenleaf[[#This Row],[Order Date]],"MMM")</f>
        <v>Jan</v>
      </c>
      <c r="D44" s="5" t="str">
        <f>TEXT(Greenleaf[[#This Row],[Order Date]],"YYYY")</f>
        <v>2024</v>
      </c>
      <c r="E44" t="s">
        <v>2464</v>
      </c>
      <c r="F44" s="7" t="s">
        <v>1012</v>
      </c>
      <c r="G44" s="9">
        <v>7</v>
      </c>
      <c r="H44" s="11">
        <v>40</v>
      </c>
      <c r="I44" s="13">
        <v>11.98</v>
      </c>
      <c r="J44" t="s">
        <v>1172</v>
      </c>
      <c r="K44" t="s">
        <v>2502</v>
      </c>
      <c r="L44" s="7" t="s">
        <v>1416</v>
      </c>
      <c r="M44" s="7" t="s">
        <v>1424</v>
      </c>
      <c r="N44" s="14">
        <f>Greenleaf[[#This Row],[Unit Price]]*Greenleaf[[#This Row],[Quantity Sold]]</f>
        <v>280</v>
      </c>
      <c r="O44" s="13">
        <f>Greenleaf[[#This Row],[Unit Cost]]*Greenleaf[[#This Row],[Quantity Sold]]</f>
        <v>83.86</v>
      </c>
      <c r="P44" s="13">
        <f>Greenleaf[[#This Row],[ Unit  price per quantity]]-Greenleaf[[#This Row],[ Unit cost per quantity]]</f>
        <v>196.14</v>
      </c>
      <c r="Q44" s="14">
        <f>Greenleaf[[#This Row],[Quantity Sold]]*Greenleaf[[#This Row],[Unit Price]]</f>
        <v>280</v>
      </c>
    </row>
    <row r="45" spans="1:17" x14ac:dyDescent="0.25">
      <c r="A45" t="s">
        <v>1471</v>
      </c>
      <c r="B45" s="5">
        <v>45304</v>
      </c>
      <c r="C45" s="5" t="str">
        <f>TEXT(Greenleaf[[#This Row],[Order Date]],"MMM")</f>
        <v>Jan</v>
      </c>
      <c r="D45" s="5" t="str">
        <f>TEXT(Greenleaf[[#This Row],[Order Date]],"YYYY")</f>
        <v>2024</v>
      </c>
      <c r="E45" t="s">
        <v>2460</v>
      </c>
      <c r="F45" s="7" t="s">
        <v>1015</v>
      </c>
      <c r="G45" s="9">
        <v>2</v>
      </c>
      <c r="H45" s="11">
        <v>10</v>
      </c>
      <c r="I45" s="13">
        <v>2.46</v>
      </c>
      <c r="J45" t="s">
        <v>1099</v>
      </c>
      <c r="K45" t="s">
        <v>2503</v>
      </c>
      <c r="L45" s="7" t="s">
        <v>1414</v>
      </c>
      <c r="M45" s="7" t="s">
        <v>1426</v>
      </c>
      <c r="N45" s="14">
        <f>Greenleaf[[#This Row],[Unit Price]]*Greenleaf[[#This Row],[Quantity Sold]]</f>
        <v>20</v>
      </c>
      <c r="O45" s="13">
        <f>Greenleaf[[#This Row],[Unit Cost]]*Greenleaf[[#This Row],[Quantity Sold]]</f>
        <v>4.92</v>
      </c>
      <c r="P45" s="13">
        <f>Greenleaf[[#This Row],[ Unit  price per quantity]]-Greenleaf[[#This Row],[ Unit cost per quantity]]</f>
        <v>15.08</v>
      </c>
      <c r="Q45" s="14">
        <f>Greenleaf[[#This Row],[Quantity Sold]]*Greenleaf[[#This Row],[Unit Price]]</f>
        <v>20</v>
      </c>
    </row>
    <row r="46" spans="1:17" x14ac:dyDescent="0.25">
      <c r="A46" t="s">
        <v>1472</v>
      </c>
      <c r="B46" s="5">
        <v>45304</v>
      </c>
      <c r="C46" s="5" t="str">
        <f>TEXT(Greenleaf[[#This Row],[Order Date]],"MMM")</f>
        <v>Jan</v>
      </c>
      <c r="D46" s="5" t="str">
        <f>TEXT(Greenleaf[[#This Row],[Order Date]],"YYYY")</f>
        <v>2024</v>
      </c>
      <c r="E46" t="s">
        <v>2461</v>
      </c>
      <c r="F46" s="7" t="s">
        <v>1011</v>
      </c>
      <c r="G46" s="9">
        <v>5</v>
      </c>
      <c r="H46" s="11">
        <v>12</v>
      </c>
      <c r="I46" s="13">
        <v>4.2</v>
      </c>
      <c r="J46" t="s">
        <v>1186</v>
      </c>
      <c r="K46" t="s">
        <v>2477</v>
      </c>
      <c r="L46" s="7" t="s">
        <v>1417</v>
      </c>
      <c r="M46" s="7" t="s">
        <v>1426</v>
      </c>
      <c r="N46" s="14">
        <f>Greenleaf[[#This Row],[Unit Price]]*Greenleaf[[#This Row],[Quantity Sold]]</f>
        <v>60</v>
      </c>
      <c r="O46" s="13">
        <f>Greenleaf[[#This Row],[Unit Cost]]*Greenleaf[[#This Row],[Quantity Sold]]</f>
        <v>21</v>
      </c>
      <c r="P46" s="13">
        <f>Greenleaf[[#This Row],[ Unit  price per quantity]]-Greenleaf[[#This Row],[ Unit cost per quantity]]</f>
        <v>39</v>
      </c>
      <c r="Q46" s="14">
        <f>Greenleaf[[#This Row],[Quantity Sold]]*Greenleaf[[#This Row],[Unit Price]]</f>
        <v>60</v>
      </c>
    </row>
    <row r="47" spans="1:17" x14ac:dyDescent="0.25">
      <c r="A47" t="s">
        <v>1473</v>
      </c>
      <c r="B47" s="5">
        <v>45305</v>
      </c>
      <c r="C47" s="5" t="str">
        <f>TEXT(Greenleaf[[#This Row],[Order Date]],"MMM")</f>
        <v>Jan</v>
      </c>
      <c r="D47" s="5" t="str">
        <f>TEXT(Greenleaf[[#This Row],[Order Date]],"YYYY")</f>
        <v>2024</v>
      </c>
      <c r="E47" t="s">
        <v>2462</v>
      </c>
      <c r="F47" s="7" t="s">
        <v>1013</v>
      </c>
      <c r="G47" s="9">
        <v>5</v>
      </c>
      <c r="H47" s="11">
        <v>25</v>
      </c>
      <c r="I47" s="13">
        <v>6.32</v>
      </c>
      <c r="J47" t="s">
        <v>1023</v>
      </c>
      <c r="K47" t="s">
        <v>2473</v>
      </c>
      <c r="L47" s="7" t="s">
        <v>1414</v>
      </c>
      <c r="M47" s="7" t="s">
        <v>1424</v>
      </c>
      <c r="N47" s="14">
        <f>Greenleaf[[#This Row],[Unit Price]]*Greenleaf[[#This Row],[Quantity Sold]]</f>
        <v>125</v>
      </c>
      <c r="O47" s="13">
        <f>Greenleaf[[#This Row],[Unit Cost]]*Greenleaf[[#This Row],[Quantity Sold]]</f>
        <v>31.6</v>
      </c>
      <c r="P47" s="13">
        <f>Greenleaf[[#This Row],[ Unit  price per quantity]]-Greenleaf[[#This Row],[ Unit cost per quantity]]</f>
        <v>93.4</v>
      </c>
      <c r="Q47" s="14">
        <f>Greenleaf[[#This Row],[Quantity Sold]]*Greenleaf[[#This Row],[Unit Price]]</f>
        <v>125</v>
      </c>
    </row>
    <row r="48" spans="1:17" x14ac:dyDescent="0.25">
      <c r="A48" t="s">
        <v>1474</v>
      </c>
      <c r="B48" s="5">
        <v>45305</v>
      </c>
      <c r="C48" s="5" t="str">
        <f>TEXT(Greenleaf[[#This Row],[Order Date]],"MMM")</f>
        <v>Jan</v>
      </c>
      <c r="D48" s="5" t="str">
        <f>TEXT(Greenleaf[[#This Row],[Order Date]],"YYYY")</f>
        <v>2024</v>
      </c>
      <c r="E48" t="s">
        <v>2460</v>
      </c>
      <c r="F48" s="7" t="s">
        <v>1015</v>
      </c>
      <c r="G48" s="9">
        <v>7</v>
      </c>
      <c r="H48" s="11">
        <v>10</v>
      </c>
      <c r="I48" s="13">
        <v>2.88</v>
      </c>
      <c r="J48" t="s">
        <v>1060</v>
      </c>
      <c r="K48" t="s">
        <v>2504</v>
      </c>
      <c r="L48" s="7" t="s">
        <v>1416</v>
      </c>
      <c r="M48" s="7" t="s">
        <v>1420</v>
      </c>
      <c r="N48" s="14">
        <f>Greenleaf[[#This Row],[Unit Price]]*Greenleaf[[#This Row],[Quantity Sold]]</f>
        <v>70</v>
      </c>
      <c r="O48" s="13">
        <f>Greenleaf[[#This Row],[Unit Cost]]*Greenleaf[[#This Row],[Quantity Sold]]</f>
        <v>20.16</v>
      </c>
      <c r="P48" s="13">
        <f>Greenleaf[[#This Row],[ Unit  price per quantity]]-Greenleaf[[#This Row],[ Unit cost per quantity]]</f>
        <v>49.84</v>
      </c>
      <c r="Q48" s="14">
        <f>Greenleaf[[#This Row],[Quantity Sold]]*Greenleaf[[#This Row],[Unit Price]]</f>
        <v>70</v>
      </c>
    </row>
    <row r="49" spans="1:17" x14ac:dyDescent="0.25">
      <c r="A49" t="s">
        <v>1475</v>
      </c>
      <c r="B49" s="5">
        <v>45305</v>
      </c>
      <c r="C49" s="5" t="str">
        <f>TEXT(Greenleaf[[#This Row],[Order Date]],"MMM")</f>
        <v>Jan</v>
      </c>
      <c r="D49" s="5" t="str">
        <f>TEXT(Greenleaf[[#This Row],[Order Date]],"YYYY")</f>
        <v>2024</v>
      </c>
      <c r="E49" t="s">
        <v>2460</v>
      </c>
      <c r="F49" s="7" t="s">
        <v>1015</v>
      </c>
      <c r="G49" s="9">
        <v>3</v>
      </c>
      <c r="H49" s="11">
        <v>10</v>
      </c>
      <c r="I49" s="13">
        <v>3.54</v>
      </c>
      <c r="J49" t="s">
        <v>1034</v>
      </c>
      <c r="K49" t="s">
        <v>2473</v>
      </c>
      <c r="L49" s="7" t="s">
        <v>1416</v>
      </c>
      <c r="M49" s="7" t="s">
        <v>1419</v>
      </c>
      <c r="N49" s="14">
        <f>Greenleaf[[#This Row],[Unit Price]]*Greenleaf[[#This Row],[Quantity Sold]]</f>
        <v>30</v>
      </c>
      <c r="O49" s="13">
        <f>Greenleaf[[#This Row],[Unit Cost]]*Greenleaf[[#This Row],[Quantity Sold]]</f>
        <v>10.620000000000001</v>
      </c>
      <c r="P49" s="13">
        <f>Greenleaf[[#This Row],[ Unit  price per quantity]]-Greenleaf[[#This Row],[ Unit cost per quantity]]</f>
        <v>19.38</v>
      </c>
      <c r="Q49" s="14">
        <f>Greenleaf[[#This Row],[Quantity Sold]]*Greenleaf[[#This Row],[Unit Price]]</f>
        <v>30</v>
      </c>
    </row>
    <row r="50" spans="1:17" x14ac:dyDescent="0.25">
      <c r="A50" t="s">
        <v>1476</v>
      </c>
      <c r="B50" s="5">
        <v>45305</v>
      </c>
      <c r="C50" s="5" t="str">
        <f>TEXT(Greenleaf[[#This Row],[Order Date]],"MMM")</f>
        <v>Jan</v>
      </c>
      <c r="D50" s="5" t="str">
        <f>TEXT(Greenleaf[[#This Row],[Order Date]],"YYYY")</f>
        <v>2024</v>
      </c>
      <c r="E50" t="s">
        <v>2464</v>
      </c>
      <c r="F50" s="7" t="s">
        <v>1012</v>
      </c>
      <c r="G50" s="9">
        <v>1</v>
      </c>
      <c r="H50" s="11">
        <v>40</v>
      </c>
      <c r="I50" s="13">
        <v>15.48</v>
      </c>
      <c r="J50" t="s">
        <v>1111</v>
      </c>
      <c r="K50" t="s">
        <v>2488</v>
      </c>
      <c r="L50" s="7" t="s">
        <v>1415</v>
      </c>
      <c r="M50" s="7" t="s">
        <v>1420</v>
      </c>
      <c r="N50" s="14">
        <f>Greenleaf[[#This Row],[Unit Price]]*Greenleaf[[#This Row],[Quantity Sold]]</f>
        <v>40</v>
      </c>
      <c r="O50" s="13">
        <f>Greenleaf[[#This Row],[Unit Cost]]*Greenleaf[[#This Row],[Quantity Sold]]</f>
        <v>15.48</v>
      </c>
      <c r="P50" s="13">
        <f>Greenleaf[[#This Row],[ Unit  price per quantity]]-Greenleaf[[#This Row],[ Unit cost per quantity]]</f>
        <v>24.52</v>
      </c>
      <c r="Q50" s="14">
        <f>Greenleaf[[#This Row],[Quantity Sold]]*Greenleaf[[#This Row],[Unit Price]]</f>
        <v>40</v>
      </c>
    </row>
    <row r="51" spans="1:17" x14ac:dyDescent="0.25">
      <c r="A51" t="s">
        <v>1477</v>
      </c>
      <c r="B51" s="5">
        <v>45305</v>
      </c>
      <c r="C51" s="5" t="str">
        <f>TEXT(Greenleaf[[#This Row],[Order Date]],"MMM")</f>
        <v>Jan</v>
      </c>
      <c r="D51" s="5" t="str">
        <f>TEXT(Greenleaf[[#This Row],[Order Date]],"YYYY")</f>
        <v>2024</v>
      </c>
      <c r="E51" t="s">
        <v>2464</v>
      </c>
      <c r="F51" s="7" t="s">
        <v>1012</v>
      </c>
      <c r="G51" s="9">
        <v>5</v>
      </c>
      <c r="H51" s="11">
        <v>40</v>
      </c>
      <c r="I51" s="13">
        <v>13.2</v>
      </c>
      <c r="J51" t="s">
        <v>1149</v>
      </c>
      <c r="K51" t="s">
        <v>2505</v>
      </c>
      <c r="L51" s="7" t="s">
        <v>1414</v>
      </c>
      <c r="M51" s="7" t="s">
        <v>1425</v>
      </c>
      <c r="N51" s="14">
        <f>Greenleaf[[#This Row],[Unit Price]]*Greenleaf[[#This Row],[Quantity Sold]]</f>
        <v>200</v>
      </c>
      <c r="O51" s="13">
        <f>Greenleaf[[#This Row],[Unit Cost]]*Greenleaf[[#This Row],[Quantity Sold]]</f>
        <v>66</v>
      </c>
      <c r="P51" s="13">
        <f>Greenleaf[[#This Row],[ Unit  price per quantity]]-Greenleaf[[#This Row],[ Unit cost per quantity]]</f>
        <v>134</v>
      </c>
      <c r="Q51" s="14">
        <f>Greenleaf[[#This Row],[Quantity Sold]]*Greenleaf[[#This Row],[Unit Price]]</f>
        <v>200</v>
      </c>
    </row>
    <row r="52" spans="1:17" x14ac:dyDescent="0.25">
      <c r="A52" t="s">
        <v>1478</v>
      </c>
      <c r="B52" s="5">
        <v>45305</v>
      </c>
      <c r="C52" s="5" t="str">
        <f>TEXT(Greenleaf[[#This Row],[Order Date]],"MMM")</f>
        <v>Jan</v>
      </c>
      <c r="D52" s="5" t="str">
        <f>TEXT(Greenleaf[[#This Row],[Order Date]],"YYYY")</f>
        <v>2024</v>
      </c>
      <c r="E52" t="s">
        <v>2462</v>
      </c>
      <c r="F52" s="7" t="s">
        <v>1013</v>
      </c>
      <c r="G52" s="9">
        <v>4</v>
      </c>
      <c r="H52" s="11">
        <v>25</v>
      </c>
      <c r="I52" s="13">
        <v>7.94</v>
      </c>
      <c r="J52" t="s">
        <v>1123</v>
      </c>
      <c r="K52" t="s">
        <v>2501</v>
      </c>
      <c r="L52" s="7" t="s">
        <v>1414</v>
      </c>
      <c r="M52" s="7" t="s">
        <v>1418</v>
      </c>
      <c r="N52" s="14">
        <f>Greenleaf[[#This Row],[Unit Price]]*Greenleaf[[#This Row],[Quantity Sold]]</f>
        <v>100</v>
      </c>
      <c r="O52" s="13">
        <f>Greenleaf[[#This Row],[Unit Cost]]*Greenleaf[[#This Row],[Quantity Sold]]</f>
        <v>31.76</v>
      </c>
      <c r="P52" s="13">
        <f>Greenleaf[[#This Row],[ Unit  price per quantity]]-Greenleaf[[#This Row],[ Unit cost per quantity]]</f>
        <v>68.239999999999995</v>
      </c>
      <c r="Q52" s="14">
        <f>Greenleaf[[#This Row],[Quantity Sold]]*Greenleaf[[#This Row],[Unit Price]]</f>
        <v>100</v>
      </c>
    </row>
    <row r="53" spans="1:17" x14ac:dyDescent="0.25">
      <c r="A53" t="s">
        <v>1479</v>
      </c>
      <c r="B53" s="5">
        <v>45305</v>
      </c>
      <c r="C53" s="5" t="str">
        <f>TEXT(Greenleaf[[#This Row],[Order Date]],"MMM")</f>
        <v>Jan</v>
      </c>
      <c r="D53" s="5" t="str">
        <f>TEXT(Greenleaf[[#This Row],[Order Date]],"YYYY")</f>
        <v>2024</v>
      </c>
      <c r="E53" t="s">
        <v>2460</v>
      </c>
      <c r="F53" s="7" t="s">
        <v>1015</v>
      </c>
      <c r="G53" s="9">
        <v>6</v>
      </c>
      <c r="H53" s="11">
        <v>10</v>
      </c>
      <c r="I53" s="13">
        <v>2.73</v>
      </c>
      <c r="J53" t="s">
        <v>1074</v>
      </c>
      <c r="K53" t="s">
        <v>2506</v>
      </c>
      <c r="L53" s="7" t="s">
        <v>1414</v>
      </c>
      <c r="M53" s="7" t="s">
        <v>1423</v>
      </c>
      <c r="N53" s="14">
        <f>Greenleaf[[#This Row],[Unit Price]]*Greenleaf[[#This Row],[Quantity Sold]]</f>
        <v>60</v>
      </c>
      <c r="O53" s="13">
        <f>Greenleaf[[#This Row],[Unit Cost]]*Greenleaf[[#This Row],[Quantity Sold]]</f>
        <v>16.38</v>
      </c>
      <c r="P53" s="13">
        <f>Greenleaf[[#This Row],[ Unit  price per quantity]]-Greenleaf[[#This Row],[ Unit cost per quantity]]</f>
        <v>43.620000000000005</v>
      </c>
      <c r="Q53" s="14">
        <f>Greenleaf[[#This Row],[Quantity Sold]]*Greenleaf[[#This Row],[Unit Price]]</f>
        <v>60</v>
      </c>
    </row>
    <row r="54" spans="1:17" x14ac:dyDescent="0.25">
      <c r="A54" t="s">
        <v>1480</v>
      </c>
      <c r="B54" s="5">
        <v>45305</v>
      </c>
      <c r="C54" s="5" t="str">
        <f>TEXT(Greenleaf[[#This Row],[Order Date]],"MMM")</f>
        <v>Jan</v>
      </c>
      <c r="D54" s="5" t="str">
        <f>TEXT(Greenleaf[[#This Row],[Order Date]],"YYYY")</f>
        <v>2024</v>
      </c>
      <c r="E54" t="s">
        <v>2464</v>
      </c>
      <c r="F54" s="7" t="s">
        <v>1012</v>
      </c>
      <c r="G54" s="9">
        <v>2</v>
      </c>
      <c r="H54" s="11">
        <v>40</v>
      </c>
      <c r="I54" s="13">
        <v>13.63</v>
      </c>
      <c r="J54" t="s">
        <v>1157</v>
      </c>
      <c r="K54" t="s">
        <v>2491</v>
      </c>
      <c r="L54" s="7" t="s">
        <v>1416</v>
      </c>
      <c r="M54" s="7" t="s">
        <v>1418</v>
      </c>
      <c r="N54" s="14">
        <f>Greenleaf[[#This Row],[Unit Price]]*Greenleaf[[#This Row],[Quantity Sold]]</f>
        <v>80</v>
      </c>
      <c r="O54" s="13">
        <f>Greenleaf[[#This Row],[Unit Cost]]*Greenleaf[[#This Row],[Quantity Sold]]</f>
        <v>27.26</v>
      </c>
      <c r="P54" s="13">
        <f>Greenleaf[[#This Row],[ Unit  price per quantity]]-Greenleaf[[#This Row],[ Unit cost per quantity]]</f>
        <v>52.739999999999995</v>
      </c>
      <c r="Q54" s="14">
        <f>Greenleaf[[#This Row],[Quantity Sold]]*Greenleaf[[#This Row],[Unit Price]]</f>
        <v>80</v>
      </c>
    </row>
    <row r="55" spans="1:17" x14ac:dyDescent="0.25">
      <c r="A55" t="s">
        <v>1481</v>
      </c>
      <c r="B55" s="5">
        <v>45305</v>
      </c>
      <c r="C55" s="5" t="str">
        <f>TEXT(Greenleaf[[#This Row],[Order Date]],"MMM")</f>
        <v>Jan</v>
      </c>
      <c r="D55" s="5" t="str">
        <f>TEXT(Greenleaf[[#This Row],[Order Date]],"YYYY")</f>
        <v>2024</v>
      </c>
      <c r="E55" t="s">
        <v>2464</v>
      </c>
      <c r="F55" s="7" t="s">
        <v>1012</v>
      </c>
      <c r="G55" s="9">
        <v>1</v>
      </c>
      <c r="H55" s="11">
        <v>40</v>
      </c>
      <c r="I55" s="13">
        <v>11.98</v>
      </c>
      <c r="J55" t="s">
        <v>1206</v>
      </c>
      <c r="K55" t="s">
        <v>2507</v>
      </c>
      <c r="L55" s="7" t="s">
        <v>1414</v>
      </c>
      <c r="M55" s="7" t="s">
        <v>1422</v>
      </c>
      <c r="N55" s="14">
        <f>Greenleaf[[#This Row],[Unit Price]]*Greenleaf[[#This Row],[Quantity Sold]]</f>
        <v>40</v>
      </c>
      <c r="O55" s="13">
        <f>Greenleaf[[#This Row],[Unit Cost]]*Greenleaf[[#This Row],[Quantity Sold]]</f>
        <v>11.98</v>
      </c>
      <c r="P55" s="13">
        <f>Greenleaf[[#This Row],[ Unit  price per quantity]]-Greenleaf[[#This Row],[ Unit cost per quantity]]</f>
        <v>28.02</v>
      </c>
      <c r="Q55" s="14">
        <f>Greenleaf[[#This Row],[Quantity Sold]]*Greenleaf[[#This Row],[Unit Price]]</f>
        <v>40</v>
      </c>
    </row>
    <row r="56" spans="1:17" x14ac:dyDescent="0.25">
      <c r="A56" t="s">
        <v>1482</v>
      </c>
      <c r="B56" s="5">
        <v>45306</v>
      </c>
      <c r="C56" s="5" t="str">
        <f>TEXT(Greenleaf[[#This Row],[Order Date]],"MMM")</f>
        <v>Jan</v>
      </c>
      <c r="D56" s="5" t="str">
        <f>TEXT(Greenleaf[[#This Row],[Order Date]],"YYYY")</f>
        <v>2024</v>
      </c>
      <c r="E56" t="s">
        <v>2462</v>
      </c>
      <c r="F56" s="7" t="s">
        <v>1013</v>
      </c>
      <c r="G56" s="9">
        <v>5</v>
      </c>
      <c r="H56" s="11">
        <v>25</v>
      </c>
      <c r="I56" s="13">
        <v>6.78</v>
      </c>
      <c r="J56" t="s">
        <v>1104</v>
      </c>
      <c r="K56" t="s">
        <v>2508</v>
      </c>
      <c r="L56" s="7" t="s">
        <v>1417</v>
      </c>
      <c r="M56" s="7" t="s">
        <v>1418</v>
      </c>
      <c r="N56" s="14">
        <f>Greenleaf[[#This Row],[Unit Price]]*Greenleaf[[#This Row],[Quantity Sold]]</f>
        <v>125</v>
      </c>
      <c r="O56" s="13">
        <f>Greenleaf[[#This Row],[Unit Cost]]*Greenleaf[[#This Row],[Quantity Sold]]</f>
        <v>33.9</v>
      </c>
      <c r="P56" s="13">
        <f>Greenleaf[[#This Row],[ Unit  price per quantity]]-Greenleaf[[#This Row],[ Unit cost per quantity]]</f>
        <v>91.1</v>
      </c>
      <c r="Q56" s="14">
        <f>Greenleaf[[#This Row],[Quantity Sold]]*Greenleaf[[#This Row],[Unit Price]]</f>
        <v>125</v>
      </c>
    </row>
    <row r="57" spans="1:17" x14ac:dyDescent="0.25">
      <c r="A57" t="s">
        <v>1483</v>
      </c>
      <c r="B57" s="5">
        <v>45307</v>
      </c>
      <c r="C57" s="5" t="str">
        <f>TEXT(Greenleaf[[#This Row],[Order Date]],"MMM")</f>
        <v>Jan</v>
      </c>
      <c r="D57" s="5" t="str">
        <f>TEXT(Greenleaf[[#This Row],[Order Date]],"YYYY")</f>
        <v>2024</v>
      </c>
      <c r="E57" t="s">
        <v>2463</v>
      </c>
      <c r="F57" s="7" t="s">
        <v>1014</v>
      </c>
      <c r="G57" s="9">
        <v>5</v>
      </c>
      <c r="H57" s="11">
        <v>15</v>
      </c>
      <c r="I57" s="13">
        <v>5.35</v>
      </c>
      <c r="J57" t="s">
        <v>1127</v>
      </c>
      <c r="K57" t="s">
        <v>2509</v>
      </c>
      <c r="L57" s="7" t="s">
        <v>1414</v>
      </c>
      <c r="M57" s="7" t="s">
        <v>1425</v>
      </c>
      <c r="N57" s="14">
        <f>Greenleaf[[#This Row],[Unit Price]]*Greenleaf[[#This Row],[Quantity Sold]]</f>
        <v>75</v>
      </c>
      <c r="O57" s="13">
        <f>Greenleaf[[#This Row],[Unit Cost]]*Greenleaf[[#This Row],[Quantity Sold]]</f>
        <v>26.75</v>
      </c>
      <c r="P57" s="13">
        <f>Greenleaf[[#This Row],[ Unit  price per quantity]]-Greenleaf[[#This Row],[ Unit cost per quantity]]</f>
        <v>48.25</v>
      </c>
      <c r="Q57" s="14">
        <f>Greenleaf[[#This Row],[Quantity Sold]]*Greenleaf[[#This Row],[Unit Price]]</f>
        <v>75</v>
      </c>
    </row>
    <row r="58" spans="1:17" x14ac:dyDescent="0.25">
      <c r="A58" t="s">
        <v>1484</v>
      </c>
      <c r="B58" s="5">
        <v>45308</v>
      </c>
      <c r="C58" s="5" t="str">
        <f>TEXT(Greenleaf[[#This Row],[Order Date]],"MMM")</f>
        <v>Jan</v>
      </c>
      <c r="D58" s="5" t="str">
        <f>TEXT(Greenleaf[[#This Row],[Order Date]],"YYYY")</f>
        <v>2024</v>
      </c>
      <c r="E58" t="s">
        <v>2460</v>
      </c>
      <c r="F58" s="7" t="s">
        <v>1015</v>
      </c>
      <c r="G58" s="9">
        <v>1</v>
      </c>
      <c r="H58" s="11">
        <v>10</v>
      </c>
      <c r="I58" s="13">
        <v>3.11</v>
      </c>
      <c r="J58" t="s">
        <v>1040</v>
      </c>
      <c r="K58" t="s">
        <v>2510</v>
      </c>
      <c r="L58" s="7" t="s">
        <v>1416</v>
      </c>
      <c r="M58" s="7" t="s">
        <v>1425</v>
      </c>
      <c r="N58" s="14">
        <f>Greenleaf[[#This Row],[Unit Price]]*Greenleaf[[#This Row],[Quantity Sold]]</f>
        <v>10</v>
      </c>
      <c r="O58" s="13">
        <f>Greenleaf[[#This Row],[Unit Cost]]*Greenleaf[[#This Row],[Quantity Sold]]</f>
        <v>3.11</v>
      </c>
      <c r="P58" s="13">
        <f>Greenleaf[[#This Row],[ Unit  price per quantity]]-Greenleaf[[#This Row],[ Unit cost per quantity]]</f>
        <v>6.8900000000000006</v>
      </c>
      <c r="Q58" s="14">
        <f>Greenleaf[[#This Row],[Quantity Sold]]*Greenleaf[[#This Row],[Unit Price]]</f>
        <v>10</v>
      </c>
    </row>
    <row r="59" spans="1:17" x14ac:dyDescent="0.25">
      <c r="A59" t="s">
        <v>1485</v>
      </c>
      <c r="B59" s="5">
        <v>45308</v>
      </c>
      <c r="C59" s="5" t="str">
        <f>TEXT(Greenleaf[[#This Row],[Order Date]],"MMM")</f>
        <v>Jan</v>
      </c>
      <c r="D59" s="5" t="str">
        <f>TEXT(Greenleaf[[#This Row],[Order Date]],"YYYY")</f>
        <v>2024</v>
      </c>
      <c r="E59" t="s">
        <v>2464</v>
      </c>
      <c r="F59" s="7" t="s">
        <v>1012</v>
      </c>
      <c r="G59" s="9">
        <v>7</v>
      </c>
      <c r="H59" s="11">
        <v>40</v>
      </c>
      <c r="I59" s="13">
        <v>9.3800000000000008</v>
      </c>
      <c r="J59" t="s">
        <v>1190</v>
      </c>
      <c r="K59" t="s">
        <v>2511</v>
      </c>
      <c r="L59" s="7" t="s">
        <v>1416</v>
      </c>
      <c r="M59" s="7" t="s">
        <v>1421</v>
      </c>
      <c r="N59" s="14">
        <f>Greenleaf[[#This Row],[Unit Price]]*Greenleaf[[#This Row],[Quantity Sold]]</f>
        <v>280</v>
      </c>
      <c r="O59" s="13">
        <f>Greenleaf[[#This Row],[Unit Cost]]*Greenleaf[[#This Row],[Quantity Sold]]</f>
        <v>65.660000000000011</v>
      </c>
      <c r="P59" s="13">
        <f>Greenleaf[[#This Row],[ Unit  price per quantity]]-Greenleaf[[#This Row],[ Unit cost per quantity]]</f>
        <v>214.33999999999997</v>
      </c>
      <c r="Q59" s="14">
        <f>Greenleaf[[#This Row],[Quantity Sold]]*Greenleaf[[#This Row],[Unit Price]]</f>
        <v>280</v>
      </c>
    </row>
    <row r="60" spans="1:17" x14ac:dyDescent="0.25">
      <c r="A60" t="s">
        <v>1486</v>
      </c>
      <c r="B60" s="5">
        <v>45309</v>
      </c>
      <c r="C60" s="5" t="str">
        <f>TEXT(Greenleaf[[#This Row],[Order Date]],"MMM")</f>
        <v>Jan</v>
      </c>
      <c r="D60" s="5" t="str">
        <f>TEXT(Greenleaf[[#This Row],[Order Date]],"YYYY")</f>
        <v>2024</v>
      </c>
      <c r="E60" t="s">
        <v>2460</v>
      </c>
      <c r="F60" s="7" t="s">
        <v>1015</v>
      </c>
      <c r="G60" s="9">
        <v>1</v>
      </c>
      <c r="H60" s="11">
        <v>10</v>
      </c>
      <c r="I60" s="13">
        <v>3.75</v>
      </c>
      <c r="J60" t="s">
        <v>1100</v>
      </c>
      <c r="K60" t="s">
        <v>2512</v>
      </c>
      <c r="L60" s="7" t="s">
        <v>1417</v>
      </c>
      <c r="M60" s="7" t="s">
        <v>1418</v>
      </c>
      <c r="N60" s="14">
        <f>Greenleaf[[#This Row],[Unit Price]]*Greenleaf[[#This Row],[Quantity Sold]]</f>
        <v>10</v>
      </c>
      <c r="O60" s="13">
        <f>Greenleaf[[#This Row],[Unit Cost]]*Greenleaf[[#This Row],[Quantity Sold]]</f>
        <v>3.75</v>
      </c>
      <c r="P60" s="13">
        <f>Greenleaf[[#This Row],[ Unit  price per quantity]]-Greenleaf[[#This Row],[ Unit cost per quantity]]</f>
        <v>6.25</v>
      </c>
      <c r="Q60" s="14">
        <f>Greenleaf[[#This Row],[Quantity Sold]]*Greenleaf[[#This Row],[Unit Price]]</f>
        <v>10</v>
      </c>
    </row>
    <row r="61" spans="1:17" x14ac:dyDescent="0.25">
      <c r="A61" t="s">
        <v>1487</v>
      </c>
      <c r="B61" s="5">
        <v>45309</v>
      </c>
      <c r="C61" s="5" t="str">
        <f>TEXT(Greenleaf[[#This Row],[Order Date]],"MMM")</f>
        <v>Jan</v>
      </c>
      <c r="D61" s="5" t="str">
        <f>TEXT(Greenleaf[[#This Row],[Order Date]],"YYYY")</f>
        <v>2024</v>
      </c>
      <c r="E61" t="s">
        <v>2462</v>
      </c>
      <c r="F61" s="7" t="s">
        <v>1013</v>
      </c>
      <c r="G61" s="9">
        <v>6</v>
      </c>
      <c r="H61" s="11">
        <v>25</v>
      </c>
      <c r="I61" s="13">
        <v>7.18</v>
      </c>
      <c r="J61" t="s">
        <v>1044</v>
      </c>
      <c r="K61" t="s">
        <v>2513</v>
      </c>
      <c r="L61" s="7" t="s">
        <v>1414</v>
      </c>
      <c r="M61" s="7" t="s">
        <v>1425</v>
      </c>
      <c r="N61" s="14">
        <f>Greenleaf[[#This Row],[Unit Price]]*Greenleaf[[#This Row],[Quantity Sold]]</f>
        <v>150</v>
      </c>
      <c r="O61" s="13">
        <f>Greenleaf[[#This Row],[Unit Cost]]*Greenleaf[[#This Row],[Quantity Sold]]</f>
        <v>43.08</v>
      </c>
      <c r="P61" s="13">
        <f>Greenleaf[[#This Row],[ Unit  price per quantity]]-Greenleaf[[#This Row],[ Unit cost per quantity]]</f>
        <v>106.92</v>
      </c>
      <c r="Q61" s="14">
        <f>Greenleaf[[#This Row],[Quantity Sold]]*Greenleaf[[#This Row],[Unit Price]]</f>
        <v>150</v>
      </c>
    </row>
    <row r="62" spans="1:17" x14ac:dyDescent="0.25">
      <c r="A62" t="s">
        <v>1488</v>
      </c>
      <c r="B62" s="5">
        <v>45309</v>
      </c>
      <c r="C62" s="5" t="str">
        <f>TEXT(Greenleaf[[#This Row],[Order Date]],"MMM")</f>
        <v>Jan</v>
      </c>
      <c r="D62" s="5" t="str">
        <f>TEXT(Greenleaf[[#This Row],[Order Date]],"YYYY")</f>
        <v>2024</v>
      </c>
      <c r="E62" t="s">
        <v>2461</v>
      </c>
      <c r="F62" s="7" t="s">
        <v>1011</v>
      </c>
      <c r="G62" s="9">
        <v>3</v>
      </c>
      <c r="H62" s="11">
        <v>12</v>
      </c>
      <c r="I62" s="13">
        <v>4.53</v>
      </c>
      <c r="J62" t="s">
        <v>1167</v>
      </c>
      <c r="K62" t="s">
        <v>2514</v>
      </c>
      <c r="L62" s="7" t="s">
        <v>1414</v>
      </c>
      <c r="M62" s="7" t="s">
        <v>1420</v>
      </c>
      <c r="N62" s="14">
        <f>Greenleaf[[#This Row],[Unit Price]]*Greenleaf[[#This Row],[Quantity Sold]]</f>
        <v>36</v>
      </c>
      <c r="O62" s="13">
        <f>Greenleaf[[#This Row],[Unit Cost]]*Greenleaf[[#This Row],[Quantity Sold]]</f>
        <v>13.59</v>
      </c>
      <c r="P62" s="13">
        <f>Greenleaf[[#This Row],[ Unit  price per quantity]]-Greenleaf[[#This Row],[ Unit cost per quantity]]</f>
        <v>22.41</v>
      </c>
      <c r="Q62" s="14">
        <f>Greenleaf[[#This Row],[Quantity Sold]]*Greenleaf[[#This Row],[Unit Price]]</f>
        <v>36</v>
      </c>
    </row>
    <row r="63" spans="1:17" x14ac:dyDescent="0.25">
      <c r="A63" t="s">
        <v>1489</v>
      </c>
      <c r="B63" s="5">
        <v>45310</v>
      </c>
      <c r="C63" s="5" t="str">
        <f>TEXT(Greenleaf[[#This Row],[Order Date]],"MMM")</f>
        <v>Jan</v>
      </c>
      <c r="D63" s="5" t="str">
        <f>TEXT(Greenleaf[[#This Row],[Order Date]],"YYYY")</f>
        <v>2024</v>
      </c>
      <c r="E63" t="s">
        <v>2460</v>
      </c>
      <c r="F63" s="7" t="s">
        <v>1015</v>
      </c>
      <c r="G63" s="9">
        <v>2</v>
      </c>
      <c r="H63" s="11">
        <v>10</v>
      </c>
      <c r="I63" s="13">
        <v>3.53</v>
      </c>
      <c r="J63" t="s">
        <v>1161</v>
      </c>
      <c r="K63" t="s">
        <v>2515</v>
      </c>
      <c r="L63" s="7" t="s">
        <v>1414</v>
      </c>
      <c r="M63" s="7" t="s">
        <v>1427</v>
      </c>
      <c r="N63" s="14">
        <f>Greenleaf[[#This Row],[Unit Price]]*Greenleaf[[#This Row],[Quantity Sold]]</f>
        <v>20</v>
      </c>
      <c r="O63" s="13">
        <f>Greenleaf[[#This Row],[Unit Cost]]*Greenleaf[[#This Row],[Quantity Sold]]</f>
        <v>7.06</v>
      </c>
      <c r="P63" s="13">
        <f>Greenleaf[[#This Row],[ Unit  price per quantity]]-Greenleaf[[#This Row],[ Unit cost per quantity]]</f>
        <v>12.940000000000001</v>
      </c>
      <c r="Q63" s="14">
        <f>Greenleaf[[#This Row],[Quantity Sold]]*Greenleaf[[#This Row],[Unit Price]]</f>
        <v>20</v>
      </c>
    </row>
    <row r="64" spans="1:17" x14ac:dyDescent="0.25">
      <c r="A64" t="s">
        <v>1490</v>
      </c>
      <c r="B64" s="5">
        <v>45310</v>
      </c>
      <c r="C64" s="5" t="str">
        <f>TEXT(Greenleaf[[#This Row],[Order Date]],"MMM")</f>
        <v>Jan</v>
      </c>
      <c r="D64" s="5" t="str">
        <f>TEXT(Greenleaf[[#This Row],[Order Date]],"YYYY")</f>
        <v>2024</v>
      </c>
      <c r="E64" t="s">
        <v>2460</v>
      </c>
      <c r="F64" s="7" t="s">
        <v>1015</v>
      </c>
      <c r="G64" s="9">
        <v>6</v>
      </c>
      <c r="H64" s="11">
        <v>10</v>
      </c>
      <c r="I64" s="13">
        <v>2.13</v>
      </c>
      <c r="J64" t="s">
        <v>1110</v>
      </c>
      <c r="K64" t="s">
        <v>2516</v>
      </c>
      <c r="L64" s="7" t="s">
        <v>1414</v>
      </c>
      <c r="M64" s="7" t="s">
        <v>1422</v>
      </c>
      <c r="N64" s="14">
        <f>Greenleaf[[#This Row],[Unit Price]]*Greenleaf[[#This Row],[Quantity Sold]]</f>
        <v>60</v>
      </c>
      <c r="O64" s="13">
        <f>Greenleaf[[#This Row],[Unit Cost]]*Greenleaf[[#This Row],[Quantity Sold]]</f>
        <v>12.78</v>
      </c>
      <c r="P64" s="13">
        <f>Greenleaf[[#This Row],[ Unit  price per quantity]]-Greenleaf[[#This Row],[ Unit cost per quantity]]</f>
        <v>47.22</v>
      </c>
      <c r="Q64" s="14">
        <f>Greenleaf[[#This Row],[Quantity Sold]]*Greenleaf[[#This Row],[Unit Price]]</f>
        <v>60</v>
      </c>
    </row>
    <row r="65" spans="1:17" x14ac:dyDescent="0.25">
      <c r="A65" t="s">
        <v>1491</v>
      </c>
      <c r="B65" s="5">
        <v>45310</v>
      </c>
      <c r="C65" s="5" t="str">
        <f>TEXT(Greenleaf[[#This Row],[Order Date]],"MMM")</f>
        <v>Jan</v>
      </c>
      <c r="D65" s="5" t="str">
        <f>TEXT(Greenleaf[[#This Row],[Order Date]],"YYYY")</f>
        <v>2024</v>
      </c>
      <c r="E65" t="s">
        <v>2463</v>
      </c>
      <c r="F65" s="7" t="s">
        <v>1014</v>
      </c>
      <c r="G65" s="9">
        <v>3</v>
      </c>
      <c r="H65" s="11">
        <v>15</v>
      </c>
      <c r="I65" s="13">
        <v>3.45</v>
      </c>
      <c r="J65" t="s">
        <v>1070</v>
      </c>
      <c r="K65" t="s">
        <v>2517</v>
      </c>
      <c r="L65" s="7" t="s">
        <v>1414</v>
      </c>
      <c r="M65" s="7" t="s">
        <v>1427</v>
      </c>
      <c r="N65" s="14">
        <f>Greenleaf[[#This Row],[Unit Price]]*Greenleaf[[#This Row],[Quantity Sold]]</f>
        <v>45</v>
      </c>
      <c r="O65" s="13">
        <f>Greenleaf[[#This Row],[Unit Cost]]*Greenleaf[[#This Row],[Quantity Sold]]</f>
        <v>10.350000000000001</v>
      </c>
      <c r="P65" s="13">
        <f>Greenleaf[[#This Row],[ Unit  price per quantity]]-Greenleaf[[#This Row],[ Unit cost per quantity]]</f>
        <v>34.65</v>
      </c>
      <c r="Q65" s="14">
        <f>Greenleaf[[#This Row],[Quantity Sold]]*Greenleaf[[#This Row],[Unit Price]]</f>
        <v>45</v>
      </c>
    </row>
    <row r="66" spans="1:17" x14ac:dyDescent="0.25">
      <c r="A66" t="s">
        <v>1492</v>
      </c>
      <c r="B66" s="5">
        <v>45311</v>
      </c>
      <c r="C66" s="5" t="str">
        <f>TEXT(Greenleaf[[#This Row],[Order Date]],"MMM")</f>
        <v>Jan</v>
      </c>
      <c r="D66" s="5" t="str">
        <f>TEXT(Greenleaf[[#This Row],[Order Date]],"YYYY")</f>
        <v>2024</v>
      </c>
      <c r="E66" t="s">
        <v>2463</v>
      </c>
      <c r="F66" s="7" t="s">
        <v>1014</v>
      </c>
      <c r="G66" s="9">
        <v>10</v>
      </c>
      <c r="H66" s="11">
        <v>15</v>
      </c>
      <c r="I66" s="13">
        <v>4.71</v>
      </c>
      <c r="J66" t="s">
        <v>1103</v>
      </c>
      <c r="K66" t="s">
        <v>2518</v>
      </c>
      <c r="L66" s="7" t="s">
        <v>1414</v>
      </c>
      <c r="M66" s="7" t="s">
        <v>1418</v>
      </c>
      <c r="N66" s="14">
        <f>Greenleaf[[#This Row],[Unit Price]]*Greenleaf[[#This Row],[Quantity Sold]]</f>
        <v>150</v>
      </c>
      <c r="O66" s="13">
        <f>Greenleaf[[#This Row],[Unit Cost]]*Greenleaf[[#This Row],[Quantity Sold]]</f>
        <v>47.1</v>
      </c>
      <c r="P66" s="13">
        <f>Greenleaf[[#This Row],[ Unit  price per quantity]]-Greenleaf[[#This Row],[ Unit cost per quantity]]</f>
        <v>102.9</v>
      </c>
      <c r="Q66" s="14">
        <f>Greenleaf[[#This Row],[Quantity Sold]]*Greenleaf[[#This Row],[Unit Price]]</f>
        <v>150</v>
      </c>
    </row>
    <row r="67" spans="1:17" x14ac:dyDescent="0.25">
      <c r="A67" t="s">
        <v>1493</v>
      </c>
      <c r="B67" s="5">
        <v>45311</v>
      </c>
      <c r="C67" s="5" t="str">
        <f>TEXT(Greenleaf[[#This Row],[Order Date]],"MMM")</f>
        <v>Jan</v>
      </c>
      <c r="D67" s="5" t="str">
        <f>TEXT(Greenleaf[[#This Row],[Order Date]],"YYYY")</f>
        <v>2024</v>
      </c>
      <c r="E67" t="s">
        <v>2462</v>
      </c>
      <c r="F67" s="7" t="s">
        <v>1013</v>
      </c>
      <c r="G67" s="9">
        <v>3</v>
      </c>
      <c r="H67" s="11">
        <v>25</v>
      </c>
      <c r="I67" s="13">
        <v>5.42</v>
      </c>
      <c r="J67" t="s">
        <v>1050</v>
      </c>
      <c r="K67" t="s">
        <v>2488</v>
      </c>
      <c r="L67" s="7" t="s">
        <v>1414</v>
      </c>
      <c r="M67" s="7" t="s">
        <v>1426</v>
      </c>
      <c r="N67" s="14">
        <f>Greenleaf[[#This Row],[Unit Price]]*Greenleaf[[#This Row],[Quantity Sold]]</f>
        <v>75</v>
      </c>
      <c r="O67" s="13">
        <f>Greenleaf[[#This Row],[Unit Cost]]*Greenleaf[[#This Row],[Quantity Sold]]</f>
        <v>16.259999999999998</v>
      </c>
      <c r="P67" s="13">
        <f>Greenleaf[[#This Row],[ Unit  price per quantity]]-Greenleaf[[#This Row],[ Unit cost per quantity]]</f>
        <v>58.74</v>
      </c>
      <c r="Q67" s="14">
        <f>Greenleaf[[#This Row],[Quantity Sold]]*Greenleaf[[#This Row],[Unit Price]]</f>
        <v>75</v>
      </c>
    </row>
    <row r="68" spans="1:17" x14ac:dyDescent="0.25">
      <c r="A68" t="s">
        <v>1494</v>
      </c>
      <c r="B68" s="5">
        <v>45311</v>
      </c>
      <c r="C68" s="5" t="str">
        <f>TEXT(Greenleaf[[#This Row],[Order Date]],"MMM")</f>
        <v>Jan</v>
      </c>
      <c r="D68" s="5" t="str">
        <f>TEXT(Greenleaf[[#This Row],[Order Date]],"YYYY")</f>
        <v>2024</v>
      </c>
      <c r="E68" t="s">
        <v>2463</v>
      </c>
      <c r="F68" s="7" t="s">
        <v>1014</v>
      </c>
      <c r="G68" s="9">
        <v>6</v>
      </c>
      <c r="H68" s="11">
        <v>15</v>
      </c>
      <c r="I68" s="13">
        <v>4.32</v>
      </c>
      <c r="J68" t="s">
        <v>1211</v>
      </c>
      <c r="K68" t="s">
        <v>2519</v>
      </c>
      <c r="L68" s="7" t="s">
        <v>1414</v>
      </c>
      <c r="M68" s="7" t="s">
        <v>1418</v>
      </c>
      <c r="N68" s="14">
        <f>Greenleaf[[#This Row],[Unit Price]]*Greenleaf[[#This Row],[Quantity Sold]]</f>
        <v>90</v>
      </c>
      <c r="O68" s="13">
        <f>Greenleaf[[#This Row],[Unit Cost]]*Greenleaf[[#This Row],[Quantity Sold]]</f>
        <v>25.92</v>
      </c>
      <c r="P68" s="13">
        <f>Greenleaf[[#This Row],[ Unit  price per quantity]]-Greenleaf[[#This Row],[ Unit cost per quantity]]</f>
        <v>64.08</v>
      </c>
      <c r="Q68" s="14">
        <f>Greenleaf[[#This Row],[Quantity Sold]]*Greenleaf[[#This Row],[Unit Price]]</f>
        <v>90</v>
      </c>
    </row>
    <row r="69" spans="1:17" x14ac:dyDescent="0.25">
      <c r="A69" t="s">
        <v>1495</v>
      </c>
      <c r="B69" s="5">
        <v>45312</v>
      </c>
      <c r="C69" s="5" t="str">
        <f>TEXT(Greenleaf[[#This Row],[Order Date]],"MMM")</f>
        <v>Jan</v>
      </c>
      <c r="D69" s="5" t="str">
        <f>TEXT(Greenleaf[[#This Row],[Order Date]],"YYYY")</f>
        <v>2024</v>
      </c>
      <c r="E69" t="s">
        <v>2464</v>
      </c>
      <c r="F69" s="7" t="s">
        <v>1012</v>
      </c>
      <c r="G69" s="9">
        <v>7</v>
      </c>
      <c r="H69" s="11">
        <v>40</v>
      </c>
      <c r="I69" s="13">
        <v>9.9700000000000006</v>
      </c>
      <c r="J69" t="s">
        <v>1114</v>
      </c>
      <c r="K69" t="s">
        <v>2520</v>
      </c>
      <c r="L69" s="7" t="s">
        <v>1414</v>
      </c>
      <c r="M69" s="7" t="s">
        <v>1421</v>
      </c>
      <c r="N69" s="14">
        <f>Greenleaf[[#This Row],[Unit Price]]*Greenleaf[[#This Row],[Quantity Sold]]</f>
        <v>280</v>
      </c>
      <c r="O69" s="13">
        <f>Greenleaf[[#This Row],[Unit Cost]]*Greenleaf[[#This Row],[Quantity Sold]]</f>
        <v>69.790000000000006</v>
      </c>
      <c r="P69" s="13">
        <f>Greenleaf[[#This Row],[ Unit  price per quantity]]-Greenleaf[[#This Row],[ Unit cost per quantity]]</f>
        <v>210.20999999999998</v>
      </c>
      <c r="Q69" s="14">
        <f>Greenleaf[[#This Row],[Quantity Sold]]*Greenleaf[[#This Row],[Unit Price]]</f>
        <v>280</v>
      </c>
    </row>
    <row r="70" spans="1:17" x14ac:dyDescent="0.25">
      <c r="A70" t="s">
        <v>1496</v>
      </c>
      <c r="B70" s="5">
        <v>45312</v>
      </c>
      <c r="C70" s="5" t="str">
        <f>TEXT(Greenleaf[[#This Row],[Order Date]],"MMM")</f>
        <v>Jan</v>
      </c>
      <c r="D70" s="5" t="str">
        <f>TEXT(Greenleaf[[#This Row],[Order Date]],"YYYY")</f>
        <v>2024</v>
      </c>
      <c r="E70" t="s">
        <v>2461</v>
      </c>
      <c r="F70" s="7" t="s">
        <v>1011</v>
      </c>
      <c r="G70" s="9">
        <v>1</v>
      </c>
      <c r="H70" s="11">
        <v>12</v>
      </c>
      <c r="I70" s="13">
        <v>3.78</v>
      </c>
      <c r="J70" t="s">
        <v>1044</v>
      </c>
      <c r="K70" t="s">
        <v>2513</v>
      </c>
      <c r="L70" s="7" t="s">
        <v>1414</v>
      </c>
      <c r="M70" s="7" t="s">
        <v>1421</v>
      </c>
      <c r="N70" s="14">
        <f>Greenleaf[[#This Row],[Unit Price]]*Greenleaf[[#This Row],[Quantity Sold]]</f>
        <v>12</v>
      </c>
      <c r="O70" s="13">
        <f>Greenleaf[[#This Row],[Unit Cost]]*Greenleaf[[#This Row],[Quantity Sold]]</f>
        <v>3.78</v>
      </c>
      <c r="P70" s="13">
        <f>Greenleaf[[#This Row],[ Unit  price per quantity]]-Greenleaf[[#This Row],[ Unit cost per quantity]]</f>
        <v>8.2200000000000006</v>
      </c>
      <c r="Q70" s="14">
        <f>Greenleaf[[#This Row],[Quantity Sold]]*Greenleaf[[#This Row],[Unit Price]]</f>
        <v>12</v>
      </c>
    </row>
    <row r="71" spans="1:17" x14ac:dyDescent="0.25">
      <c r="A71" t="s">
        <v>1497</v>
      </c>
      <c r="B71" s="5">
        <v>45313</v>
      </c>
      <c r="C71" s="5" t="str">
        <f>TEXT(Greenleaf[[#This Row],[Order Date]],"MMM")</f>
        <v>Jan</v>
      </c>
      <c r="D71" s="5" t="str">
        <f>TEXT(Greenleaf[[#This Row],[Order Date]],"YYYY")</f>
        <v>2024</v>
      </c>
      <c r="E71" t="s">
        <v>2464</v>
      </c>
      <c r="F71" s="7" t="s">
        <v>1012</v>
      </c>
      <c r="G71" s="9">
        <v>2</v>
      </c>
      <c r="H71" s="11">
        <v>40</v>
      </c>
      <c r="I71" s="13">
        <v>8.1999999999999993</v>
      </c>
      <c r="J71" t="s">
        <v>1044</v>
      </c>
      <c r="K71" t="s">
        <v>2513</v>
      </c>
      <c r="L71" s="7" t="s">
        <v>1414</v>
      </c>
      <c r="M71" s="7" t="s">
        <v>1421</v>
      </c>
      <c r="N71" s="14">
        <f>Greenleaf[[#This Row],[Unit Price]]*Greenleaf[[#This Row],[Quantity Sold]]</f>
        <v>80</v>
      </c>
      <c r="O71" s="13">
        <f>Greenleaf[[#This Row],[Unit Cost]]*Greenleaf[[#This Row],[Quantity Sold]]</f>
        <v>16.399999999999999</v>
      </c>
      <c r="P71" s="13">
        <f>Greenleaf[[#This Row],[ Unit  price per quantity]]-Greenleaf[[#This Row],[ Unit cost per quantity]]</f>
        <v>63.6</v>
      </c>
      <c r="Q71" s="14">
        <f>Greenleaf[[#This Row],[Quantity Sold]]*Greenleaf[[#This Row],[Unit Price]]</f>
        <v>80</v>
      </c>
    </row>
    <row r="72" spans="1:17" x14ac:dyDescent="0.25">
      <c r="A72" t="s">
        <v>1498</v>
      </c>
      <c r="B72" s="5">
        <v>45313</v>
      </c>
      <c r="C72" s="5" t="str">
        <f>TEXT(Greenleaf[[#This Row],[Order Date]],"MMM")</f>
        <v>Jan</v>
      </c>
      <c r="D72" s="5" t="str">
        <f>TEXT(Greenleaf[[#This Row],[Order Date]],"YYYY")</f>
        <v>2024</v>
      </c>
      <c r="E72" t="s">
        <v>2464</v>
      </c>
      <c r="F72" s="7" t="s">
        <v>1012</v>
      </c>
      <c r="G72" s="9">
        <v>2</v>
      </c>
      <c r="H72" s="11">
        <v>40</v>
      </c>
      <c r="I72" s="13">
        <v>9.2100000000000009</v>
      </c>
      <c r="J72" t="s">
        <v>1087</v>
      </c>
      <c r="K72" t="s">
        <v>2521</v>
      </c>
      <c r="L72" s="7" t="s">
        <v>1414</v>
      </c>
      <c r="M72" s="7" t="s">
        <v>1421</v>
      </c>
      <c r="N72" s="14">
        <f>Greenleaf[[#This Row],[Unit Price]]*Greenleaf[[#This Row],[Quantity Sold]]</f>
        <v>80</v>
      </c>
      <c r="O72" s="13">
        <f>Greenleaf[[#This Row],[Unit Cost]]*Greenleaf[[#This Row],[Quantity Sold]]</f>
        <v>18.420000000000002</v>
      </c>
      <c r="P72" s="13">
        <f>Greenleaf[[#This Row],[ Unit  price per quantity]]-Greenleaf[[#This Row],[ Unit cost per quantity]]</f>
        <v>61.58</v>
      </c>
      <c r="Q72" s="14">
        <f>Greenleaf[[#This Row],[Quantity Sold]]*Greenleaf[[#This Row],[Unit Price]]</f>
        <v>80</v>
      </c>
    </row>
    <row r="73" spans="1:17" x14ac:dyDescent="0.25">
      <c r="A73" t="s">
        <v>1499</v>
      </c>
      <c r="B73" s="5">
        <v>45313</v>
      </c>
      <c r="C73" s="5" t="str">
        <f>TEXT(Greenleaf[[#This Row],[Order Date]],"MMM")</f>
        <v>Jan</v>
      </c>
      <c r="D73" s="5" t="str">
        <f>TEXT(Greenleaf[[#This Row],[Order Date]],"YYYY")</f>
        <v>2024</v>
      </c>
      <c r="E73" t="s">
        <v>2463</v>
      </c>
      <c r="F73" s="7" t="s">
        <v>1014</v>
      </c>
      <c r="G73" s="9">
        <v>7</v>
      </c>
      <c r="H73" s="11">
        <v>15</v>
      </c>
      <c r="I73" s="13">
        <v>5.93</v>
      </c>
      <c r="J73" t="s">
        <v>1197</v>
      </c>
      <c r="K73" t="s">
        <v>2522</v>
      </c>
      <c r="L73" s="7" t="s">
        <v>1414</v>
      </c>
      <c r="M73" s="7" t="s">
        <v>1418</v>
      </c>
      <c r="N73" s="14">
        <f>Greenleaf[[#This Row],[Unit Price]]*Greenleaf[[#This Row],[Quantity Sold]]</f>
        <v>105</v>
      </c>
      <c r="O73" s="13">
        <f>Greenleaf[[#This Row],[Unit Cost]]*Greenleaf[[#This Row],[Quantity Sold]]</f>
        <v>41.51</v>
      </c>
      <c r="P73" s="13">
        <f>Greenleaf[[#This Row],[ Unit  price per quantity]]-Greenleaf[[#This Row],[ Unit cost per quantity]]</f>
        <v>63.49</v>
      </c>
      <c r="Q73" s="14">
        <f>Greenleaf[[#This Row],[Quantity Sold]]*Greenleaf[[#This Row],[Unit Price]]</f>
        <v>105</v>
      </c>
    </row>
    <row r="74" spans="1:17" x14ac:dyDescent="0.25">
      <c r="A74" t="s">
        <v>1500</v>
      </c>
      <c r="B74" s="5">
        <v>45313</v>
      </c>
      <c r="C74" s="5" t="str">
        <f>TEXT(Greenleaf[[#This Row],[Order Date]],"MMM")</f>
        <v>Jan</v>
      </c>
      <c r="D74" s="5" t="str">
        <f>TEXT(Greenleaf[[#This Row],[Order Date]],"YYYY")</f>
        <v>2024</v>
      </c>
      <c r="E74" t="s">
        <v>2463</v>
      </c>
      <c r="F74" s="7" t="s">
        <v>1014</v>
      </c>
      <c r="G74" s="9">
        <v>7</v>
      </c>
      <c r="H74" s="11">
        <v>15</v>
      </c>
      <c r="I74" s="13">
        <v>4.4800000000000004</v>
      </c>
      <c r="J74" t="s">
        <v>1206</v>
      </c>
      <c r="K74" t="s">
        <v>2507</v>
      </c>
      <c r="L74" s="7" t="s">
        <v>1414</v>
      </c>
      <c r="M74" s="7" t="s">
        <v>1425</v>
      </c>
      <c r="N74" s="14">
        <f>Greenleaf[[#This Row],[Unit Price]]*Greenleaf[[#This Row],[Quantity Sold]]</f>
        <v>105</v>
      </c>
      <c r="O74" s="13">
        <f>Greenleaf[[#This Row],[Unit Cost]]*Greenleaf[[#This Row],[Quantity Sold]]</f>
        <v>31.360000000000003</v>
      </c>
      <c r="P74" s="13">
        <f>Greenleaf[[#This Row],[ Unit  price per quantity]]-Greenleaf[[#This Row],[ Unit cost per quantity]]</f>
        <v>73.64</v>
      </c>
      <c r="Q74" s="14">
        <f>Greenleaf[[#This Row],[Quantity Sold]]*Greenleaf[[#This Row],[Unit Price]]</f>
        <v>105</v>
      </c>
    </row>
    <row r="75" spans="1:17" x14ac:dyDescent="0.25">
      <c r="A75" t="s">
        <v>1501</v>
      </c>
      <c r="B75" s="5">
        <v>45313</v>
      </c>
      <c r="C75" s="5" t="str">
        <f>TEXT(Greenleaf[[#This Row],[Order Date]],"MMM")</f>
        <v>Jan</v>
      </c>
      <c r="D75" s="5" t="str">
        <f>TEXT(Greenleaf[[#This Row],[Order Date]],"YYYY")</f>
        <v>2024</v>
      </c>
      <c r="E75" t="s">
        <v>2460</v>
      </c>
      <c r="F75" s="7" t="s">
        <v>1015</v>
      </c>
      <c r="G75" s="9">
        <v>1</v>
      </c>
      <c r="H75" s="11">
        <v>10</v>
      </c>
      <c r="I75" s="13">
        <v>3.95</v>
      </c>
      <c r="J75" t="s">
        <v>1189</v>
      </c>
      <c r="K75" t="s">
        <v>2473</v>
      </c>
      <c r="L75" s="7" t="s">
        <v>1414</v>
      </c>
      <c r="M75" s="7" t="s">
        <v>1422</v>
      </c>
      <c r="N75" s="14">
        <f>Greenleaf[[#This Row],[Unit Price]]*Greenleaf[[#This Row],[Quantity Sold]]</f>
        <v>10</v>
      </c>
      <c r="O75" s="13">
        <f>Greenleaf[[#This Row],[Unit Cost]]*Greenleaf[[#This Row],[Quantity Sold]]</f>
        <v>3.95</v>
      </c>
      <c r="P75" s="13">
        <f>Greenleaf[[#This Row],[ Unit  price per quantity]]-Greenleaf[[#This Row],[ Unit cost per quantity]]</f>
        <v>6.05</v>
      </c>
      <c r="Q75" s="14">
        <f>Greenleaf[[#This Row],[Quantity Sold]]*Greenleaf[[#This Row],[Unit Price]]</f>
        <v>10</v>
      </c>
    </row>
    <row r="76" spans="1:17" x14ac:dyDescent="0.25">
      <c r="A76" t="s">
        <v>1502</v>
      </c>
      <c r="B76" s="5">
        <v>45313</v>
      </c>
      <c r="C76" s="5" t="str">
        <f>TEXT(Greenleaf[[#This Row],[Order Date]],"MMM")</f>
        <v>Jan</v>
      </c>
      <c r="D76" s="5" t="str">
        <f>TEXT(Greenleaf[[#This Row],[Order Date]],"YYYY")</f>
        <v>2024</v>
      </c>
      <c r="E76" t="s">
        <v>2461</v>
      </c>
      <c r="F76" s="7" t="s">
        <v>1011</v>
      </c>
      <c r="G76" s="9">
        <v>1</v>
      </c>
      <c r="H76" s="11">
        <v>12</v>
      </c>
      <c r="I76" s="13">
        <v>4.5999999999999996</v>
      </c>
      <c r="J76" t="s">
        <v>1136</v>
      </c>
      <c r="K76" t="s">
        <v>2522</v>
      </c>
      <c r="L76" s="7" t="s">
        <v>1414</v>
      </c>
      <c r="M76" s="7" t="s">
        <v>1421</v>
      </c>
      <c r="N76" s="14">
        <f>Greenleaf[[#This Row],[Unit Price]]*Greenleaf[[#This Row],[Quantity Sold]]</f>
        <v>12</v>
      </c>
      <c r="O76" s="13">
        <f>Greenleaf[[#This Row],[Unit Cost]]*Greenleaf[[#This Row],[Quantity Sold]]</f>
        <v>4.5999999999999996</v>
      </c>
      <c r="P76" s="13">
        <f>Greenleaf[[#This Row],[ Unit  price per quantity]]-Greenleaf[[#This Row],[ Unit cost per quantity]]</f>
        <v>7.4</v>
      </c>
      <c r="Q76" s="14">
        <f>Greenleaf[[#This Row],[Quantity Sold]]*Greenleaf[[#This Row],[Unit Price]]</f>
        <v>12</v>
      </c>
    </row>
    <row r="77" spans="1:17" x14ac:dyDescent="0.25">
      <c r="A77" t="s">
        <v>1503</v>
      </c>
      <c r="B77" s="5">
        <v>45314</v>
      </c>
      <c r="C77" s="5" t="str">
        <f>TEXT(Greenleaf[[#This Row],[Order Date]],"MMM")</f>
        <v>Jan</v>
      </c>
      <c r="D77" s="5" t="str">
        <f>TEXT(Greenleaf[[#This Row],[Order Date]],"YYYY")</f>
        <v>2024</v>
      </c>
      <c r="E77" t="s">
        <v>2462</v>
      </c>
      <c r="F77" s="7" t="s">
        <v>1013</v>
      </c>
      <c r="G77" s="9">
        <v>4</v>
      </c>
      <c r="H77" s="11">
        <v>25</v>
      </c>
      <c r="I77" s="13">
        <v>8.75</v>
      </c>
      <c r="J77" t="s">
        <v>1068</v>
      </c>
      <c r="K77" t="s">
        <v>2486</v>
      </c>
      <c r="L77" s="7" t="s">
        <v>1414</v>
      </c>
      <c r="M77" s="7" t="s">
        <v>1424</v>
      </c>
      <c r="N77" s="14">
        <f>Greenleaf[[#This Row],[Unit Price]]*Greenleaf[[#This Row],[Quantity Sold]]</f>
        <v>100</v>
      </c>
      <c r="O77" s="13">
        <f>Greenleaf[[#This Row],[Unit Cost]]*Greenleaf[[#This Row],[Quantity Sold]]</f>
        <v>35</v>
      </c>
      <c r="P77" s="13">
        <f>Greenleaf[[#This Row],[ Unit  price per quantity]]-Greenleaf[[#This Row],[ Unit cost per quantity]]</f>
        <v>65</v>
      </c>
      <c r="Q77" s="14">
        <f>Greenleaf[[#This Row],[Quantity Sold]]*Greenleaf[[#This Row],[Unit Price]]</f>
        <v>100</v>
      </c>
    </row>
    <row r="78" spans="1:17" x14ac:dyDescent="0.25">
      <c r="A78" t="s">
        <v>1504</v>
      </c>
      <c r="B78" s="5">
        <v>45315</v>
      </c>
      <c r="C78" s="5" t="str">
        <f>TEXT(Greenleaf[[#This Row],[Order Date]],"MMM")</f>
        <v>Jan</v>
      </c>
      <c r="D78" s="5" t="str">
        <f>TEXT(Greenleaf[[#This Row],[Order Date]],"YYYY")</f>
        <v>2024</v>
      </c>
      <c r="E78" t="s">
        <v>2460</v>
      </c>
      <c r="F78" s="7" t="s">
        <v>1015</v>
      </c>
      <c r="G78" s="9">
        <v>8</v>
      </c>
      <c r="H78" s="11">
        <v>10</v>
      </c>
      <c r="I78" s="13">
        <v>2.83</v>
      </c>
      <c r="J78" t="s">
        <v>1066</v>
      </c>
      <c r="K78" t="s">
        <v>2487</v>
      </c>
      <c r="L78" s="7" t="s">
        <v>1415</v>
      </c>
      <c r="M78" s="7" t="s">
        <v>1418</v>
      </c>
      <c r="N78" s="14">
        <f>Greenleaf[[#This Row],[Unit Price]]*Greenleaf[[#This Row],[Quantity Sold]]</f>
        <v>80</v>
      </c>
      <c r="O78" s="13">
        <f>Greenleaf[[#This Row],[Unit Cost]]*Greenleaf[[#This Row],[Quantity Sold]]</f>
        <v>22.64</v>
      </c>
      <c r="P78" s="13">
        <f>Greenleaf[[#This Row],[ Unit  price per quantity]]-Greenleaf[[#This Row],[ Unit cost per quantity]]</f>
        <v>57.36</v>
      </c>
      <c r="Q78" s="14">
        <f>Greenleaf[[#This Row],[Quantity Sold]]*Greenleaf[[#This Row],[Unit Price]]</f>
        <v>80</v>
      </c>
    </row>
    <row r="79" spans="1:17" x14ac:dyDescent="0.25">
      <c r="A79" t="s">
        <v>1505</v>
      </c>
      <c r="B79" s="5">
        <v>45315</v>
      </c>
      <c r="C79" s="5" t="str">
        <f>TEXT(Greenleaf[[#This Row],[Order Date]],"MMM")</f>
        <v>Jan</v>
      </c>
      <c r="D79" s="5" t="str">
        <f>TEXT(Greenleaf[[#This Row],[Order Date]],"YYYY")</f>
        <v>2024</v>
      </c>
      <c r="E79" t="s">
        <v>2462</v>
      </c>
      <c r="F79" s="7" t="s">
        <v>1013</v>
      </c>
      <c r="G79" s="9">
        <v>8</v>
      </c>
      <c r="H79" s="11">
        <v>25</v>
      </c>
      <c r="I79" s="13">
        <v>5.86</v>
      </c>
      <c r="J79" t="s">
        <v>1128</v>
      </c>
      <c r="K79" t="s">
        <v>2523</v>
      </c>
      <c r="L79" s="7" t="s">
        <v>1414</v>
      </c>
      <c r="M79" s="7" t="s">
        <v>1422</v>
      </c>
      <c r="N79" s="14">
        <f>Greenleaf[[#This Row],[Unit Price]]*Greenleaf[[#This Row],[Quantity Sold]]</f>
        <v>200</v>
      </c>
      <c r="O79" s="13">
        <f>Greenleaf[[#This Row],[Unit Cost]]*Greenleaf[[#This Row],[Quantity Sold]]</f>
        <v>46.88</v>
      </c>
      <c r="P79" s="13">
        <f>Greenleaf[[#This Row],[ Unit  price per quantity]]-Greenleaf[[#This Row],[ Unit cost per quantity]]</f>
        <v>153.12</v>
      </c>
      <c r="Q79" s="14">
        <f>Greenleaf[[#This Row],[Quantity Sold]]*Greenleaf[[#This Row],[Unit Price]]</f>
        <v>200</v>
      </c>
    </row>
    <row r="80" spans="1:17" x14ac:dyDescent="0.25">
      <c r="A80" t="s">
        <v>1506</v>
      </c>
      <c r="B80" s="5">
        <v>45315</v>
      </c>
      <c r="C80" s="5" t="str">
        <f>TEXT(Greenleaf[[#This Row],[Order Date]],"MMM")</f>
        <v>Jan</v>
      </c>
      <c r="D80" s="5" t="str">
        <f>TEXT(Greenleaf[[#This Row],[Order Date]],"YYYY")</f>
        <v>2024</v>
      </c>
      <c r="E80" t="s">
        <v>2462</v>
      </c>
      <c r="F80" s="7" t="s">
        <v>1013</v>
      </c>
      <c r="G80" s="9">
        <v>4</v>
      </c>
      <c r="H80" s="11">
        <v>25</v>
      </c>
      <c r="I80" s="13">
        <v>9.89</v>
      </c>
      <c r="J80" t="s">
        <v>1095</v>
      </c>
      <c r="K80" t="s">
        <v>2524</v>
      </c>
      <c r="L80" s="7" t="s">
        <v>1414</v>
      </c>
      <c r="M80" s="7" t="s">
        <v>1426</v>
      </c>
      <c r="N80" s="14">
        <f>Greenleaf[[#This Row],[Unit Price]]*Greenleaf[[#This Row],[Quantity Sold]]</f>
        <v>100</v>
      </c>
      <c r="O80" s="13">
        <f>Greenleaf[[#This Row],[Unit Cost]]*Greenleaf[[#This Row],[Quantity Sold]]</f>
        <v>39.56</v>
      </c>
      <c r="P80" s="13">
        <f>Greenleaf[[#This Row],[ Unit  price per quantity]]-Greenleaf[[#This Row],[ Unit cost per quantity]]</f>
        <v>60.44</v>
      </c>
      <c r="Q80" s="14">
        <f>Greenleaf[[#This Row],[Quantity Sold]]*Greenleaf[[#This Row],[Unit Price]]</f>
        <v>100</v>
      </c>
    </row>
    <row r="81" spans="1:17" x14ac:dyDescent="0.25">
      <c r="A81" t="s">
        <v>1507</v>
      </c>
      <c r="B81" s="5">
        <v>45316</v>
      </c>
      <c r="C81" s="5" t="str">
        <f>TEXT(Greenleaf[[#This Row],[Order Date]],"MMM")</f>
        <v>Jan</v>
      </c>
      <c r="D81" s="5" t="str">
        <f>TEXT(Greenleaf[[#This Row],[Order Date]],"YYYY")</f>
        <v>2024</v>
      </c>
      <c r="E81" t="s">
        <v>2464</v>
      </c>
      <c r="F81" s="7" t="s">
        <v>1012</v>
      </c>
      <c r="G81" s="9">
        <v>5</v>
      </c>
      <c r="H81" s="11">
        <v>40</v>
      </c>
      <c r="I81" s="13">
        <v>10.28</v>
      </c>
      <c r="J81" t="s">
        <v>1076</v>
      </c>
      <c r="K81" t="s">
        <v>2525</v>
      </c>
      <c r="L81" s="7" t="s">
        <v>1414</v>
      </c>
      <c r="M81" s="7" t="s">
        <v>1424</v>
      </c>
      <c r="N81" s="14">
        <f>Greenleaf[[#This Row],[Unit Price]]*Greenleaf[[#This Row],[Quantity Sold]]</f>
        <v>200</v>
      </c>
      <c r="O81" s="13">
        <f>Greenleaf[[#This Row],[Unit Cost]]*Greenleaf[[#This Row],[Quantity Sold]]</f>
        <v>51.4</v>
      </c>
      <c r="P81" s="13">
        <f>Greenleaf[[#This Row],[ Unit  price per quantity]]-Greenleaf[[#This Row],[ Unit cost per quantity]]</f>
        <v>148.6</v>
      </c>
      <c r="Q81" s="14">
        <f>Greenleaf[[#This Row],[Quantity Sold]]*Greenleaf[[#This Row],[Unit Price]]</f>
        <v>200</v>
      </c>
    </row>
    <row r="82" spans="1:17" x14ac:dyDescent="0.25">
      <c r="A82" t="s">
        <v>1508</v>
      </c>
      <c r="B82" s="5">
        <v>45317</v>
      </c>
      <c r="C82" s="5" t="str">
        <f>TEXT(Greenleaf[[#This Row],[Order Date]],"MMM")</f>
        <v>Jan</v>
      </c>
      <c r="D82" s="5" t="str">
        <f>TEXT(Greenleaf[[#This Row],[Order Date]],"YYYY")</f>
        <v>2024</v>
      </c>
      <c r="E82" t="s">
        <v>2463</v>
      </c>
      <c r="F82" s="7" t="s">
        <v>1014</v>
      </c>
      <c r="G82" s="9">
        <v>7</v>
      </c>
      <c r="H82" s="11">
        <v>15</v>
      </c>
      <c r="I82" s="13">
        <v>5.82</v>
      </c>
      <c r="J82" t="s">
        <v>1070</v>
      </c>
      <c r="K82" t="s">
        <v>2517</v>
      </c>
      <c r="L82" s="7" t="s">
        <v>1417</v>
      </c>
      <c r="M82" s="7" t="s">
        <v>1421</v>
      </c>
      <c r="N82" s="14">
        <f>Greenleaf[[#This Row],[Unit Price]]*Greenleaf[[#This Row],[Quantity Sold]]</f>
        <v>105</v>
      </c>
      <c r="O82" s="13">
        <f>Greenleaf[[#This Row],[Unit Cost]]*Greenleaf[[#This Row],[Quantity Sold]]</f>
        <v>40.74</v>
      </c>
      <c r="P82" s="13">
        <f>Greenleaf[[#This Row],[ Unit  price per quantity]]-Greenleaf[[#This Row],[ Unit cost per quantity]]</f>
        <v>64.259999999999991</v>
      </c>
      <c r="Q82" s="14">
        <f>Greenleaf[[#This Row],[Quantity Sold]]*Greenleaf[[#This Row],[Unit Price]]</f>
        <v>105</v>
      </c>
    </row>
    <row r="83" spans="1:17" x14ac:dyDescent="0.25">
      <c r="A83" t="s">
        <v>1509</v>
      </c>
      <c r="B83" s="5">
        <v>45317</v>
      </c>
      <c r="C83" s="5" t="str">
        <f>TEXT(Greenleaf[[#This Row],[Order Date]],"MMM")</f>
        <v>Jan</v>
      </c>
      <c r="D83" s="5" t="str">
        <f>TEXT(Greenleaf[[#This Row],[Order Date]],"YYYY")</f>
        <v>2024</v>
      </c>
      <c r="E83" t="s">
        <v>2460</v>
      </c>
      <c r="F83" s="7" t="s">
        <v>1015</v>
      </c>
      <c r="G83" s="9">
        <v>9</v>
      </c>
      <c r="H83" s="11">
        <v>10</v>
      </c>
      <c r="I83" s="13">
        <v>3.04</v>
      </c>
      <c r="J83" t="s">
        <v>1133</v>
      </c>
      <c r="K83" t="s">
        <v>2488</v>
      </c>
      <c r="L83" s="7" t="s">
        <v>1414</v>
      </c>
      <c r="M83" s="7" t="s">
        <v>1427</v>
      </c>
      <c r="N83" s="14">
        <f>Greenleaf[[#This Row],[Unit Price]]*Greenleaf[[#This Row],[Quantity Sold]]</f>
        <v>90</v>
      </c>
      <c r="O83" s="13">
        <f>Greenleaf[[#This Row],[Unit Cost]]*Greenleaf[[#This Row],[Quantity Sold]]</f>
        <v>27.36</v>
      </c>
      <c r="P83" s="13">
        <f>Greenleaf[[#This Row],[ Unit  price per quantity]]-Greenleaf[[#This Row],[ Unit cost per quantity]]</f>
        <v>62.64</v>
      </c>
      <c r="Q83" s="14">
        <f>Greenleaf[[#This Row],[Quantity Sold]]*Greenleaf[[#This Row],[Unit Price]]</f>
        <v>90</v>
      </c>
    </row>
    <row r="84" spans="1:17" x14ac:dyDescent="0.25">
      <c r="A84" t="s">
        <v>1510</v>
      </c>
      <c r="B84" s="5">
        <v>45317</v>
      </c>
      <c r="C84" s="5" t="str">
        <f>TEXT(Greenleaf[[#This Row],[Order Date]],"MMM")</f>
        <v>Jan</v>
      </c>
      <c r="D84" s="5" t="str">
        <f>TEXT(Greenleaf[[#This Row],[Order Date]],"YYYY")</f>
        <v>2024</v>
      </c>
      <c r="E84" t="s">
        <v>2460</v>
      </c>
      <c r="F84" s="7" t="s">
        <v>1015</v>
      </c>
      <c r="G84" s="9">
        <v>7</v>
      </c>
      <c r="H84" s="11">
        <v>10</v>
      </c>
      <c r="I84" s="13">
        <v>2.2400000000000002</v>
      </c>
      <c r="J84" t="s">
        <v>1190</v>
      </c>
      <c r="K84" t="s">
        <v>2511</v>
      </c>
      <c r="L84" s="7" t="s">
        <v>1414</v>
      </c>
      <c r="M84" s="7" t="s">
        <v>1427</v>
      </c>
      <c r="N84" s="14">
        <f>Greenleaf[[#This Row],[Unit Price]]*Greenleaf[[#This Row],[Quantity Sold]]</f>
        <v>70</v>
      </c>
      <c r="O84" s="13">
        <f>Greenleaf[[#This Row],[Unit Cost]]*Greenleaf[[#This Row],[Quantity Sold]]</f>
        <v>15.680000000000001</v>
      </c>
      <c r="P84" s="13">
        <f>Greenleaf[[#This Row],[ Unit  price per quantity]]-Greenleaf[[#This Row],[ Unit cost per quantity]]</f>
        <v>54.32</v>
      </c>
      <c r="Q84" s="14">
        <f>Greenleaf[[#This Row],[Quantity Sold]]*Greenleaf[[#This Row],[Unit Price]]</f>
        <v>70</v>
      </c>
    </row>
    <row r="85" spans="1:17" x14ac:dyDescent="0.25">
      <c r="A85" t="s">
        <v>1511</v>
      </c>
      <c r="B85" s="5">
        <v>45318</v>
      </c>
      <c r="C85" s="5" t="str">
        <f>TEXT(Greenleaf[[#This Row],[Order Date]],"MMM")</f>
        <v>Jan</v>
      </c>
      <c r="D85" s="5" t="str">
        <f>TEXT(Greenleaf[[#This Row],[Order Date]],"YYYY")</f>
        <v>2024</v>
      </c>
      <c r="E85" t="s">
        <v>2462</v>
      </c>
      <c r="F85" s="7" t="s">
        <v>1013</v>
      </c>
      <c r="G85" s="9">
        <v>2</v>
      </c>
      <c r="H85" s="11">
        <v>25</v>
      </c>
      <c r="I85" s="13">
        <v>6.69</v>
      </c>
      <c r="J85" t="s">
        <v>1048</v>
      </c>
      <c r="K85" t="s">
        <v>2526</v>
      </c>
      <c r="L85" s="7" t="s">
        <v>1414</v>
      </c>
      <c r="M85" s="7" t="s">
        <v>1427</v>
      </c>
      <c r="N85" s="14">
        <f>Greenleaf[[#This Row],[Unit Price]]*Greenleaf[[#This Row],[Quantity Sold]]</f>
        <v>50</v>
      </c>
      <c r="O85" s="13">
        <f>Greenleaf[[#This Row],[Unit Cost]]*Greenleaf[[#This Row],[Quantity Sold]]</f>
        <v>13.38</v>
      </c>
      <c r="P85" s="13">
        <f>Greenleaf[[#This Row],[ Unit  price per quantity]]-Greenleaf[[#This Row],[ Unit cost per quantity]]</f>
        <v>36.619999999999997</v>
      </c>
      <c r="Q85" s="14">
        <f>Greenleaf[[#This Row],[Quantity Sold]]*Greenleaf[[#This Row],[Unit Price]]</f>
        <v>50</v>
      </c>
    </row>
    <row r="86" spans="1:17" x14ac:dyDescent="0.25">
      <c r="A86" t="s">
        <v>1512</v>
      </c>
      <c r="B86" s="5">
        <v>45318</v>
      </c>
      <c r="C86" s="5" t="str">
        <f>TEXT(Greenleaf[[#This Row],[Order Date]],"MMM")</f>
        <v>Jan</v>
      </c>
      <c r="D86" s="5" t="str">
        <f>TEXT(Greenleaf[[#This Row],[Order Date]],"YYYY")</f>
        <v>2024</v>
      </c>
      <c r="E86" t="s">
        <v>2463</v>
      </c>
      <c r="F86" s="7" t="s">
        <v>1014</v>
      </c>
      <c r="G86" s="9">
        <v>9</v>
      </c>
      <c r="H86" s="11">
        <v>15</v>
      </c>
      <c r="I86" s="13">
        <v>3.37</v>
      </c>
      <c r="J86" t="s">
        <v>1093</v>
      </c>
      <c r="K86" t="s">
        <v>2527</v>
      </c>
      <c r="L86" s="7" t="s">
        <v>1414</v>
      </c>
      <c r="M86" s="7" t="s">
        <v>1418</v>
      </c>
      <c r="N86" s="14">
        <f>Greenleaf[[#This Row],[Unit Price]]*Greenleaf[[#This Row],[Quantity Sold]]</f>
        <v>135</v>
      </c>
      <c r="O86" s="13">
        <f>Greenleaf[[#This Row],[Unit Cost]]*Greenleaf[[#This Row],[Quantity Sold]]</f>
        <v>30.330000000000002</v>
      </c>
      <c r="P86" s="13">
        <f>Greenleaf[[#This Row],[ Unit  price per quantity]]-Greenleaf[[#This Row],[ Unit cost per quantity]]</f>
        <v>104.67</v>
      </c>
      <c r="Q86" s="14">
        <f>Greenleaf[[#This Row],[Quantity Sold]]*Greenleaf[[#This Row],[Unit Price]]</f>
        <v>135</v>
      </c>
    </row>
    <row r="87" spans="1:17" x14ac:dyDescent="0.25">
      <c r="A87" t="s">
        <v>1513</v>
      </c>
      <c r="B87" s="5">
        <v>45318</v>
      </c>
      <c r="C87" s="5" t="str">
        <f>TEXT(Greenleaf[[#This Row],[Order Date]],"MMM")</f>
        <v>Jan</v>
      </c>
      <c r="D87" s="5" t="str">
        <f>TEXT(Greenleaf[[#This Row],[Order Date]],"YYYY")</f>
        <v>2024</v>
      </c>
      <c r="E87" t="s">
        <v>2462</v>
      </c>
      <c r="F87" s="7" t="s">
        <v>1013</v>
      </c>
      <c r="G87" s="9">
        <v>4</v>
      </c>
      <c r="H87" s="11">
        <v>25</v>
      </c>
      <c r="I87" s="13">
        <v>8.91</v>
      </c>
      <c r="J87" t="s">
        <v>1132</v>
      </c>
      <c r="K87" t="s">
        <v>2507</v>
      </c>
      <c r="L87" s="7" t="s">
        <v>1417</v>
      </c>
      <c r="M87" s="7" t="s">
        <v>1421</v>
      </c>
      <c r="N87" s="14">
        <f>Greenleaf[[#This Row],[Unit Price]]*Greenleaf[[#This Row],[Quantity Sold]]</f>
        <v>100</v>
      </c>
      <c r="O87" s="13">
        <f>Greenleaf[[#This Row],[Unit Cost]]*Greenleaf[[#This Row],[Quantity Sold]]</f>
        <v>35.64</v>
      </c>
      <c r="P87" s="13">
        <f>Greenleaf[[#This Row],[ Unit  price per quantity]]-Greenleaf[[#This Row],[ Unit cost per quantity]]</f>
        <v>64.36</v>
      </c>
      <c r="Q87" s="14">
        <f>Greenleaf[[#This Row],[Quantity Sold]]*Greenleaf[[#This Row],[Unit Price]]</f>
        <v>100</v>
      </c>
    </row>
    <row r="88" spans="1:17" x14ac:dyDescent="0.25">
      <c r="A88" t="s">
        <v>1514</v>
      </c>
      <c r="B88" s="5">
        <v>45318</v>
      </c>
      <c r="C88" s="5" t="str">
        <f>TEXT(Greenleaf[[#This Row],[Order Date]],"MMM")</f>
        <v>Jan</v>
      </c>
      <c r="D88" s="5" t="str">
        <f>TEXT(Greenleaf[[#This Row],[Order Date]],"YYYY")</f>
        <v>2024</v>
      </c>
      <c r="E88" t="s">
        <v>2461</v>
      </c>
      <c r="F88" s="7" t="s">
        <v>1011</v>
      </c>
      <c r="G88" s="9">
        <v>1</v>
      </c>
      <c r="H88" s="11">
        <v>12</v>
      </c>
      <c r="I88" s="13">
        <v>2.87</v>
      </c>
      <c r="J88" t="s">
        <v>1089</v>
      </c>
      <c r="K88" t="s">
        <v>2528</v>
      </c>
      <c r="L88" s="7" t="s">
        <v>1416</v>
      </c>
      <c r="M88" s="7" t="s">
        <v>1424</v>
      </c>
      <c r="N88" s="14">
        <f>Greenleaf[[#This Row],[Unit Price]]*Greenleaf[[#This Row],[Quantity Sold]]</f>
        <v>12</v>
      </c>
      <c r="O88" s="13">
        <f>Greenleaf[[#This Row],[Unit Cost]]*Greenleaf[[#This Row],[Quantity Sold]]</f>
        <v>2.87</v>
      </c>
      <c r="P88" s="13">
        <f>Greenleaf[[#This Row],[ Unit  price per quantity]]-Greenleaf[[#This Row],[ Unit cost per quantity]]</f>
        <v>9.129999999999999</v>
      </c>
      <c r="Q88" s="14">
        <f>Greenleaf[[#This Row],[Quantity Sold]]*Greenleaf[[#This Row],[Unit Price]]</f>
        <v>12</v>
      </c>
    </row>
    <row r="89" spans="1:17" x14ac:dyDescent="0.25">
      <c r="A89" t="s">
        <v>1515</v>
      </c>
      <c r="B89" s="5">
        <v>45318</v>
      </c>
      <c r="C89" s="5" t="str">
        <f>TEXT(Greenleaf[[#This Row],[Order Date]],"MMM")</f>
        <v>Jan</v>
      </c>
      <c r="D89" s="5" t="str">
        <f>TEXT(Greenleaf[[#This Row],[Order Date]],"YYYY")</f>
        <v>2024</v>
      </c>
      <c r="E89" t="s">
        <v>2464</v>
      </c>
      <c r="F89" s="7" t="s">
        <v>1012</v>
      </c>
      <c r="G89" s="9">
        <v>6</v>
      </c>
      <c r="H89" s="11">
        <v>40</v>
      </c>
      <c r="I89" s="13">
        <v>11.82</v>
      </c>
      <c r="J89" t="s">
        <v>1150</v>
      </c>
      <c r="K89" t="s">
        <v>2529</v>
      </c>
      <c r="L89" s="7" t="s">
        <v>1414</v>
      </c>
      <c r="M89" s="7" t="s">
        <v>1418</v>
      </c>
      <c r="N89" s="14">
        <f>Greenleaf[[#This Row],[Unit Price]]*Greenleaf[[#This Row],[Quantity Sold]]</f>
        <v>240</v>
      </c>
      <c r="O89" s="13">
        <f>Greenleaf[[#This Row],[Unit Cost]]*Greenleaf[[#This Row],[Quantity Sold]]</f>
        <v>70.92</v>
      </c>
      <c r="P89" s="13">
        <f>Greenleaf[[#This Row],[ Unit  price per quantity]]-Greenleaf[[#This Row],[ Unit cost per quantity]]</f>
        <v>169.07999999999998</v>
      </c>
      <c r="Q89" s="14">
        <f>Greenleaf[[#This Row],[Quantity Sold]]*Greenleaf[[#This Row],[Unit Price]]</f>
        <v>240</v>
      </c>
    </row>
    <row r="90" spans="1:17" x14ac:dyDescent="0.25">
      <c r="A90" t="s">
        <v>1516</v>
      </c>
      <c r="B90" s="5">
        <v>45318</v>
      </c>
      <c r="C90" s="5" t="str">
        <f>TEXT(Greenleaf[[#This Row],[Order Date]],"MMM")</f>
        <v>Jan</v>
      </c>
      <c r="D90" s="5" t="str">
        <f>TEXT(Greenleaf[[#This Row],[Order Date]],"YYYY")</f>
        <v>2024</v>
      </c>
      <c r="E90" t="s">
        <v>2462</v>
      </c>
      <c r="F90" s="7" t="s">
        <v>1013</v>
      </c>
      <c r="G90" s="9">
        <v>6</v>
      </c>
      <c r="H90" s="11">
        <v>25</v>
      </c>
      <c r="I90" s="13">
        <v>9.0500000000000007</v>
      </c>
      <c r="J90" t="s">
        <v>1211</v>
      </c>
      <c r="K90" t="s">
        <v>2519</v>
      </c>
      <c r="L90" s="7" t="s">
        <v>1416</v>
      </c>
      <c r="M90" s="7" t="s">
        <v>1426</v>
      </c>
      <c r="N90" s="14">
        <f>Greenleaf[[#This Row],[Unit Price]]*Greenleaf[[#This Row],[Quantity Sold]]</f>
        <v>150</v>
      </c>
      <c r="O90" s="13">
        <f>Greenleaf[[#This Row],[Unit Cost]]*Greenleaf[[#This Row],[Quantity Sold]]</f>
        <v>54.300000000000004</v>
      </c>
      <c r="P90" s="13">
        <f>Greenleaf[[#This Row],[ Unit  price per quantity]]-Greenleaf[[#This Row],[ Unit cost per quantity]]</f>
        <v>95.699999999999989</v>
      </c>
      <c r="Q90" s="14">
        <f>Greenleaf[[#This Row],[Quantity Sold]]*Greenleaf[[#This Row],[Unit Price]]</f>
        <v>150</v>
      </c>
    </row>
    <row r="91" spans="1:17" x14ac:dyDescent="0.25">
      <c r="A91" t="s">
        <v>1517</v>
      </c>
      <c r="B91" s="5">
        <v>45319</v>
      </c>
      <c r="C91" s="5" t="str">
        <f>TEXT(Greenleaf[[#This Row],[Order Date]],"MMM")</f>
        <v>Jan</v>
      </c>
      <c r="D91" s="5" t="str">
        <f>TEXT(Greenleaf[[#This Row],[Order Date]],"YYYY")</f>
        <v>2024</v>
      </c>
      <c r="E91" t="s">
        <v>2461</v>
      </c>
      <c r="F91" s="7" t="s">
        <v>1011</v>
      </c>
      <c r="G91" s="9">
        <v>10</v>
      </c>
      <c r="H91" s="11">
        <v>12</v>
      </c>
      <c r="I91" s="13">
        <v>4.34</v>
      </c>
      <c r="J91" t="s">
        <v>1030</v>
      </c>
      <c r="K91" t="s">
        <v>2496</v>
      </c>
      <c r="L91" s="7" t="s">
        <v>1416</v>
      </c>
      <c r="M91" s="7" t="s">
        <v>1421</v>
      </c>
      <c r="N91" s="14">
        <f>Greenleaf[[#This Row],[Unit Price]]*Greenleaf[[#This Row],[Quantity Sold]]</f>
        <v>120</v>
      </c>
      <c r="O91" s="13">
        <f>Greenleaf[[#This Row],[Unit Cost]]*Greenleaf[[#This Row],[Quantity Sold]]</f>
        <v>43.4</v>
      </c>
      <c r="P91" s="13">
        <f>Greenleaf[[#This Row],[ Unit  price per quantity]]-Greenleaf[[#This Row],[ Unit cost per quantity]]</f>
        <v>76.599999999999994</v>
      </c>
      <c r="Q91" s="14">
        <f>Greenleaf[[#This Row],[Quantity Sold]]*Greenleaf[[#This Row],[Unit Price]]</f>
        <v>120</v>
      </c>
    </row>
    <row r="92" spans="1:17" x14ac:dyDescent="0.25">
      <c r="A92" t="s">
        <v>1518</v>
      </c>
      <c r="B92" s="5">
        <v>45319</v>
      </c>
      <c r="C92" s="5" t="str">
        <f>TEXT(Greenleaf[[#This Row],[Order Date]],"MMM")</f>
        <v>Jan</v>
      </c>
      <c r="D92" s="5" t="str">
        <f>TEXT(Greenleaf[[#This Row],[Order Date]],"YYYY")</f>
        <v>2024</v>
      </c>
      <c r="E92" t="s">
        <v>2462</v>
      </c>
      <c r="F92" s="7" t="s">
        <v>1013</v>
      </c>
      <c r="G92" s="9">
        <v>3</v>
      </c>
      <c r="H92" s="11">
        <v>25</v>
      </c>
      <c r="I92" s="13">
        <v>7.45</v>
      </c>
      <c r="J92" t="s">
        <v>1188</v>
      </c>
      <c r="K92" t="s">
        <v>2476</v>
      </c>
      <c r="L92" s="7" t="s">
        <v>1416</v>
      </c>
      <c r="M92" s="7" t="s">
        <v>1419</v>
      </c>
      <c r="N92" s="14">
        <f>Greenleaf[[#This Row],[Unit Price]]*Greenleaf[[#This Row],[Quantity Sold]]</f>
        <v>75</v>
      </c>
      <c r="O92" s="13">
        <f>Greenleaf[[#This Row],[Unit Cost]]*Greenleaf[[#This Row],[Quantity Sold]]</f>
        <v>22.35</v>
      </c>
      <c r="P92" s="13">
        <f>Greenleaf[[#This Row],[ Unit  price per quantity]]-Greenleaf[[#This Row],[ Unit cost per quantity]]</f>
        <v>52.65</v>
      </c>
      <c r="Q92" s="14">
        <f>Greenleaf[[#This Row],[Quantity Sold]]*Greenleaf[[#This Row],[Unit Price]]</f>
        <v>75</v>
      </c>
    </row>
    <row r="93" spans="1:17" x14ac:dyDescent="0.25">
      <c r="A93" t="s">
        <v>1519</v>
      </c>
      <c r="B93" s="5">
        <v>45319</v>
      </c>
      <c r="C93" s="5" t="str">
        <f>TEXT(Greenleaf[[#This Row],[Order Date]],"MMM")</f>
        <v>Jan</v>
      </c>
      <c r="D93" s="5" t="str">
        <f>TEXT(Greenleaf[[#This Row],[Order Date]],"YYYY")</f>
        <v>2024</v>
      </c>
      <c r="E93" t="s">
        <v>2463</v>
      </c>
      <c r="F93" s="7" t="s">
        <v>1014</v>
      </c>
      <c r="G93" s="9">
        <v>9</v>
      </c>
      <c r="H93" s="11">
        <v>15</v>
      </c>
      <c r="I93" s="13">
        <v>4.92</v>
      </c>
      <c r="J93" t="s">
        <v>1199</v>
      </c>
      <c r="K93" t="s">
        <v>2475</v>
      </c>
      <c r="L93" s="7" t="s">
        <v>1415</v>
      </c>
      <c r="M93" s="7" t="s">
        <v>1418</v>
      </c>
      <c r="N93" s="14">
        <f>Greenleaf[[#This Row],[Unit Price]]*Greenleaf[[#This Row],[Quantity Sold]]</f>
        <v>135</v>
      </c>
      <c r="O93" s="13">
        <f>Greenleaf[[#This Row],[Unit Cost]]*Greenleaf[[#This Row],[Quantity Sold]]</f>
        <v>44.28</v>
      </c>
      <c r="P93" s="13">
        <f>Greenleaf[[#This Row],[ Unit  price per quantity]]-Greenleaf[[#This Row],[ Unit cost per quantity]]</f>
        <v>90.72</v>
      </c>
      <c r="Q93" s="14">
        <f>Greenleaf[[#This Row],[Quantity Sold]]*Greenleaf[[#This Row],[Unit Price]]</f>
        <v>135</v>
      </c>
    </row>
    <row r="94" spans="1:17" x14ac:dyDescent="0.25">
      <c r="A94" t="s">
        <v>1520</v>
      </c>
      <c r="B94" s="5">
        <v>45319</v>
      </c>
      <c r="C94" s="5" t="str">
        <f>TEXT(Greenleaf[[#This Row],[Order Date]],"MMM")</f>
        <v>Jan</v>
      </c>
      <c r="D94" s="5" t="str">
        <f>TEXT(Greenleaf[[#This Row],[Order Date]],"YYYY")</f>
        <v>2024</v>
      </c>
      <c r="E94" t="s">
        <v>2460</v>
      </c>
      <c r="F94" s="7" t="s">
        <v>1015</v>
      </c>
      <c r="G94" s="9">
        <v>7</v>
      </c>
      <c r="H94" s="11">
        <v>10</v>
      </c>
      <c r="I94" s="13">
        <v>2.4500000000000002</v>
      </c>
      <c r="J94" t="s">
        <v>1156</v>
      </c>
      <c r="K94" t="s">
        <v>2470</v>
      </c>
      <c r="L94" s="7" t="s">
        <v>1414</v>
      </c>
      <c r="M94" s="7" t="s">
        <v>1425</v>
      </c>
      <c r="N94" s="14">
        <f>Greenleaf[[#This Row],[Unit Price]]*Greenleaf[[#This Row],[Quantity Sold]]</f>
        <v>70</v>
      </c>
      <c r="O94" s="13">
        <f>Greenleaf[[#This Row],[Unit Cost]]*Greenleaf[[#This Row],[Quantity Sold]]</f>
        <v>17.150000000000002</v>
      </c>
      <c r="P94" s="13">
        <f>Greenleaf[[#This Row],[ Unit  price per quantity]]-Greenleaf[[#This Row],[ Unit cost per quantity]]</f>
        <v>52.849999999999994</v>
      </c>
      <c r="Q94" s="14">
        <f>Greenleaf[[#This Row],[Quantity Sold]]*Greenleaf[[#This Row],[Unit Price]]</f>
        <v>70</v>
      </c>
    </row>
    <row r="95" spans="1:17" x14ac:dyDescent="0.25">
      <c r="A95" t="s">
        <v>1521</v>
      </c>
      <c r="B95" s="5">
        <v>45319</v>
      </c>
      <c r="C95" s="5" t="str">
        <f>TEXT(Greenleaf[[#This Row],[Order Date]],"MMM")</f>
        <v>Jan</v>
      </c>
      <c r="D95" s="5" t="str">
        <f>TEXT(Greenleaf[[#This Row],[Order Date]],"YYYY")</f>
        <v>2024</v>
      </c>
      <c r="E95" t="s">
        <v>2462</v>
      </c>
      <c r="F95" s="7" t="s">
        <v>1013</v>
      </c>
      <c r="G95" s="9">
        <v>1</v>
      </c>
      <c r="H95" s="11">
        <v>25</v>
      </c>
      <c r="I95" s="13">
        <v>7.24</v>
      </c>
      <c r="J95" t="s">
        <v>1035</v>
      </c>
      <c r="K95" t="s">
        <v>2483</v>
      </c>
      <c r="L95" s="7" t="s">
        <v>1416</v>
      </c>
      <c r="M95" s="7" t="s">
        <v>1427</v>
      </c>
      <c r="N95" s="14">
        <f>Greenleaf[[#This Row],[Unit Price]]*Greenleaf[[#This Row],[Quantity Sold]]</f>
        <v>25</v>
      </c>
      <c r="O95" s="13">
        <f>Greenleaf[[#This Row],[Unit Cost]]*Greenleaf[[#This Row],[Quantity Sold]]</f>
        <v>7.24</v>
      </c>
      <c r="P95" s="13">
        <f>Greenleaf[[#This Row],[ Unit  price per quantity]]-Greenleaf[[#This Row],[ Unit cost per quantity]]</f>
        <v>17.759999999999998</v>
      </c>
      <c r="Q95" s="14">
        <f>Greenleaf[[#This Row],[Quantity Sold]]*Greenleaf[[#This Row],[Unit Price]]</f>
        <v>25</v>
      </c>
    </row>
    <row r="96" spans="1:17" x14ac:dyDescent="0.25">
      <c r="A96" t="s">
        <v>1522</v>
      </c>
      <c r="B96" s="5">
        <v>45319</v>
      </c>
      <c r="C96" s="5" t="str">
        <f>TEXT(Greenleaf[[#This Row],[Order Date]],"MMM")</f>
        <v>Jan</v>
      </c>
      <c r="D96" s="5" t="str">
        <f>TEXT(Greenleaf[[#This Row],[Order Date]],"YYYY")</f>
        <v>2024</v>
      </c>
      <c r="E96" t="s">
        <v>2464</v>
      </c>
      <c r="F96" s="7" t="s">
        <v>1012</v>
      </c>
      <c r="G96" s="9">
        <v>2</v>
      </c>
      <c r="H96" s="11">
        <v>40</v>
      </c>
      <c r="I96" s="13">
        <v>14.07</v>
      </c>
      <c r="J96" t="s">
        <v>1050</v>
      </c>
      <c r="K96" t="s">
        <v>2488</v>
      </c>
      <c r="L96" s="7" t="s">
        <v>1417</v>
      </c>
      <c r="M96" s="7" t="s">
        <v>1425</v>
      </c>
      <c r="N96" s="14">
        <f>Greenleaf[[#This Row],[Unit Price]]*Greenleaf[[#This Row],[Quantity Sold]]</f>
        <v>80</v>
      </c>
      <c r="O96" s="13">
        <f>Greenleaf[[#This Row],[Unit Cost]]*Greenleaf[[#This Row],[Quantity Sold]]</f>
        <v>28.14</v>
      </c>
      <c r="P96" s="13">
        <f>Greenleaf[[#This Row],[ Unit  price per quantity]]-Greenleaf[[#This Row],[ Unit cost per quantity]]</f>
        <v>51.86</v>
      </c>
      <c r="Q96" s="14">
        <f>Greenleaf[[#This Row],[Quantity Sold]]*Greenleaf[[#This Row],[Unit Price]]</f>
        <v>80</v>
      </c>
    </row>
    <row r="97" spans="1:17" x14ac:dyDescent="0.25">
      <c r="A97" t="s">
        <v>1523</v>
      </c>
      <c r="B97" s="5">
        <v>45319</v>
      </c>
      <c r="C97" s="5" t="str">
        <f>TEXT(Greenleaf[[#This Row],[Order Date]],"MMM")</f>
        <v>Jan</v>
      </c>
      <c r="D97" s="5" t="str">
        <f>TEXT(Greenleaf[[#This Row],[Order Date]],"YYYY")</f>
        <v>2024</v>
      </c>
      <c r="E97" t="s">
        <v>2462</v>
      </c>
      <c r="F97" s="7" t="s">
        <v>1013</v>
      </c>
      <c r="G97" s="9">
        <v>10</v>
      </c>
      <c r="H97" s="11">
        <v>25</v>
      </c>
      <c r="I97" s="13">
        <v>9.9</v>
      </c>
      <c r="J97" t="s">
        <v>1030</v>
      </c>
      <c r="K97" t="s">
        <v>2496</v>
      </c>
      <c r="L97" s="7" t="s">
        <v>1414</v>
      </c>
      <c r="M97" s="7" t="s">
        <v>1427</v>
      </c>
      <c r="N97" s="14">
        <f>Greenleaf[[#This Row],[Unit Price]]*Greenleaf[[#This Row],[Quantity Sold]]</f>
        <v>250</v>
      </c>
      <c r="O97" s="13">
        <f>Greenleaf[[#This Row],[Unit Cost]]*Greenleaf[[#This Row],[Quantity Sold]]</f>
        <v>99</v>
      </c>
      <c r="P97" s="13">
        <f>Greenleaf[[#This Row],[ Unit  price per quantity]]-Greenleaf[[#This Row],[ Unit cost per quantity]]</f>
        <v>151</v>
      </c>
      <c r="Q97" s="14">
        <f>Greenleaf[[#This Row],[Quantity Sold]]*Greenleaf[[#This Row],[Unit Price]]</f>
        <v>250</v>
      </c>
    </row>
    <row r="98" spans="1:17" x14ac:dyDescent="0.25">
      <c r="A98" t="s">
        <v>1524</v>
      </c>
      <c r="B98" s="5">
        <v>45320</v>
      </c>
      <c r="C98" s="5" t="str">
        <f>TEXT(Greenleaf[[#This Row],[Order Date]],"MMM")</f>
        <v>Jan</v>
      </c>
      <c r="D98" s="5" t="str">
        <f>TEXT(Greenleaf[[#This Row],[Order Date]],"YYYY")</f>
        <v>2024</v>
      </c>
      <c r="E98" t="s">
        <v>2464</v>
      </c>
      <c r="F98" s="7" t="s">
        <v>1012</v>
      </c>
      <c r="G98" s="9">
        <v>9</v>
      </c>
      <c r="H98" s="11">
        <v>40</v>
      </c>
      <c r="I98" s="13">
        <v>15.18</v>
      </c>
      <c r="J98" t="s">
        <v>1115</v>
      </c>
      <c r="K98" t="s">
        <v>2530</v>
      </c>
      <c r="L98" s="7" t="s">
        <v>1415</v>
      </c>
      <c r="M98" s="7" t="s">
        <v>1425</v>
      </c>
      <c r="N98" s="14">
        <f>Greenleaf[[#This Row],[Unit Price]]*Greenleaf[[#This Row],[Quantity Sold]]</f>
        <v>360</v>
      </c>
      <c r="O98" s="13">
        <f>Greenleaf[[#This Row],[Unit Cost]]*Greenleaf[[#This Row],[Quantity Sold]]</f>
        <v>136.62</v>
      </c>
      <c r="P98" s="13">
        <f>Greenleaf[[#This Row],[ Unit  price per quantity]]-Greenleaf[[#This Row],[ Unit cost per quantity]]</f>
        <v>223.38</v>
      </c>
      <c r="Q98" s="14">
        <f>Greenleaf[[#This Row],[Quantity Sold]]*Greenleaf[[#This Row],[Unit Price]]</f>
        <v>360</v>
      </c>
    </row>
    <row r="99" spans="1:17" x14ac:dyDescent="0.25">
      <c r="A99" t="s">
        <v>1525</v>
      </c>
      <c r="B99" s="5">
        <v>45320</v>
      </c>
      <c r="C99" s="5" t="str">
        <f>TEXT(Greenleaf[[#This Row],[Order Date]],"MMM")</f>
        <v>Jan</v>
      </c>
      <c r="D99" s="5" t="str">
        <f>TEXT(Greenleaf[[#This Row],[Order Date]],"YYYY")</f>
        <v>2024</v>
      </c>
      <c r="E99" t="s">
        <v>2460</v>
      </c>
      <c r="F99" s="7" t="s">
        <v>1015</v>
      </c>
      <c r="G99" s="9">
        <v>4</v>
      </c>
      <c r="H99" s="11">
        <v>10</v>
      </c>
      <c r="I99" s="13">
        <v>3.54</v>
      </c>
      <c r="J99" t="s">
        <v>1061</v>
      </c>
      <c r="K99" t="s">
        <v>2500</v>
      </c>
      <c r="L99" s="7" t="s">
        <v>1414</v>
      </c>
      <c r="M99" s="7" t="s">
        <v>1425</v>
      </c>
      <c r="N99" s="14">
        <f>Greenleaf[[#This Row],[Unit Price]]*Greenleaf[[#This Row],[Quantity Sold]]</f>
        <v>40</v>
      </c>
      <c r="O99" s="13">
        <f>Greenleaf[[#This Row],[Unit Cost]]*Greenleaf[[#This Row],[Quantity Sold]]</f>
        <v>14.16</v>
      </c>
      <c r="P99" s="13">
        <f>Greenleaf[[#This Row],[ Unit  price per quantity]]-Greenleaf[[#This Row],[ Unit cost per quantity]]</f>
        <v>25.84</v>
      </c>
      <c r="Q99" s="14">
        <f>Greenleaf[[#This Row],[Quantity Sold]]*Greenleaf[[#This Row],[Unit Price]]</f>
        <v>40</v>
      </c>
    </row>
    <row r="100" spans="1:17" x14ac:dyDescent="0.25">
      <c r="A100" t="s">
        <v>1526</v>
      </c>
      <c r="B100" s="5">
        <v>45320</v>
      </c>
      <c r="C100" s="5" t="str">
        <f>TEXT(Greenleaf[[#This Row],[Order Date]],"MMM")</f>
        <v>Jan</v>
      </c>
      <c r="D100" s="5" t="str">
        <f>TEXT(Greenleaf[[#This Row],[Order Date]],"YYYY")</f>
        <v>2024</v>
      </c>
      <c r="E100" t="s">
        <v>2461</v>
      </c>
      <c r="F100" s="7" t="s">
        <v>1011</v>
      </c>
      <c r="G100" s="9">
        <v>10</v>
      </c>
      <c r="H100" s="11">
        <v>12</v>
      </c>
      <c r="I100" s="13">
        <v>3.79</v>
      </c>
      <c r="J100" t="s">
        <v>1204</v>
      </c>
      <c r="K100" t="s">
        <v>2531</v>
      </c>
      <c r="L100" s="7" t="s">
        <v>1414</v>
      </c>
      <c r="M100" s="7" t="s">
        <v>1420</v>
      </c>
      <c r="N100" s="14">
        <f>Greenleaf[[#This Row],[Unit Price]]*Greenleaf[[#This Row],[Quantity Sold]]</f>
        <v>120</v>
      </c>
      <c r="O100" s="13">
        <f>Greenleaf[[#This Row],[Unit Cost]]*Greenleaf[[#This Row],[Quantity Sold]]</f>
        <v>37.9</v>
      </c>
      <c r="P100" s="13">
        <f>Greenleaf[[#This Row],[ Unit  price per quantity]]-Greenleaf[[#This Row],[ Unit cost per quantity]]</f>
        <v>82.1</v>
      </c>
      <c r="Q100" s="14">
        <f>Greenleaf[[#This Row],[Quantity Sold]]*Greenleaf[[#This Row],[Unit Price]]</f>
        <v>120</v>
      </c>
    </row>
    <row r="101" spans="1:17" x14ac:dyDescent="0.25">
      <c r="A101" t="s">
        <v>1527</v>
      </c>
      <c r="B101" s="5">
        <v>45320</v>
      </c>
      <c r="C101" s="5" t="str">
        <f>TEXT(Greenleaf[[#This Row],[Order Date]],"MMM")</f>
        <v>Jan</v>
      </c>
      <c r="D101" s="5" t="str">
        <f>TEXT(Greenleaf[[#This Row],[Order Date]],"YYYY")</f>
        <v>2024</v>
      </c>
      <c r="E101" t="s">
        <v>2460</v>
      </c>
      <c r="F101" s="7" t="s">
        <v>1015</v>
      </c>
      <c r="G101" s="9">
        <v>8</v>
      </c>
      <c r="H101" s="11">
        <v>10</v>
      </c>
      <c r="I101" s="13">
        <v>2.6</v>
      </c>
      <c r="J101" t="s">
        <v>1125</v>
      </c>
      <c r="K101" t="s">
        <v>2532</v>
      </c>
      <c r="L101" s="7" t="s">
        <v>1414</v>
      </c>
      <c r="M101" s="7" t="s">
        <v>1424</v>
      </c>
      <c r="N101" s="14">
        <f>Greenleaf[[#This Row],[Unit Price]]*Greenleaf[[#This Row],[Quantity Sold]]</f>
        <v>80</v>
      </c>
      <c r="O101" s="13">
        <f>Greenleaf[[#This Row],[Unit Cost]]*Greenleaf[[#This Row],[Quantity Sold]]</f>
        <v>20.8</v>
      </c>
      <c r="P101" s="13">
        <f>Greenleaf[[#This Row],[ Unit  price per quantity]]-Greenleaf[[#This Row],[ Unit cost per quantity]]</f>
        <v>59.2</v>
      </c>
      <c r="Q101" s="14">
        <f>Greenleaf[[#This Row],[Quantity Sold]]*Greenleaf[[#This Row],[Unit Price]]</f>
        <v>80</v>
      </c>
    </row>
    <row r="102" spans="1:17" x14ac:dyDescent="0.25">
      <c r="A102" t="s">
        <v>1528</v>
      </c>
      <c r="B102" s="5">
        <v>45320</v>
      </c>
      <c r="C102" s="5" t="str">
        <f>TEXT(Greenleaf[[#This Row],[Order Date]],"MMM")</f>
        <v>Jan</v>
      </c>
      <c r="D102" s="5" t="str">
        <f>TEXT(Greenleaf[[#This Row],[Order Date]],"YYYY")</f>
        <v>2024</v>
      </c>
      <c r="E102" t="s">
        <v>2462</v>
      </c>
      <c r="F102" s="7" t="s">
        <v>1013</v>
      </c>
      <c r="G102" s="9">
        <v>8</v>
      </c>
      <c r="H102" s="11">
        <v>25</v>
      </c>
      <c r="I102" s="13">
        <v>6.48</v>
      </c>
      <c r="J102" t="s">
        <v>1020</v>
      </c>
      <c r="K102" t="s">
        <v>2533</v>
      </c>
      <c r="L102" s="7" t="s">
        <v>1416</v>
      </c>
      <c r="M102" s="7" t="s">
        <v>1422</v>
      </c>
      <c r="N102" s="14">
        <f>Greenleaf[[#This Row],[Unit Price]]*Greenleaf[[#This Row],[Quantity Sold]]</f>
        <v>200</v>
      </c>
      <c r="O102" s="13">
        <f>Greenleaf[[#This Row],[Unit Cost]]*Greenleaf[[#This Row],[Quantity Sold]]</f>
        <v>51.84</v>
      </c>
      <c r="P102" s="13">
        <f>Greenleaf[[#This Row],[ Unit  price per quantity]]-Greenleaf[[#This Row],[ Unit cost per quantity]]</f>
        <v>148.16</v>
      </c>
      <c r="Q102" s="14">
        <f>Greenleaf[[#This Row],[Quantity Sold]]*Greenleaf[[#This Row],[Unit Price]]</f>
        <v>200</v>
      </c>
    </row>
    <row r="103" spans="1:17" x14ac:dyDescent="0.25">
      <c r="A103" t="s">
        <v>1529</v>
      </c>
      <c r="B103" s="5">
        <v>45320</v>
      </c>
      <c r="C103" s="5" t="str">
        <f>TEXT(Greenleaf[[#This Row],[Order Date]],"MMM")</f>
        <v>Jan</v>
      </c>
      <c r="D103" s="5" t="str">
        <f>TEXT(Greenleaf[[#This Row],[Order Date]],"YYYY")</f>
        <v>2024</v>
      </c>
      <c r="E103" t="s">
        <v>2460</v>
      </c>
      <c r="F103" s="7" t="s">
        <v>1015</v>
      </c>
      <c r="G103" s="9">
        <v>9</v>
      </c>
      <c r="H103" s="11">
        <v>10</v>
      </c>
      <c r="I103" s="13">
        <v>3.07</v>
      </c>
      <c r="J103" t="s">
        <v>1016</v>
      </c>
      <c r="K103" t="s">
        <v>2478</v>
      </c>
      <c r="L103" s="7" t="s">
        <v>1415</v>
      </c>
      <c r="M103" s="7" t="s">
        <v>1427</v>
      </c>
      <c r="N103" s="14">
        <f>Greenleaf[[#This Row],[Unit Price]]*Greenleaf[[#This Row],[Quantity Sold]]</f>
        <v>90</v>
      </c>
      <c r="O103" s="13">
        <f>Greenleaf[[#This Row],[Unit Cost]]*Greenleaf[[#This Row],[Quantity Sold]]</f>
        <v>27.63</v>
      </c>
      <c r="P103" s="13">
        <f>Greenleaf[[#This Row],[ Unit  price per quantity]]-Greenleaf[[#This Row],[ Unit cost per quantity]]</f>
        <v>62.370000000000005</v>
      </c>
      <c r="Q103" s="14">
        <f>Greenleaf[[#This Row],[Quantity Sold]]*Greenleaf[[#This Row],[Unit Price]]</f>
        <v>90</v>
      </c>
    </row>
    <row r="104" spans="1:17" x14ac:dyDescent="0.25">
      <c r="A104" t="s">
        <v>1530</v>
      </c>
      <c r="B104" s="5">
        <v>45321</v>
      </c>
      <c r="C104" s="5" t="str">
        <f>TEXT(Greenleaf[[#This Row],[Order Date]],"MMM")</f>
        <v>Jan</v>
      </c>
      <c r="D104" s="5" t="str">
        <f>TEXT(Greenleaf[[#This Row],[Order Date]],"YYYY")</f>
        <v>2024</v>
      </c>
      <c r="E104" t="s">
        <v>2464</v>
      </c>
      <c r="F104" s="7" t="s">
        <v>1012</v>
      </c>
      <c r="G104" s="9">
        <v>8</v>
      </c>
      <c r="H104" s="11">
        <v>40</v>
      </c>
      <c r="I104" s="13">
        <v>10.88</v>
      </c>
      <c r="J104" t="s">
        <v>1144</v>
      </c>
      <c r="K104" t="s">
        <v>2534</v>
      </c>
      <c r="L104" s="7" t="s">
        <v>1416</v>
      </c>
      <c r="M104" s="7" t="s">
        <v>1424</v>
      </c>
      <c r="N104" s="14">
        <f>Greenleaf[[#This Row],[Unit Price]]*Greenleaf[[#This Row],[Quantity Sold]]</f>
        <v>320</v>
      </c>
      <c r="O104" s="13">
        <f>Greenleaf[[#This Row],[Unit Cost]]*Greenleaf[[#This Row],[Quantity Sold]]</f>
        <v>87.04</v>
      </c>
      <c r="P104" s="13">
        <f>Greenleaf[[#This Row],[ Unit  price per quantity]]-Greenleaf[[#This Row],[ Unit cost per quantity]]</f>
        <v>232.95999999999998</v>
      </c>
      <c r="Q104" s="14">
        <f>Greenleaf[[#This Row],[Quantity Sold]]*Greenleaf[[#This Row],[Unit Price]]</f>
        <v>320</v>
      </c>
    </row>
    <row r="105" spans="1:17" x14ac:dyDescent="0.25">
      <c r="A105" t="s">
        <v>1531</v>
      </c>
      <c r="B105" s="5">
        <v>45321</v>
      </c>
      <c r="C105" s="5" t="str">
        <f>TEXT(Greenleaf[[#This Row],[Order Date]],"MMM")</f>
        <v>Jan</v>
      </c>
      <c r="D105" s="5" t="str">
        <f>TEXT(Greenleaf[[#This Row],[Order Date]],"YYYY")</f>
        <v>2024</v>
      </c>
      <c r="E105" t="s">
        <v>2463</v>
      </c>
      <c r="F105" s="7" t="s">
        <v>1014</v>
      </c>
      <c r="G105" s="9">
        <v>7</v>
      </c>
      <c r="H105" s="11">
        <v>15</v>
      </c>
      <c r="I105" s="13">
        <v>5.75</v>
      </c>
      <c r="J105" t="s">
        <v>1129</v>
      </c>
      <c r="K105" t="s">
        <v>2535</v>
      </c>
      <c r="L105" s="7" t="s">
        <v>1414</v>
      </c>
      <c r="M105" s="7" t="s">
        <v>1423</v>
      </c>
      <c r="N105" s="14">
        <f>Greenleaf[[#This Row],[Unit Price]]*Greenleaf[[#This Row],[Quantity Sold]]</f>
        <v>105</v>
      </c>
      <c r="O105" s="13">
        <f>Greenleaf[[#This Row],[Unit Cost]]*Greenleaf[[#This Row],[Quantity Sold]]</f>
        <v>40.25</v>
      </c>
      <c r="P105" s="13">
        <f>Greenleaf[[#This Row],[ Unit  price per quantity]]-Greenleaf[[#This Row],[ Unit cost per quantity]]</f>
        <v>64.75</v>
      </c>
      <c r="Q105" s="14">
        <f>Greenleaf[[#This Row],[Quantity Sold]]*Greenleaf[[#This Row],[Unit Price]]</f>
        <v>105</v>
      </c>
    </row>
    <row r="106" spans="1:17" x14ac:dyDescent="0.25">
      <c r="A106" t="s">
        <v>1532</v>
      </c>
      <c r="B106" s="5">
        <v>45322</v>
      </c>
      <c r="C106" s="5" t="str">
        <f>TEXT(Greenleaf[[#This Row],[Order Date]],"MMM")</f>
        <v>Jan</v>
      </c>
      <c r="D106" s="5" t="str">
        <f>TEXT(Greenleaf[[#This Row],[Order Date]],"YYYY")</f>
        <v>2024</v>
      </c>
      <c r="E106" t="s">
        <v>2460</v>
      </c>
      <c r="F106" s="7" t="s">
        <v>1015</v>
      </c>
      <c r="G106" s="9">
        <v>3</v>
      </c>
      <c r="H106" s="11">
        <v>10</v>
      </c>
      <c r="I106" s="13">
        <v>2.88</v>
      </c>
      <c r="J106" t="s">
        <v>1137</v>
      </c>
      <c r="K106" t="s">
        <v>2485</v>
      </c>
      <c r="L106" s="7" t="s">
        <v>1416</v>
      </c>
      <c r="M106" s="7" t="s">
        <v>1424</v>
      </c>
      <c r="N106" s="14">
        <f>Greenleaf[[#This Row],[Unit Price]]*Greenleaf[[#This Row],[Quantity Sold]]</f>
        <v>30</v>
      </c>
      <c r="O106" s="13">
        <f>Greenleaf[[#This Row],[Unit Cost]]*Greenleaf[[#This Row],[Quantity Sold]]</f>
        <v>8.64</v>
      </c>
      <c r="P106" s="13">
        <f>Greenleaf[[#This Row],[ Unit  price per quantity]]-Greenleaf[[#This Row],[ Unit cost per quantity]]</f>
        <v>21.36</v>
      </c>
      <c r="Q106" s="14">
        <f>Greenleaf[[#This Row],[Quantity Sold]]*Greenleaf[[#This Row],[Unit Price]]</f>
        <v>30</v>
      </c>
    </row>
    <row r="107" spans="1:17" x14ac:dyDescent="0.25">
      <c r="A107" t="s">
        <v>1533</v>
      </c>
      <c r="B107" s="5">
        <v>45322</v>
      </c>
      <c r="C107" s="5" t="str">
        <f>TEXT(Greenleaf[[#This Row],[Order Date]],"MMM")</f>
        <v>Jan</v>
      </c>
      <c r="D107" s="5" t="str">
        <f>TEXT(Greenleaf[[#This Row],[Order Date]],"YYYY")</f>
        <v>2024</v>
      </c>
      <c r="E107" t="s">
        <v>2460</v>
      </c>
      <c r="F107" s="7" t="s">
        <v>1015</v>
      </c>
      <c r="G107" s="9">
        <v>9</v>
      </c>
      <c r="H107" s="11">
        <v>10</v>
      </c>
      <c r="I107" s="13">
        <v>3.15</v>
      </c>
      <c r="J107" t="s">
        <v>1089</v>
      </c>
      <c r="K107" t="s">
        <v>2528</v>
      </c>
      <c r="L107" s="7" t="s">
        <v>1414</v>
      </c>
      <c r="M107" s="7" t="s">
        <v>1425</v>
      </c>
      <c r="N107" s="14">
        <f>Greenleaf[[#This Row],[Unit Price]]*Greenleaf[[#This Row],[Quantity Sold]]</f>
        <v>90</v>
      </c>
      <c r="O107" s="13">
        <f>Greenleaf[[#This Row],[Unit Cost]]*Greenleaf[[#This Row],[Quantity Sold]]</f>
        <v>28.349999999999998</v>
      </c>
      <c r="P107" s="13">
        <f>Greenleaf[[#This Row],[ Unit  price per quantity]]-Greenleaf[[#This Row],[ Unit cost per quantity]]</f>
        <v>61.650000000000006</v>
      </c>
      <c r="Q107" s="14">
        <f>Greenleaf[[#This Row],[Quantity Sold]]*Greenleaf[[#This Row],[Unit Price]]</f>
        <v>90</v>
      </c>
    </row>
    <row r="108" spans="1:17" x14ac:dyDescent="0.25">
      <c r="A108" t="s">
        <v>1534</v>
      </c>
      <c r="B108" s="5">
        <v>45322</v>
      </c>
      <c r="C108" s="5" t="str">
        <f>TEXT(Greenleaf[[#This Row],[Order Date]],"MMM")</f>
        <v>Jan</v>
      </c>
      <c r="D108" s="5" t="str">
        <f>TEXT(Greenleaf[[#This Row],[Order Date]],"YYYY")</f>
        <v>2024</v>
      </c>
      <c r="E108" t="s">
        <v>2462</v>
      </c>
      <c r="F108" s="7" t="s">
        <v>1013</v>
      </c>
      <c r="G108" s="9">
        <v>1</v>
      </c>
      <c r="H108" s="11">
        <v>25</v>
      </c>
      <c r="I108" s="13">
        <v>5.62</v>
      </c>
      <c r="J108" t="s">
        <v>1074</v>
      </c>
      <c r="K108" t="s">
        <v>2506</v>
      </c>
      <c r="L108" s="7" t="s">
        <v>1414</v>
      </c>
      <c r="M108" s="7" t="s">
        <v>1422</v>
      </c>
      <c r="N108" s="14">
        <f>Greenleaf[[#This Row],[Unit Price]]*Greenleaf[[#This Row],[Quantity Sold]]</f>
        <v>25</v>
      </c>
      <c r="O108" s="13">
        <f>Greenleaf[[#This Row],[Unit Cost]]*Greenleaf[[#This Row],[Quantity Sold]]</f>
        <v>5.62</v>
      </c>
      <c r="P108" s="13">
        <f>Greenleaf[[#This Row],[ Unit  price per quantity]]-Greenleaf[[#This Row],[ Unit cost per quantity]]</f>
        <v>19.38</v>
      </c>
      <c r="Q108" s="14">
        <f>Greenleaf[[#This Row],[Quantity Sold]]*Greenleaf[[#This Row],[Unit Price]]</f>
        <v>25</v>
      </c>
    </row>
    <row r="109" spans="1:17" x14ac:dyDescent="0.25">
      <c r="A109" t="s">
        <v>1535</v>
      </c>
      <c r="B109" s="5">
        <v>45322</v>
      </c>
      <c r="C109" s="5" t="str">
        <f>TEXT(Greenleaf[[#This Row],[Order Date]],"MMM")</f>
        <v>Jan</v>
      </c>
      <c r="D109" s="5" t="str">
        <f>TEXT(Greenleaf[[#This Row],[Order Date]],"YYYY")</f>
        <v>2024</v>
      </c>
      <c r="E109" t="s">
        <v>2462</v>
      </c>
      <c r="F109" s="7" t="s">
        <v>1013</v>
      </c>
      <c r="G109" s="9">
        <v>10</v>
      </c>
      <c r="H109" s="11">
        <v>25</v>
      </c>
      <c r="I109" s="13">
        <v>7.15</v>
      </c>
      <c r="J109" t="s">
        <v>1208</v>
      </c>
      <c r="K109" t="s">
        <v>2486</v>
      </c>
      <c r="L109" s="7" t="s">
        <v>1414</v>
      </c>
      <c r="M109" s="7" t="s">
        <v>1426</v>
      </c>
      <c r="N109" s="14">
        <f>Greenleaf[[#This Row],[Unit Price]]*Greenleaf[[#This Row],[Quantity Sold]]</f>
        <v>250</v>
      </c>
      <c r="O109" s="13">
        <f>Greenleaf[[#This Row],[Unit Cost]]*Greenleaf[[#This Row],[Quantity Sold]]</f>
        <v>71.5</v>
      </c>
      <c r="P109" s="13">
        <f>Greenleaf[[#This Row],[ Unit  price per quantity]]-Greenleaf[[#This Row],[ Unit cost per quantity]]</f>
        <v>178.5</v>
      </c>
      <c r="Q109" s="14">
        <f>Greenleaf[[#This Row],[Quantity Sold]]*Greenleaf[[#This Row],[Unit Price]]</f>
        <v>250</v>
      </c>
    </row>
    <row r="110" spans="1:17" x14ac:dyDescent="0.25">
      <c r="A110" t="s">
        <v>1536</v>
      </c>
      <c r="B110" s="5">
        <v>45322</v>
      </c>
      <c r="C110" s="5" t="str">
        <f>TEXT(Greenleaf[[#This Row],[Order Date]],"MMM")</f>
        <v>Jan</v>
      </c>
      <c r="D110" s="5" t="str">
        <f>TEXT(Greenleaf[[#This Row],[Order Date]],"YYYY")</f>
        <v>2024</v>
      </c>
      <c r="E110" t="s">
        <v>2464</v>
      </c>
      <c r="F110" s="7" t="s">
        <v>1012</v>
      </c>
      <c r="G110" s="9">
        <v>10</v>
      </c>
      <c r="H110" s="11">
        <v>40</v>
      </c>
      <c r="I110" s="13">
        <v>14.26</v>
      </c>
      <c r="J110" t="s">
        <v>1067</v>
      </c>
      <c r="K110" t="s">
        <v>2475</v>
      </c>
      <c r="L110" s="7" t="s">
        <v>1414</v>
      </c>
      <c r="M110" s="7" t="s">
        <v>1421</v>
      </c>
      <c r="N110" s="14">
        <f>Greenleaf[[#This Row],[Unit Price]]*Greenleaf[[#This Row],[Quantity Sold]]</f>
        <v>400</v>
      </c>
      <c r="O110" s="13">
        <f>Greenleaf[[#This Row],[Unit Cost]]*Greenleaf[[#This Row],[Quantity Sold]]</f>
        <v>142.6</v>
      </c>
      <c r="P110" s="13">
        <f>Greenleaf[[#This Row],[ Unit  price per quantity]]-Greenleaf[[#This Row],[ Unit cost per quantity]]</f>
        <v>257.39999999999998</v>
      </c>
      <c r="Q110" s="14">
        <f>Greenleaf[[#This Row],[Quantity Sold]]*Greenleaf[[#This Row],[Unit Price]]</f>
        <v>400</v>
      </c>
    </row>
    <row r="111" spans="1:17" x14ac:dyDescent="0.25">
      <c r="A111" t="s">
        <v>1537</v>
      </c>
      <c r="B111" s="5">
        <v>45322</v>
      </c>
      <c r="C111" s="5" t="str">
        <f>TEXT(Greenleaf[[#This Row],[Order Date]],"MMM")</f>
        <v>Jan</v>
      </c>
      <c r="D111" s="5" t="str">
        <f>TEXT(Greenleaf[[#This Row],[Order Date]],"YYYY")</f>
        <v>2024</v>
      </c>
      <c r="E111" t="s">
        <v>2461</v>
      </c>
      <c r="F111" s="7" t="s">
        <v>1011</v>
      </c>
      <c r="G111" s="9">
        <v>3</v>
      </c>
      <c r="H111" s="11">
        <v>12</v>
      </c>
      <c r="I111" s="13">
        <v>3.43</v>
      </c>
      <c r="J111" t="s">
        <v>1128</v>
      </c>
      <c r="K111" t="s">
        <v>2523</v>
      </c>
      <c r="L111" s="7" t="s">
        <v>1414</v>
      </c>
      <c r="M111" s="7" t="s">
        <v>1427</v>
      </c>
      <c r="N111" s="14">
        <f>Greenleaf[[#This Row],[Unit Price]]*Greenleaf[[#This Row],[Quantity Sold]]</f>
        <v>36</v>
      </c>
      <c r="O111" s="13">
        <f>Greenleaf[[#This Row],[Unit Cost]]*Greenleaf[[#This Row],[Quantity Sold]]</f>
        <v>10.290000000000001</v>
      </c>
      <c r="P111" s="13">
        <f>Greenleaf[[#This Row],[ Unit  price per quantity]]-Greenleaf[[#This Row],[ Unit cost per quantity]]</f>
        <v>25.71</v>
      </c>
      <c r="Q111" s="14">
        <f>Greenleaf[[#This Row],[Quantity Sold]]*Greenleaf[[#This Row],[Unit Price]]</f>
        <v>36</v>
      </c>
    </row>
    <row r="112" spans="1:17" x14ac:dyDescent="0.25">
      <c r="A112" t="s">
        <v>1538</v>
      </c>
      <c r="B112" s="5">
        <v>45323</v>
      </c>
      <c r="C112" s="5" t="str">
        <f>TEXT(Greenleaf[[#This Row],[Order Date]],"MMM")</f>
        <v>Feb</v>
      </c>
      <c r="D112" s="5" t="str">
        <f>TEXT(Greenleaf[[#This Row],[Order Date]],"YYYY")</f>
        <v>2024</v>
      </c>
      <c r="E112" t="s">
        <v>2462</v>
      </c>
      <c r="F112" s="7" t="s">
        <v>1013</v>
      </c>
      <c r="G112" s="9">
        <v>5</v>
      </c>
      <c r="H112" s="11">
        <v>25</v>
      </c>
      <c r="I112" s="13">
        <v>7.16</v>
      </c>
      <c r="J112" t="s">
        <v>1075</v>
      </c>
      <c r="K112" t="s">
        <v>2505</v>
      </c>
      <c r="L112" s="7" t="s">
        <v>1414</v>
      </c>
      <c r="M112" s="7" t="s">
        <v>1423</v>
      </c>
      <c r="N112" s="14">
        <f>Greenleaf[[#This Row],[Unit Price]]*Greenleaf[[#This Row],[Quantity Sold]]</f>
        <v>125</v>
      </c>
      <c r="O112" s="13">
        <f>Greenleaf[[#This Row],[Unit Cost]]*Greenleaf[[#This Row],[Quantity Sold]]</f>
        <v>35.799999999999997</v>
      </c>
      <c r="P112" s="13">
        <f>Greenleaf[[#This Row],[ Unit  price per quantity]]-Greenleaf[[#This Row],[ Unit cost per quantity]]</f>
        <v>89.2</v>
      </c>
      <c r="Q112" s="14">
        <f>Greenleaf[[#This Row],[Quantity Sold]]*Greenleaf[[#This Row],[Unit Price]]</f>
        <v>125</v>
      </c>
    </row>
    <row r="113" spans="1:17" x14ac:dyDescent="0.25">
      <c r="A113" t="s">
        <v>1539</v>
      </c>
      <c r="B113" s="5">
        <v>45323</v>
      </c>
      <c r="C113" s="5" t="str">
        <f>TEXT(Greenleaf[[#This Row],[Order Date]],"MMM")</f>
        <v>Feb</v>
      </c>
      <c r="D113" s="5" t="str">
        <f>TEXT(Greenleaf[[#This Row],[Order Date]],"YYYY")</f>
        <v>2024</v>
      </c>
      <c r="E113" t="s">
        <v>2464</v>
      </c>
      <c r="F113" s="7" t="s">
        <v>1012</v>
      </c>
      <c r="G113" s="9">
        <v>1</v>
      </c>
      <c r="H113" s="11">
        <v>40</v>
      </c>
      <c r="I113" s="13">
        <v>13.32</v>
      </c>
      <c r="J113" t="s">
        <v>1025</v>
      </c>
      <c r="K113" t="s">
        <v>2471</v>
      </c>
      <c r="L113" s="7" t="s">
        <v>1414</v>
      </c>
      <c r="M113" s="7" t="s">
        <v>1420</v>
      </c>
      <c r="N113" s="14">
        <f>Greenleaf[[#This Row],[Unit Price]]*Greenleaf[[#This Row],[Quantity Sold]]</f>
        <v>40</v>
      </c>
      <c r="O113" s="13">
        <f>Greenleaf[[#This Row],[Unit Cost]]*Greenleaf[[#This Row],[Quantity Sold]]</f>
        <v>13.32</v>
      </c>
      <c r="P113" s="13">
        <f>Greenleaf[[#This Row],[ Unit  price per quantity]]-Greenleaf[[#This Row],[ Unit cost per quantity]]</f>
        <v>26.68</v>
      </c>
      <c r="Q113" s="14">
        <f>Greenleaf[[#This Row],[Quantity Sold]]*Greenleaf[[#This Row],[Unit Price]]</f>
        <v>40</v>
      </c>
    </row>
    <row r="114" spans="1:17" x14ac:dyDescent="0.25">
      <c r="A114" t="s">
        <v>1540</v>
      </c>
      <c r="B114" s="5">
        <v>45324</v>
      </c>
      <c r="C114" s="5" t="str">
        <f>TEXT(Greenleaf[[#This Row],[Order Date]],"MMM")</f>
        <v>Feb</v>
      </c>
      <c r="D114" s="5" t="str">
        <f>TEXT(Greenleaf[[#This Row],[Order Date]],"YYYY")</f>
        <v>2024</v>
      </c>
      <c r="E114" t="s">
        <v>2463</v>
      </c>
      <c r="F114" s="7" t="s">
        <v>1014</v>
      </c>
      <c r="G114" s="9">
        <v>8</v>
      </c>
      <c r="H114" s="11">
        <v>15</v>
      </c>
      <c r="I114" s="13">
        <v>4.83</v>
      </c>
      <c r="J114" t="s">
        <v>1124</v>
      </c>
      <c r="K114" t="s">
        <v>2519</v>
      </c>
      <c r="L114" s="7" t="s">
        <v>1415</v>
      </c>
      <c r="M114" s="7" t="s">
        <v>1427</v>
      </c>
      <c r="N114" s="14">
        <f>Greenleaf[[#This Row],[Unit Price]]*Greenleaf[[#This Row],[Quantity Sold]]</f>
        <v>120</v>
      </c>
      <c r="O114" s="13">
        <f>Greenleaf[[#This Row],[Unit Cost]]*Greenleaf[[#This Row],[Quantity Sold]]</f>
        <v>38.64</v>
      </c>
      <c r="P114" s="13">
        <f>Greenleaf[[#This Row],[ Unit  price per quantity]]-Greenleaf[[#This Row],[ Unit cost per quantity]]</f>
        <v>81.36</v>
      </c>
      <c r="Q114" s="14">
        <f>Greenleaf[[#This Row],[Quantity Sold]]*Greenleaf[[#This Row],[Unit Price]]</f>
        <v>120</v>
      </c>
    </row>
    <row r="115" spans="1:17" x14ac:dyDescent="0.25">
      <c r="A115" t="s">
        <v>1541</v>
      </c>
      <c r="B115" s="5">
        <v>45325</v>
      </c>
      <c r="C115" s="5" t="str">
        <f>TEXT(Greenleaf[[#This Row],[Order Date]],"MMM")</f>
        <v>Feb</v>
      </c>
      <c r="D115" s="5" t="str">
        <f>TEXT(Greenleaf[[#This Row],[Order Date]],"YYYY")</f>
        <v>2024</v>
      </c>
      <c r="E115" t="s">
        <v>2462</v>
      </c>
      <c r="F115" s="7" t="s">
        <v>1013</v>
      </c>
      <c r="G115" s="9">
        <v>2</v>
      </c>
      <c r="H115" s="11">
        <v>25</v>
      </c>
      <c r="I115" s="13">
        <v>5.45</v>
      </c>
      <c r="J115" t="s">
        <v>1024</v>
      </c>
      <c r="K115" t="s">
        <v>2518</v>
      </c>
      <c r="L115" s="7" t="s">
        <v>1416</v>
      </c>
      <c r="M115" s="7" t="s">
        <v>1421</v>
      </c>
      <c r="N115" s="14">
        <f>Greenleaf[[#This Row],[Unit Price]]*Greenleaf[[#This Row],[Quantity Sold]]</f>
        <v>50</v>
      </c>
      <c r="O115" s="13">
        <f>Greenleaf[[#This Row],[Unit Cost]]*Greenleaf[[#This Row],[Quantity Sold]]</f>
        <v>10.9</v>
      </c>
      <c r="P115" s="13">
        <f>Greenleaf[[#This Row],[ Unit  price per quantity]]-Greenleaf[[#This Row],[ Unit cost per quantity]]</f>
        <v>39.1</v>
      </c>
      <c r="Q115" s="14">
        <f>Greenleaf[[#This Row],[Quantity Sold]]*Greenleaf[[#This Row],[Unit Price]]</f>
        <v>50</v>
      </c>
    </row>
    <row r="116" spans="1:17" x14ac:dyDescent="0.25">
      <c r="A116" t="s">
        <v>1542</v>
      </c>
      <c r="B116" s="5">
        <v>45326</v>
      </c>
      <c r="C116" s="5" t="str">
        <f>TEXT(Greenleaf[[#This Row],[Order Date]],"MMM")</f>
        <v>Feb</v>
      </c>
      <c r="D116" s="5" t="str">
        <f>TEXT(Greenleaf[[#This Row],[Order Date]],"YYYY")</f>
        <v>2024</v>
      </c>
      <c r="E116" t="s">
        <v>2462</v>
      </c>
      <c r="F116" s="7" t="s">
        <v>1013</v>
      </c>
      <c r="G116" s="9">
        <v>9</v>
      </c>
      <c r="H116" s="11">
        <v>25</v>
      </c>
      <c r="I116" s="13">
        <v>6.65</v>
      </c>
      <c r="J116" t="s">
        <v>1115</v>
      </c>
      <c r="K116" t="s">
        <v>2530</v>
      </c>
      <c r="L116" s="7" t="s">
        <v>1414</v>
      </c>
      <c r="M116" s="7" t="s">
        <v>1427</v>
      </c>
      <c r="N116" s="14">
        <f>Greenleaf[[#This Row],[Unit Price]]*Greenleaf[[#This Row],[Quantity Sold]]</f>
        <v>225</v>
      </c>
      <c r="O116" s="13">
        <f>Greenleaf[[#This Row],[Unit Cost]]*Greenleaf[[#This Row],[Quantity Sold]]</f>
        <v>59.85</v>
      </c>
      <c r="P116" s="13">
        <f>Greenleaf[[#This Row],[ Unit  price per quantity]]-Greenleaf[[#This Row],[ Unit cost per quantity]]</f>
        <v>165.15</v>
      </c>
      <c r="Q116" s="14">
        <f>Greenleaf[[#This Row],[Quantity Sold]]*Greenleaf[[#This Row],[Unit Price]]</f>
        <v>225</v>
      </c>
    </row>
    <row r="117" spans="1:17" x14ac:dyDescent="0.25">
      <c r="A117" t="s">
        <v>1543</v>
      </c>
      <c r="B117" s="5">
        <v>45327</v>
      </c>
      <c r="C117" s="5" t="str">
        <f>TEXT(Greenleaf[[#This Row],[Order Date]],"MMM")</f>
        <v>Feb</v>
      </c>
      <c r="D117" s="5" t="str">
        <f>TEXT(Greenleaf[[#This Row],[Order Date]],"YYYY")</f>
        <v>2024</v>
      </c>
      <c r="E117" t="s">
        <v>2460</v>
      </c>
      <c r="F117" s="7" t="s">
        <v>1015</v>
      </c>
      <c r="G117" s="9">
        <v>1</v>
      </c>
      <c r="H117" s="11">
        <v>10</v>
      </c>
      <c r="I117" s="13">
        <v>2.91</v>
      </c>
      <c r="J117" t="s">
        <v>1112</v>
      </c>
      <c r="K117" t="s">
        <v>2495</v>
      </c>
      <c r="L117" s="7" t="s">
        <v>1414</v>
      </c>
      <c r="M117" s="7" t="s">
        <v>1421</v>
      </c>
      <c r="N117" s="14">
        <f>Greenleaf[[#This Row],[Unit Price]]*Greenleaf[[#This Row],[Quantity Sold]]</f>
        <v>10</v>
      </c>
      <c r="O117" s="13">
        <f>Greenleaf[[#This Row],[Unit Cost]]*Greenleaf[[#This Row],[Quantity Sold]]</f>
        <v>2.91</v>
      </c>
      <c r="P117" s="13">
        <f>Greenleaf[[#This Row],[ Unit  price per quantity]]-Greenleaf[[#This Row],[ Unit cost per quantity]]</f>
        <v>7.09</v>
      </c>
      <c r="Q117" s="14">
        <f>Greenleaf[[#This Row],[Quantity Sold]]*Greenleaf[[#This Row],[Unit Price]]</f>
        <v>10</v>
      </c>
    </row>
    <row r="118" spans="1:17" x14ac:dyDescent="0.25">
      <c r="A118" t="s">
        <v>1544</v>
      </c>
      <c r="B118" s="5">
        <v>45328</v>
      </c>
      <c r="C118" s="5" t="str">
        <f>TEXT(Greenleaf[[#This Row],[Order Date]],"MMM")</f>
        <v>Feb</v>
      </c>
      <c r="D118" s="5" t="str">
        <f>TEXT(Greenleaf[[#This Row],[Order Date]],"YYYY")</f>
        <v>2024</v>
      </c>
      <c r="E118" t="s">
        <v>2460</v>
      </c>
      <c r="F118" s="7" t="s">
        <v>1015</v>
      </c>
      <c r="G118" s="9">
        <v>8</v>
      </c>
      <c r="H118" s="11">
        <v>10</v>
      </c>
      <c r="I118" s="13">
        <v>3.92</v>
      </c>
      <c r="J118" t="s">
        <v>1168</v>
      </c>
      <c r="K118" t="s">
        <v>2485</v>
      </c>
      <c r="L118" s="7" t="s">
        <v>1416</v>
      </c>
      <c r="M118" s="7" t="s">
        <v>1422</v>
      </c>
      <c r="N118" s="14">
        <f>Greenleaf[[#This Row],[Unit Price]]*Greenleaf[[#This Row],[Quantity Sold]]</f>
        <v>80</v>
      </c>
      <c r="O118" s="13">
        <f>Greenleaf[[#This Row],[Unit Cost]]*Greenleaf[[#This Row],[Quantity Sold]]</f>
        <v>31.36</v>
      </c>
      <c r="P118" s="13">
        <f>Greenleaf[[#This Row],[ Unit  price per quantity]]-Greenleaf[[#This Row],[ Unit cost per quantity]]</f>
        <v>48.64</v>
      </c>
      <c r="Q118" s="14">
        <f>Greenleaf[[#This Row],[Quantity Sold]]*Greenleaf[[#This Row],[Unit Price]]</f>
        <v>80</v>
      </c>
    </row>
    <row r="119" spans="1:17" x14ac:dyDescent="0.25">
      <c r="A119" t="s">
        <v>1545</v>
      </c>
      <c r="B119" s="5">
        <v>45328</v>
      </c>
      <c r="C119" s="5" t="str">
        <f>TEXT(Greenleaf[[#This Row],[Order Date]],"MMM")</f>
        <v>Feb</v>
      </c>
      <c r="D119" s="5" t="str">
        <f>TEXT(Greenleaf[[#This Row],[Order Date]],"YYYY")</f>
        <v>2024</v>
      </c>
      <c r="E119" t="s">
        <v>2463</v>
      </c>
      <c r="F119" s="7" t="s">
        <v>1014</v>
      </c>
      <c r="G119" s="9">
        <v>5</v>
      </c>
      <c r="H119" s="11">
        <v>15</v>
      </c>
      <c r="I119" s="13">
        <v>4.6100000000000003</v>
      </c>
      <c r="J119" t="s">
        <v>1181</v>
      </c>
      <c r="K119" t="s">
        <v>2536</v>
      </c>
      <c r="L119" s="7" t="s">
        <v>1415</v>
      </c>
      <c r="M119" s="7" t="s">
        <v>1421</v>
      </c>
      <c r="N119" s="14">
        <f>Greenleaf[[#This Row],[Unit Price]]*Greenleaf[[#This Row],[Quantity Sold]]</f>
        <v>75</v>
      </c>
      <c r="O119" s="13">
        <f>Greenleaf[[#This Row],[Unit Cost]]*Greenleaf[[#This Row],[Quantity Sold]]</f>
        <v>23.05</v>
      </c>
      <c r="P119" s="13">
        <f>Greenleaf[[#This Row],[ Unit  price per quantity]]-Greenleaf[[#This Row],[ Unit cost per quantity]]</f>
        <v>51.95</v>
      </c>
      <c r="Q119" s="14">
        <f>Greenleaf[[#This Row],[Quantity Sold]]*Greenleaf[[#This Row],[Unit Price]]</f>
        <v>75</v>
      </c>
    </row>
    <row r="120" spans="1:17" x14ac:dyDescent="0.25">
      <c r="A120" t="s">
        <v>1546</v>
      </c>
      <c r="B120" s="5">
        <v>45328</v>
      </c>
      <c r="C120" s="5" t="str">
        <f>TEXT(Greenleaf[[#This Row],[Order Date]],"MMM")</f>
        <v>Feb</v>
      </c>
      <c r="D120" s="5" t="str">
        <f>TEXT(Greenleaf[[#This Row],[Order Date]],"YYYY")</f>
        <v>2024</v>
      </c>
      <c r="E120" t="s">
        <v>2460</v>
      </c>
      <c r="F120" s="7" t="s">
        <v>1015</v>
      </c>
      <c r="G120" s="9">
        <v>4</v>
      </c>
      <c r="H120" s="11">
        <v>10</v>
      </c>
      <c r="I120" s="13">
        <v>3.17</v>
      </c>
      <c r="J120" t="s">
        <v>1143</v>
      </c>
      <c r="K120" t="s">
        <v>2537</v>
      </c>
      <c r="L120" s="7" t="s">
        <v>1414</v>
      </c>
      <c r="M120" s="7" t="s">
        <v>1422</v>
      </c>
      <c r="N120" s="14">
        <f>Greenleaf[[#This Row],[Unit Price]]*Greenleaf[[#This Row],[Quantity Sold]]</f>
        <v>40</v>
      </c>
      <c r="O120" s="13">
        <f>Greenleaf[[#This Row],[Unit Cost]]*Greenleaf[[#This Row],[Quantity Sold]]</f>
        <v>12.68</v>
      </c>
      <c r="P120" s="13">
        <f>Greenleaf[[#This Row],[ Unit  price per quantity]]-Greenleaf[[#This Row],[ Unit cost per quantity]]</f>
        <v>27.32</v>
      </c>
      <c r="Q120" s="14">
        <f>Greenleaf[[#This Row],[Quantity Sold]]*Greenleaf[[#This Row],[Unit Price]]</f>
        <v>40</v>
      </c>
    </row>
    <row r="121" spans="1:17" x14ac:dyDescent="0.25">
      <c r="A121" t="s">
        <v>1547</v>
      </c>
      <c r="B121" s="5">
        <v>45328</v>
      </c>
      <c r="C121" s="5" t="str">
        <f>TEXT(Greenleaf[[#This Row],[Order Date]],"MMM")</f>
        <v>Feb</v>
      </c>
      <c r="D121" s="5" t="str">
        <f>TEXT(Greenleaf[[#This Row],[Order Date]],"YYYY")</f>
        <v>2024</v>
      </c>
      <c r="E121" t="s">
        <v>2464</v>
      </c>
      <c r="F121" s="7" t="s">
        <v>1012</v>
      </c>
      <c r="G121" s="9">
        <v>5</v>
      </c>
      <c r="H121" s="11">
        <v>40</v>
      </c>
      <c r="I121" s="13">
        <v>11.02</v>
      </c>
      <c r="J121" t="s">
        <v>1044</v>
      </c>
      <c r="K121" t="s">
        <v>2513</v>
      </c>
      <c r="L121" s="7" t="s">
        <v>1414</v>
      </c>
      <c r="M121" s="7" t="s">
        <v>1418</v>
      </c>
      <c r="N121" s="14">
        <f>Greenleaf[[#This Row],[Unit Price]]*Greenleaf[[#This Row],[Quantity Sold]]</f>
        <v>200</v>
      </c>
      <c r="O121" s="13">
        <f>Greenleaf[[#This Row],[Unit Cost]]*Greenleaf[[#This Row],[Quantity Sold]]</f>
        <v>55.099999999999994</v>
      </c>
      <c r="P121" s="13">
        <f>Greenleaf[[#This Row],[ Unit  price per quantity]]-Greenleaf[[#This Row],[ Unit cost per quantity]]</f>
        <v>144.9</v>
      </c>
      <c r="Q121" s="14">
        <f>Greenleaf[[#This Row],[Quantity Sold]]*Greenleaf[[#This Row],[Unit Price]]</f>
        <v>200</v>
      </c>
    </row>
    <row r="122" spans="1:17" x14ac:dyDescent="0.25">
      <c r="A122" t="s">
        <v>1548</v>
      </c>
      <c r="B122" s="5">
        <v>45328</v>
      </c>
      <c r="C122" s="5" t="str">
        <f>TEXT(Greenleaf[[#This Row],[Order Date]],"MMM")</f>
        <v>Feb</v>
      </c>
      <c r="D122" s="5" t="str">
        <f>TEXT(Greenleaf[[#This Row],[Order Date]],"YYYY")</f>
        <v>2024</v>
      </c>
      <c r="E122" t="s">
        <v>2464</v>
      </c>
      <c r="F122" s="7" t="s">
        <v>1012</v>
      </c>
      <c r="G122" s="9">
        <v>1</v>
      </c>
      <c r="H122" s="11">
        <v>40</v>
      </c>
      <c r="I122" s="13">
        <v>12.28</v>
      </c>
      <c r="J122" t="s">
        <v>1136</v>
      </c>
      <c r="K122" t="s">
        <v>2522</v>
      </c>
      <c r="L122" s="7" t="s">
        <v>1414</v>
      </c>
      <c r="M122" s="7" t="s">
        <v>1424</v>
      </c>
      <c r="N122" s="14">
        <f>Greenleaf[[#This Row],[Unit Price]]*Greenleaf[[#This Row],[Quantity Sold]]</f>
        <v>40</v>
      </c>
      <c r="O122" s="13">
        <f>Greenleaf[[#This Row],[Unit Cost]]*Greenleaf[[#This Row],[Quantity Sold]]</f>
        <v>12.28</v>
      </c>
      <c r="P122" s="13">
        <f>Greenleaf[[#This Row],[ Unit  price per quantity]]-Greenleaf[[#This Row],[ Unit cost per quantity]]</f>
        <v>27.72</v>
      </c>
      <c r="Q122" s="14">
        <f>Greenleaf[[#This Row],[Quantity Sold]]*Greenleaf[[#This Row],[Unit Price]]</f>
        <v>40</v>
      </c>
    </row>
    <row r="123" spans="1:17" x14ac:dyDescent="0.25">
      <c r="A123" t="s">
        <v>1549</v>
      </c>
      <c r="B123" s="5">
        <v>45329</v>
      </c>
      <c r="C123" s="5" t="str">
        <f>TEXT(Greenleaf[[#This Row],[Order Date]],"MMM")</f>
        <v>Feb</v>
      </c>
      <c r="D123" s="5" t="str">
        <f>TEXT(Greenleaf[[#This Row],[Order Date]],"YYYY")</f>
        <v>2024</v>
      </c>
      <c r="E123" t="s">
        <v>2461</v>
      </c>
      <c r="F123" s="7" t="s">
        <v>1011</v>
      </c>
      <c r="G123" s="9">
        <v>10</v>
      </c>
      <c r="H123" s="11">
        <v>12</v>
      </c>
      <c r="I123" s="13">
        <v>3.91</v>
      </c>
      <c r="J123" t="s">
        <v>1138</v>
      </c>
      <c r="K123" t="s">
        <v>2538</v>
      </c>
      <c r="L123" s="7" t="s">
        <v>1416</v>
      </c>
      <c r="M123" s="7" t="s">
        <v>1421</v>
      </c>
      <c r="N123" s="14">
        <f>Greenleaf[[#This Row],[Unit Price]]*Greenleaf[[#This Row],[Quantity Sold]]</f>
        <v>120</v>
      </c>
      <c r="O123" s="13">
        <f>Greenleaf[[#This Row],[Unit Cost]]*Greenleaf[[#This Row],[Quantity Sold]]</f>
        <v>39.1</v>
      </c>
      <c r="P123" s="13">
        <f>Greenleaf[[#This Row],[ Unit  price per quantity]]-Greenleaf[[#This Row],[ Unit cost per quantity]]</f>
        <v>80.900000000000006</v>
      </c>
      <c r="Q123" s="14">
        <f>Greenleaf[[#This Row],[Quantity Sold]]*Greenleaf[[#This Row],[Unit Price]]</f>
        <v>120</v>
      </c>
    </row>
    <row r="124" spans="1:17" x14ac:dyDescent="0.25">
      <c r="A124" t="s">
        <v>1550</v>
      </c>
      <c r="B124" s="5">
        <v>45329</v>
      </c>
      <c r="C124" s="5" t="str">
        <f>TEXT(Greenleaf[[#This Row],[Order Date]],"MMM")</f>
        <v>Feb</v>
      </c>
      <c r="D124" s="5" t="str">
        <f>TEXT(Greenleaf[[#This Row],[Order Date]],"YYYY")</f>
        <v>2024</v>
      </c>
      <c r="E124" t="s">
        <v>2464</v>
      </c>
      <c r="F124" s="7" t="s">
        <v>1012</v>
      </c>
      <c r="G124" s="9">
        <v>6</v>
      </c>
      <c r="H124" s="11">
        <v>40</v>
      </c>
      <c r="I124" s="13">
        <v>15</v>
      </c>
      <c r="J124" t="s">
        <v>1078</v>
      </c>
      <c r="K124" t="s">
        <v>2539</v>
      </c>
      <c r="L124" s="7" t="s">
        <v>1414</v>
      </c>
      <c r="M124" s="7" t="s">
        <v>1420</v>
      </c>
      <c r="N124" s="14">
        <f>Greenleaf[[#This Row],[Unit Price]]*Greenleaf[[#This Row],[Quantity Sold]]</f>
        <v>240</v>
      </c>
      <c r="O124" s="13">
        <f>Greenleaf[[#This Row],[Unit Cost]]*Greenleaf[[#This Row],[Quantity Sold]]</f>
        <v>90</v>
      </c>
      <c r="P124" s="13">
        <f>Greenleaf[[#This Row],[ Unit  price per quantity]]-Greenleaf[[#This Row],[ Unit cost per quantity]]</f>
        <v>150</v>
      </c>
      <c r="Q124" s="14">
        <f>Greenleaf[[#This Row],[Quantity Sold]]*Greenleaf[[#This Row],[Unit Price]]</f>
        <v>240</v>
      </c>
    </row>
    <row r="125" spans="1:17" x14ac:dyDescent="0.25">
      <c r="A125" t="s">
        <v>1551</v>
      </c>
      <c r="B125" s="5">
        <v>45330</v>
      </c>
      <c r="C125" s="5" t="str">
        <f>TEXT(Greenleaf[[#This Row],[Order Date]],"MMM")</f>
        <v>Feb</v>
      </c>
      <c r="D125" s="5" t="str">
        <f>TEXT(Greenleaf[[#This Row],[Order Date]],"YYYY")</f>
        <v>2024</v>
      </c>
      <c r="E125" t="s">
        <v>2463</v>
      </c>
      <c r="F125" s="7" t="s">
        <v>1014</v>
      </c>
      <c r="G125" s="9">
        <v>7</v>
      </c>
      <c r="H125" s="11">
        <v>15</v>
      </c>
      <c r="I125" s="13">
        <v>5.54</v>
      </c>
      <c r="J125" t="s">
        <v>1193</v>
      </c>
      <c r="K125" t="s">
        <v>2478</v>
      </c>
      <c r="L125" s="7" t="s">
        <v>1416</v>
      </c>
      <c r="M125" s="7" t="s">
        <v>1422</v>
      </c>
      <c r="N125" s="14">
        <f>Greenleaf[[#This Row],[Unit Price]]*Greenleaf[[#This Row],[Quantity Sold]]</f>
        <v>105</v>
      </c>
      <c r="O125" s="13">
        <f>Greenleaf[[#This Row],[Unit Cost]]*Greenleaf[[#This Row],[Quantity Sold]]</f>
        <v>38.78</v>
      </c>
      <c r="P125" s="13">
        <f>Greenleaf[[#This Row],[ Unit  price per quantity]]-Greenleaf[[#This Row],[ Unit cost per quantity]]</f>
        <v>66.22</v>
      </c>
      <c r="Q125" s="14">
        <f>Greenleaf[[#This Row],[Quantity Sold]]*Greenleaf[[#This Row],[Unit Price]]</f>
        <v>105</v>
      </c>
    </row>
    <row r="126" spans="1:17" x14ac:dyDescent="0.25">
      <c r="A126" t="s">
        <v>1552</v>
      </c>
      <c r="B126" s="5">
        <v>45330</v>
      </c>
      <c r="C126" s="5" t="str">
        <f>TEXT(Greenleaf[[#This Row],[Order Date]],"MMM")</f>
        <v>Feb</v>
      </c>
      <c r="D126" s="5" t="str">
        <f>TEXT(Greenleaf[[#This Row],[Order Date]],"YYYY")</f>
        <v>2024</v>
      </c>
      <c r="E126" t="s">
        <v>2463</v>
      </c>
      <c r="F126" s="7" t="s">
        <v>1014</v>
      </c>
      <c r="G126" s="9">
        <v>7</v>
      </c>
      <c r="H126" s="11">
        <v>15</v>
      </c>
      <c r="I126" s="13">
        <v>3.16</v>
      </c>
      <c r="J126" t="s">
        <v>1113</v>
      </c>
      <c r="K126" t="s">
        <v>2540</v>
      </c>
      <c r="L126" s="7" t="s">
        <v>1414</v>
      </c>
      <c r="M126" s="7" t="s">
        <v>1422</v>
      </c>
      <c r="N126" s="14">
        <f>Greenleaf[[#This Row],[Unit Price]]*Greenleaf[[#This Row],[Quantity Sold]]</f>
        <v>105</v>
      </c>
      <c r="O126" s="13">
        <f>Greenleaf[[#This Row],[Unit Cost]]*Greenleaf[[#This Row],[Quantity Sold]]</f>
        <v>22.12</v>
      </c>
      <c r="P126" s="13">
        <f>Greenleaf[[#This Row],[ Unit  price per quantity]]-Greenleaf[[#This Row],[ Unit cost per quantity]]</f>
        <v>82.88</v>
      </c>
      <c r="Q126" s="14">
        <f>Greenleaf[[#This Row],[Quantity Sold]]*Greenleaf[[#This Row],[Unit Price]]</f>
        <v>105</v>
      </c>
    </row>
    <row r="127" spans="1:17" x14ac:dyDescent="0.25">
      <c r="A127" t="s">
        <v>1553</v>
      </c>
      <c r="B127" s="5">
        <v>45330</v>
      </c>
      <c r="C127" s="5" t="str">
        <f>TEXT(Greenleaf[[#This Row],[Order Date]],"MMM")</f>
        <v>Feb</v>
      </c>
      <c r="D127" s="5" t="str">
        <f>TEXT(Greenleaf[[#This Row],[Order Date]],"YYYY")</f>
        <v>2024</v>
      </c>
      <c r="E127" t="s">
        <v>2463</v>
      </c>
      <c r="F127" s="7" t="s">
        <v>1014</v>
      </c>
      <c r="G127" s="9">
        <v>5</v>
      </c>
      <c r="H127" s="11">
        <v>15</v>
      </c>
      <c r="I127" s="13">
        <v>4.28</v>
      </c>
      <c r="J127" t="s">
        <v>1176</v>
      </c>
      <c r="K127" t="s">
        <v>2513</v>
      </c>
      <c r="L127" s="7" t="s">
        <v>1416</v>
      </c>
      <c r="M127" s="7" t="s">
        <v>1420</v>
      </c>
      <c r="N127" s="14">
        <f>Greenleaf[[#This Row],[Unit Price]]*Greenleaf[[#This Row],[Quantity Sold]]</f>
        <v>75</v>
      </c>
      <c r="O127" s="13">
        <f>Greenleaf[[#This Row],[Unit Cost]]*Greenleaf[[#This Row],[Quantity Sold]]</f>
        <v>21.400000000000002</v>
      </c>
      <c r="P127" s="13">
        <f>Greenleaf[[#This Row],[ Unit  price per quantity]]-Greenleaf[[#This Row],[ Unit cost per quantity]]</f>
        <v>53.599999999999994</v>
      </c>
      <c r="Q127" s="14">
        <f>Greenleaf[[#This Row],[Quantity Sold]]*Greenleaf[[#This Row],[Unit Price]]</f>
        <v>75</v>
      </c>
    </row>
    <row r="128" spans="1:17" x14ac:dyDescent="0.25">
      <c r="A128" t="s">
        <v>1554</v>
      </c>
      <c r="B128" s="5">
        <v>45331</v>
      </c>
      <c r="C128" s="5" t="str">
        <f>TEXT(Greenleaf[[#This Row],[Order Date]],"MMM")</f>
        <v>Feb</v>
      </c>
      <c r="D128" s="5" t="str">
        <f>TEXT(Greenleaf[[#This Row],[Order Date]],"YYYY")</f>
        <v>2024</v>
      </c>
      <c r="E128" t="s">
        <v>2461</v>
      </c>
      <c r="F128" s="7" t="s">
        <v>1011</v>
      </c>
      <c r="G128" s="9">
        <v>6</v>
      </c>
      <c r="H128" s="11">
        <v>12</v>
      </c>
      <c r="I128" s="13">
        <v>3.5</v>
      </c>
      <c r="J128" t="s">
        <v>1185</v>
      </c>
      <c r="K128" t="s">
        <v>2489</v>
      </c>
      <c r="L128" s="7" t="s">
        <v>1414</v>
      </c>
      <c r="M128" s="7" t="s">
        <v>1421</v>
      </c>
      <c r="N128" s="14">
        <f>Greenleaf[[#This Row],[Unit Price]]*Greenleaf[[#This Row],[Quantity Sold]]</f>
        <v>72</v>
      </c>
      <c r="O128" s="13">
        <f>Greenleaf[[#This Row],[Unit Cost]]*Greenleaf[[#This Row],[Quantity Sold]]</f>
        <v>21</v>
      </c>
      <c r="P128" s="13">
        <f>Greenleaf[[#This Row],[ Unit  price per quantity]]-Greenleaf[[#This Row],[ Unit cost per quantity]]</f>
        <v>51</v>
      </c>
      <c r="Q128" s="14">
        <f>Greenleaf[[#This Row],[Quantity Sold]]*Greenleaf[[#This Row],[Unit Price]]</f>
        <v>72</v>
      </c>
    </row>
    <row r="129" spans="1:17" x14ac:dyDescent="0.25">
      <c r="A129" t="s">
        <v>1555</v>
      </c>
      <c r="B129" s="5">
        <v>45332</v>
      </c>
      <c r="C129" s="5" t="str">
        <f>TEXT(Greenleaf[[#This Row],[Order Date]],"MMM")</f>
        <v>Feb</v>
      </c>
      <c r="D129" s="5" t="str">
        <f>TEXT(Greenleaf[[#This Row],[Order Date]],"YYYY")</f>
        <v>2024</v>
      </c>
      <c r="E129" t="s">
        <v>2461</v>
      </c>
      <c r="F129" s="7" t="s">
        <v>1011</v>
      </c>
      <c r="G129" s="9">
        <v>10</v>
      </c>
      <c r="H129" s="11">
        <v>12</v>
      </c>
      <c r="I129" s="13">
        <v>2.52</v>
      </c>
      <c r="J129" t="s">
        <v>1081</v>
      </c>
      <c r="K129" t="s">
        <v>2541</v>
      </c>
      <c r="L129" s="7" t="s">
        <v>1414</v>
      </c>
      <c r="M129" s="7" t="s">
        <v>1420</v>
      </c>
      <c r="N129" s="14">
        <f>Greenleaf[[#This Row],[Unit Price]]*Greenleaf[[#This Row],[Quantity Sold]]</f>
        <v>120</v>
      </c>
      <c r="O129" s="13">
        <f>Greenleaf[[#This Row],[Unit Cost]]*Greenleaf[[#This Row],[Quantity Sold]]</f>
        <v>25.2</v>
      </c>
      <c r="P129" s="13">
        <f>Greenleaf[[#This Row],[ Unit  price per quantity]]-Greenleaf[[#This Row],[ Unit cost per quantity]]</f>
        <v>94.8</v>
      </c>
      <c r="Q129" s="14">
        <f>Greenleaf[[#This Row],[Quantity Sold]]*Greenleaf[[#This Row],[Unit Price]]</f>
        <v>120</v>
      </c>
    </row>
    <row r="130" spans="1:17" x14ac:dyDescent="0.25">
      <c r="A130" t="s">
        <v>1556</v>
      </c>
      <c r="B130" s="5">
        <v>45334</v>
      </c>
      <c r="C130" s="5" t="str">
        <f>TEXT(Greenleaf[[#This Row],[Order Date]],"MMM")</f>
        <v>Feb</v>
      </c>
      <c r="D130" s="5" t="str">
        <f>TEXT(Greenleaf[[#This Row],[Order Date]],"YYYY")</f>
        <v>2024</v>
      </c>
      <c r="E130" t="s">
        <v>2462</v>
      </c>
      <c r="F130" s="7" t="s">
        <v>1013</v>
      </c>
      <c r="G130" s="9">
        <v>8</v>
      </c>
      <c r="H130" s="11">
        <v>25</v>
      </c>
      <c r="I130" s="13">
        <v>8.44</v>
      </c>
      <c r="J130" t="s">
        <v>1118</v>
      </c>
      <c r="K130" t="s">
        <v>2541</v>
      </c>
      <c r="L130" s="7" t="s">
        <v>1417</v>
      </c>
      <c r="M130" s="7" t="s">
        <v>1422</v>
      </c>
      <c r="N130" s="14">
        <f>Greenleaf[[#This Row],[Unit Price]]*Greenleaf[[#This Row],[Quantity Sold]]</f>
        <v>200</v>
      </c>
      <c r="O130" s="13">
        <f>Greenleaf[[#This Row],[Unit Cost]]*Greenleaf[[#This Row],[Quantity Sold]]</f>
        <v>67.52</v>
      </c>
      <c r="P130" s="13">
        <f>Greenleaf[[#This Row],[ Unit  price per quantity]]-Greenleaf[[#This Row],[ Unit cost per quantity]]</f>
        <v>132.48000000000002</v>
      </c>
      <c r="Q130" s="14">
        <f>Greenleaf[[#This Row],[Quantity Sold]]*Greenleaf[[#This Row],[Unit Price]]</f>
        <v>200</v>
      </c>
    </row>
    <row r="131" spans="1:17" x14ac:dyDescent="0.25">
      <c r="A131" t="s">
        <v>1557</v>
      </c>
      <c r="B131" s="5">
        <v>45335</v>
      </c>
      <c r="C131" s="5" t="str">
        <f>TEXT(Greenleaf[[#This Row],[Order Date]],"MMM")</f>
        <v>Feb</v>
      </c>
      <c r="D131" s="5" t="str">
        <f>TEXT(Greenleaf[[#This Row],[Order Date]],"YYYY")</f>
        <v>2024</v>
      </c>
      <c r="E131" t="s">
        <v>2460</v>
      </c>
      <c r="F131" s="7" t="s">
        <v>1015</v>
      </c>
      <c r="G131" s="9">
        <v>9</v>
      </c>
      <c r="H131" s="11">
        <v>10</v>
      </c>
      <c r="I131" s="13">
        <v>3.45</v>
      </c>
      <c r="J131" t="s">
        <v>1121</v>
      </c>
      <c r="K131" t="s">
        <v>2509</v>
      </c>
      <c r="L131" s="7" t="s">
        <v>1414</v>
      </c>
      <c r="M131" s="7" t="s">
        <v>1418</v>
      </c>
      <c r="N131" s="14">
        <f>Greenleaf[[#This Row],[Unit Price]]*Greenleaf[[#This Row],[Quantity Sold]]</f>
        <v>90</v>
      </c>
      <c r="O131" s="13">
        <f>Greenleaf[[#This Row],[Unit Cost]]*Greenleaf[[#This Row],[Quantity Sold]]</f>
        <v>31.05</v>
      </c>
      <c r="P131" s="13">
        <f>Greenleaf[[#This Row],[ Unit  price per quantity]]-Greenleaf[[#This Row],[ Unit cost per quantity]]</f>
        <v>58.95</v>
      </c>
      <c r="Q131" s="14">
        <f>Greenleaf[[#This Row],[Quantity Sold]]*Greenleaf[[#This Row],[Unit Price]]</f>
        <v>90</v>
      </c>
    </row>
    <row r="132" spans="1:17" x14ac:dyDescent="0.25">
      <c r="A132" t="s">
        <v>1558</v>
      </c>
      <c r="B132" s="5">
        <v>45335</v>
      </c>
      <c r="C132" s="5" t="str">
        <f>TEXT(Greenleaf[[#This Row],[Order Date]],"MMM")</f>
        <v>Feb</v>
      </c>
      <c r="D132" s="5" t="str">
        <f>TEXT(Greenleaf[[#This Row],[Order Date]],"YYYY")</f>
        <v>2024</v>
      </c>
      <c r="E132" t="s">
        <v>2463</v>
      </c>
      <c r="F132" s="7" t="s">
        <v>1014</v>
      </c>
      <c r="G132" s="9">
        <v>3</v>
      </c>
      <c r="H132" s="11">
        <v>15</v>
      </c>
      <c r="I132" s="13">
        <v>4.2699999999999996</v>
      </c>
      <c r="J132" t="s">
        <v>1068</v>
      </c>
      <c r="K132" t="s">
        <v>2486</v>
      </c>
      <c r="L132" s="7" t="s">
        <v>1416</v>
      </c>
      <c r="M132" s="7" t="s">
        <v>1422</v>
      </c>
      <c r="N132" s="14">
        <f>Greenleaf[[#This Row],[Unit Price]]*Greenleaf[[#This Row],[Quantity Sold]]</f>
        <v>45</v>
      </c>
      <c r="O132" s="13">
        <f>Greenleaf[[#This Row],[Unit Cost]]*Greenleaf[[#This Row],[Quantity Sold]]</f>
        <v>12.809999999999999</v>
      </c>
      <c r="P132" s="13">
        <f>Greenleaf[[#This Row],[ Unit  price per quantity]]-Greenleaf[[#This Row],[ Unit cost per quantity]]</f>
        <v>32.19</v>
      </c>
      <c r="Q132" s="14">
        <f>Greenleaf[[#This Row],[Quantity Sold]]*Greenleaf[[#This Row],[Unit Price]]</f>
        <v>45</v>
      </c>
    </row>
    <row r="133" spans="1:17" x14ac:dyDescent="0.25">
      <c r="A133" t="s">
        <v>1559</v>
      </c>
      <c r="B133" s="5">
        <v>45335</v>
      </c>
      <c r="C133" s="5" t="str">
        <f>TEXT(Greenleaf[[#This Row],[Order Date]],"MMM")</f>
        <v>Feb</v>
      </c>
      <c r="D133" s="5" t="str">
        <f>TEXT(Greenleaf[[#This Row],[Order Date]],"YYYY")</f>
        <v>2024</v>
      </c>
      <c r="E133" t="s">
        <v>2460</v>
      </c>
      <c r="F133" s="7" t="s">
        <v>1015</v>
      </c>
      <c r="G133" s="9">
        <v>9</v>
      </c>
      <c r="H133" s="11">
        <v>10</v>
      </c>
      <c r="I133" s="13">
        <v>3.07</v>
      </c>
      <c r="J133" t="s">
        <v>1176</v>
      </c>
      <c r="K133" t="s">
        <v>2513</v>
      </c>
      <c r="L133" s="7" t="s">
        <v>1416</v>
      </c>
      <c r="M133" s="7" t="s">
        <v>1421</v>
      </c>
      <c r="N133" s="14">
        <f>Greenleaf[[#This Row],[Unit Price]]*Greenleaf[[#This Row],[Quantity Sold]]</f>
        <v>90</v>
      </c>
      <c r="O133" s="13">
        <f>Greenleaf[[#This Row],[Unit Cost]]*Greenleaf[[#This Row],[Quantity Sold]]</f>
        <v>27.63</v>
      </c>
      <c r="P133" s="13">
        <f>Greenleaf[[#This Row],[ Unit  price per quantity]]-Greenleaf[[#This Row],[ Unit cost per quantity]]</f>
        <v>62.370000000000005</v>
      </c>
      <c r="Q133" s="14">
        <f>Greenleaf[[#This Row],[Quantity Sold]]*Greenleaf[[#This Row],[Unit Price]]</f>
        <v>90</v>
      </c>
    </row>
    <row r="134" spans="1:17" x14ac:dyDescent="0.25">
      <c r="A134" t="s">
        <v>1560</v>
      </c>
      <c r="B134" s="5">
        <v>45336</v>
      </c>
      <c r="C134" s="5" t="str">
        <f>TEXT(Greenleaf[[#This Row],[Order Date]],"MMM")</f>
        <v>Feb</v>
      </c>
      <c r="D134" s="5" t="str">
        <f>TEXT(Greenleaf[[#This Row],[Order Date]],"YYYY")</f>
        <v>2024</v>
      </c>
      <c r="E134" t="s">
        <v>2464</v>
      </c>
      <c r="F134" s="7" t="s">
        <v>1012</v>
      </c>
      <c r="G134" s="9">
        <v>7</v>
      </c>
      <c r="H134" s="11">
        <v>40</v>
      </c>
      <c r="I134" s="13">
        <v>12.58</v>
      </c>
      <c r="J134" t="s">
        <v>1025</v>
      </c>
      <c r="K134" t="s">
        <v>2471</v>
      </c>
      <c r="L134" s="7" t="s">
        <v>1415</v>
      </c>
      <c r="M134" s="7" t="s">
        <v>1425</v>
      </c>
      <c r="N134" s="14">
        <f>Greenleaf[[#This Row],[Unit Price]]*Greenleaf[[#This Row],[Quantity Sold]]</f>
        <v>280</v>
      </c>
      <c r="O134" s="13">
        <f>Greenleaf[[#This Row],[Unit Cost]]*Greenleaf[[#This Row],[Quantity Sold]]</f>
        <v>88.06</v>
      </c>
      <c r="P134" s="13">
        <f>Greenleaf[[#This Row],[ Unit  price per quantity]]-Greenleaf[[#This Row],[ Unit cost per quantity]]</f>
        <v>191.94</v>
      </c>
      <c r="Q134" s="14">
        <f>Greenleaf[[#This Row],[Quantity Sold]]*Greenleaf[[#This Row],[Unit Price]]</f>
        <v>280</v>
      </c>
    </row>
    <row r="135" spans="1:17" x14ac:dyDescent="0.25">
      <c r="A135" t="s">
        <v>1561</v>
      </c>
      <c r="B135" s="5">
        <v>45336</v>
      </c>
      <c r="C135" s="5" t="str">
        <f>TEXT(Greenleaf[[#This Row],[Order Date]],"MMM")</f>
        <v>Feb</v>
      </c>
      <c r="D135" s="5" t="str">
        <f>TEXT(Greenleaf[[#This Row],[Order Date]],"YYYY")</f>
        <v>2024</v>
      </c>
      <c r="E135" t="s">
        <v>2464</v>
      </c>
      <c r="F135" s="7" t="s">
        <v>1012</v>
      </c>
      <c r="G135" s="9">
        <v>2</v>
      </c>
      <c r="H135" s="11">
        <v>40</v>
      </c>
      <c r="I135" s="13">
        <v>9.66</v>
      </c>
      <c r="J135" t="s">
        <v>1074</v>
      </c>
      <c r="K135" t="s">
        <v>2506</v>
      </c>
      <c r="L135" s="7" t="s">
        <v>1417</v>
      </c>
      <c r="M135" s="7" t="s">
        <v>1422</v>
      </c>
      <c r="N135" s="14">
        <f>Greenleaf[[#This Row],[Unit Price]]*Greenleaf[[#This Row],[Quantity Sold]]</f>
        <v>80</v>
      </c>
      <c r="O135" s="13">
        <f>Greenleaf[[#This Row],[Unit Cost]]*Greenleaf[[#This Row],[Quantity Sold]]</f>
        <v>19.32</v>
      </c>
      <c r="P135" s="13">
        <f>Greenleaf[[#This Row],[ Unit  price per quantity]]-Greenleaf[[#This Row],[ Unit cost per quantity]]</f>
        <v>60.68</v>
      </c>
      <c r="Q135" s="14">
        <f>Greenleaf[[#This Row],[Quantity Sold]]*Greenleaf[[#This Row],[Unit Price]]</f>
        <v>80</v>
      </c>
    </row>
    <row r="136" spans="1:17" x14ac:dyDescent="0.25">
      <c r="A136" t="s">
        <v>1562</v>
      </c>
      <c r="B136" s="5">
        <v>45336</v>
      </c>
      <c r="C136" s="5" t="str">
        <f>TEXT(Greenleaf[[#This Row],[Order Date]],"MMM")</f>
        <v>Feb</v>
      </c>
      <c r="D136" s="5" t="str">
        <f>TEXT(Greenleaf[[#This Row],[Order Date]],"YYYY")</f>
        <v>2024</v>
      </c>
      <c r="E136" t="s">
        <v>2462</v>
      </c>
      <c r="F136" s="7" t="s">
        <v>1013</v>
      </c>
      <c r="G136" s="9">
        <v>2</v>
      </c>
      <c r="H136" s="11">
        <v>25</v>
      </c>
      <c r="I136" s="13">
        <v>9.7100000000000009</v>
      </c>
      <c r="J136" t="s">
        <v>1128</v>
      </c>
      <c r="K136" t="s">
        <v>2523</v>
      </c>
      <c r="L136" s="7" t="s">
        <v>1414</v>
      </c>
      <c r="M136" s="7" t="s">
        <v>1422</v>
      </c>
      <c r="N136" s="14">
        <f>Greenleaf[[#This Row],[Unit Price]]*Greenleaf[[#This Row],[Quantity Sold]]</f>
        <v>50</v>
      </c>
      <c r="O136" s="13">
        <f>Greenleaf[[#This Row],[Unit Cost]]*Greenleaf[[#This Row],[Quantity Sold]]</f>
        <v>19.420000000000002</v>
      </c>
      <c r="P136" s="13">
        <f>Greenleaf[[#This Row],[ Unit  price per quantity]]-Greenleaf[[#This Row],[ Unit cost per quantity]]</f>
        <v>30.58</v>
      </c>
      <c r="Q136" s="14">
        <f>Greenleaf[[#This Row],[Quantity Sold]]*Greenleaf[[#This Row],[Unit Price]]</f>
        <v>50</v>
      </c>
    </row>
    <row r="137" spans="1:17" x14ac:dyDescent="0.25">
      <c r="A137" t="s">
        <v>1563</v>
      </c>
      <c r="B137" s="5">
        <v>45337</v>
      </c>
      <c r="C137" s="5" t="str">
        <f>TEXT(Greenleaf[[#This Row],[Order Date]],"MMM")</f>
        <v>Feb</v>
      </c>
      <c r="D137" s="5" t="str">
        <f>TEXT(Greenleaf[[#This Row],[Order Date]],"YYYY")</f>
        <v>2024</v>
      </c>
      <c r="E137" t="s">
        <v>2464</v>
      </c>
      <c r="F137" s="7" t="s">
        <v>1012</v>
      </c>
      <c r="G137" s="9">
        <v>10</v>
      </c>
      <c r="H137" s="11">
        <v>40</v>
      </c>
      <c r="I137" s="13">
        <v>14.95</v>
      </c>
      <c r="J137" t="s">
        <v>1122</v>
      </c>
      <c r="K137" t="s">
        <v>2531</v>
      </c>
      <c r="L137" s="7" t="s">
        <v>1414</v>
      </c>
      <c r="M137" s="7" t="s">
        <v>1427</v>
      </c>
      <c r="N137" s="14">
        <f>Greenleaf[[#This Row],[Unit Price]]*Greenleaf[[#This Row],[Quantity Sold]]</f>
        <v>400</v>
      </c>
      <c r="O137" s="13">
        <f>Greenleaf[[#This Row],[Unit Cost]]*Greenleaf[[#This Row],[Quantity Sold]]</f>
        <v>149.5</v>
      </c>
      <c r="P137" s="13">
        <f>Greenleaf[[#This Row],[ Unit  price per quantity]]-Greenleaf[[#This Row],[ Unit cost per quantity]]</f>
        <v>250.5</v>
      </c>
      <c r="Q137" s="14">
        <f>Greenleaf[[#This Row],[Quantity Sold]]*Greenleaf[[#This Row],[Unit Price]]</f>
        <v>400</v>
      </c>
    </row>
    <row r="138" spans="1:17" x14ac:dyDescent="0.25">
      <c r="A138" t="s">
        <v>1564</v>
      </c>
      <c r="B138" s="5">
        <v>45337</v>
      </c>
      <c r="C138" s="5" t="str">
        <f>TEXT(Greenleaf[[#This Row],[Order Date]],"MMM")</f>
        <v>Feb</v>
      </c>
      <c r="D138" s="5" t="str">
        <f>TEXT(Greenleaf[[#This Row],[Order Date]],"YYYY")</f>
        <v>2024</v>
      </c>
      <c r="E138" t="s">
        <v>2461</v>
      </c>
      <c r="F138" s="7" t="s">
        <v>1011</v>
      </c>
      <c r="G138" s="9">
        <v>5</v>
      </c>
      <c r="H138" s="11">
        <v>12</v>
      </c>
      <c r="I138" s="13">
        <v>3.63</v>
      </c>
      <c r="J138" t="s">
        <v>1113</v>
      </c>
      <c r="K138" t="s">
        <v>2540</v>
      </c>
      <c r="L138" s="7" t="s">
        <v>1414</v>
      </c>
      <c r="M138" s="7" t="s">
        <v>1420</v>
      </c>
      <c r="N138" s="14">
        <f>Greenleaf[[#This Row],[Unit Price]]*Greenleaf[[#This Row],[Quantity Sold]]</f>
        <v>60</v>
      </c>
      <c r="O138" s="13">
        <f>Greenleaf[[#This Row],[Unit Cost]]*Greenleaf[[#This Row],[Quantity Sold]]</f>
        <v>18.149999999999999</v>
      </c>
      <c r="P138" s="13">
        <f>Greenleaf[[#This Row],[ Unit  price per quantity]]-Greenleaf[[#This Row],[ Unit cost per quantity]]</f>
        <v>41.85</v>
      </c>
      <c r="Q138" s="14">
        <f>Greenleaf[[#This Row],[Quantity Sold]]*Greenleaf[[#This Row],[Unit Price]]</f>
        <v>60</v>
      </c>
    </row>
    <row r="139" spans="1:17" x14ac:dyDescent="0.25">
      <c r="A139" t="s">
        <v>1565</v>
      </c>
      <c r="B139" s="5">
        <v>45337</v>
      </c>
      <c r="C139" s="5" t="str">
        <f>TEXT(Greenleaf[[#This Row],[Order Date]],"MMM")</f>
        <v>Feb</v>
      </c>
      <c r="D139" s="5" t="str">
        <f>TEXT(Greenleaf[[#This Row],[Order Date]],"YYYY")</f>
        <v>2024</v>
      </c>
      <c r="E139" t="s">
        <v>2462</v>
      </c>
      <c r="F139" s="7" t="s">
        <v>1013</v>
      </c>
      <c r="G139" s="9">
        <v>2</v>
      </c>
      <c r="H139" s="11">
        <v>25</v>
      </c>
      <c r="I139" s="13">
        <v>8.08</v>
      </c>
      <c r="J139" t="s">
        <v>1121</v>
      </c>
      <c r="K139" t="s">
        <v>2509</v>
      </c>
      <c r="L139" s="7" t="s">
        <v>1414</v>
      </c>
      <c r="M139" s="7" t="s">
        <v>1420</v>
      </c>
      <c r="N139" s="14">
        <f>Greenleaf[[#This Row],[Unit Price]]*Greenleaf[[#This Row],[Quantity Sold]]</f>
        <v>50</v>
      </c>
      <c r="O139" s="13">
        <f>Greenleaf[[#This Row],[Unit Cost]]*Greenleaf[[#This Row],[Quantity Sold]]</f>
        <v>16.16</v>
      </c>
      <c r="P139" s="13">
        <f>Greenleaf[[#This Row],[ Unit  price per quantity]]-Greenleaf[[#This Row],[ Unit cost per quantity]]</f>
        <v>33.840000000000003</v>
      </c>
      <c r="Q139" s="14">
        <f>Greenleaf[[#This Row],[Quantity Sold]]*Greenleaf[[#This Row],[Unit Price]]</f>
        <v>50</v>
      </c>
    </row>
    <row r="140" spans="1:17" x14ac:dyDescent="0.25">
      <c r="A140" t="s">
        <v>1566</v>
      </c>
      <c r="B140" s="5">
        <v>45337</v>
      </c>
      <c r="C140" s="5" t="str">
        <f>TEXT(Greenleaf[[#This Row],[Order Date]],"MMM")</f>
        <v>Feb</v>
      </c>
      <c r="D140" s="5" t="str">
        <f>TEXT(Greenleaf[[#This Row],[Order Date]],"YYYY")</f>
        <v>2024</v>
      </c>
      <c r="E140" t="s">
        <v>2460</v>
      </c>
      <c r="F140" s="7" t="s">
        <v>1015</v>
      </c>
      <c r="G140" s="9">
        <v>9</v>
      </c>
      <c r="H140" s="11">
        <v>10</v>
      </c>
      <c r="I140" s="13">
        <v>3.45</v>
      </c>
      <c r="J140" t="s">
        <v>1119</v>
      </c>
      <c r="K140" t="s">
        <v>2542</v>
      </c>
      <c r="L140" s="7" t="s">
        <v>1416</v>
      </c>
      <c r="M140" s="7" t="s">
        <v>1419</v>
      </c>
      <c r="N140" s="14">
        <f>Greenleaf[[#This Row],[Unit Price]]*Greenleaf[[#This Row],[Quantity Sold]]</f>
        <v>90</v>
      </c>
      <c r="O140" s="13">
        <f>Greenleaf[[#This Row],[Unit Cost]]*Greenleaf[[#This Row],[Quantity Sold]]</f>
        <v>31.05</v>
      </c>
      <c r="P140" s="13">
        <f>Greenleaf[[#This Row],[ Unit  price per quantity]]-Greenleaf[[#This Row],[ Unit cost per quantity]]</f>
        <v>58.95</v>
      </c>
      <c r="Q140" s="14">
        <f>Greenleaf[[#This Row],[Quantity Sold]]*Greenleaf[[#This Row],[Unit Price]]</f>
        <v>90</v>
      </c>
    </row>
    <row r="141" spans="1:17" x14ac:dyDescent="0.25">
      <c r="A141" t="s">
        <v>1567</v>
      </c>
      <c r="B141" s="5">
        <v>45337</v>
      </c>
      <c r="C141" s="5" t="str">
        <f>TEXT(Greenleaf[[#This Row],[Order Date]],"MMM")</f>
        <v>Feb</v>
      </c>
      <c r="D141" s="5" t="str">
        <f>TEXT(Greenleaf[[#This Row],[Order Date]],"YYYY")</f>
        <v>2024</v>
      </c>
      <c r="E141" t="s">
        <v>2461</v>
      </c>
      <c r="F141" s="7" t="s">
        <v>1011</v>
      </c>
      <c r="G141" s="9">
        <v>5</v>
      </c>
      <c r="H141" s="11">
        <v>12</v>
      </c>
      <c r="I141" s="13">
        <v>4.0199999999999996</v>
      </c>
      <c r="J141" t="s">
        <v>1043</v>
      </c>
      <c r="K141" t="s">
        <v>2474</v>
      </c>
      <c r="L141" s="7" t="s">
        <v>1414</v>
      </c>
      <c r="M141" s="7" t="s">
        <v>1425</v>
      </c>
      <c r="N141" s="14">
        <f>Greenleaf[[#This Row],[Unit Price]]*Greenleaf[[#This Row],[Quantity Sold]]</f>
        <v>60</v>
      </c>
      <c r="O141" s="13">
        <f>Greenleaf[[#This Row],[Unit Cost]]*Greenleaf[[#This Row],[Quantity Sold]]</f>
        <v>20.099999999999998</v>
      </c>
      <c r="P141" s="13">
        <f>Greenleaf[[#This Row],[ Unit  price per quantity]]-Greenleaf[[#This Row],[ Unit cost per quantity]]</f>
        <v>39.900000000000006</v>
      </c>
      <c r="Q141" s="14">
        <f>Greenleaf[[#This Row],[Quantity Sold]]*Greenleaf[[#This Row],[Unit Price]]</f>
        <v>60</v>
      </c>
    </row>
    <row r="142" spans="1:17" x14ac:dyDescent="0.25">
      <c r="A142" t="s">
        <v>1568</v>
      </c>
      <c r="B142" s="5">
        <v>45338</v>
      </c>
      <c r="C142" s="5" t="str">
        <f>TEXT(Greenleaf[[#This Row],[Order Date]],"MMM")</f>
        <v>Feb</v>
      </c>
      <c r="D142" s="5" t="str">
        <f>TEXT(Greenleaf[[#This Row],[Order Date]],"YYYY")</f>
        <v>2024</v>
      </c>
      <c r="E142" t="s">
        <v>2462</v>
      </c>
      <c r="F142" s="7" t="s">
        <v>1013</v>
      </c>
      <c r="G142" s="9">
        <v>4</v>
      </c>
      <c r="H142" s="11">
        <v>25</v>
      </c>
      <c r="I142" s="13">
        <v>8</v>
      </c>
      <c r="J142" t="s">
        <v>1051</v>
      </c>
      <c r="K142" t="s">
        <v>2543</v>
      </c>
      <c r="L142" s="7" t="s">
        <v>1414</v>
      </c>
      <c r="M142" s="7" t="s">
        <v>1420</v>
      </c>
      <c r="N142" s="14">
        <f>Greenleaf[[#This Row],[Unit Price]]*Greenleaf[[#This Row],[Quantity Sold]]</f>
        <v>100</v>
      </c>
      <c r="O142" s="13">
        <f>Greenleaf[[#This Row],[Unit Cost]]*Greenleaf[[#This Row],[Quantity Sold]]</f>
        <v>32</v>
      </c>
      <c r="P142" s="13">
        <f>Greenleaf[[#This Row],[ Unit  price per quantity]]-Greenleaf[[#This Row],[ Unit cost per quantity]]</f>
        <v>68</v>
      </c>
      <c r="Q142" s="14">
        <f>Greenleaf[[#This Row],[Quantity Sold]]*Greenleaf[[#This Row],[Unit Price]]</f>
        <v>100</v>
      </c>
    </row>
    <row r="143" spans="1:17" x14ac:dyDescent="0.25">
      <c r="A143" t="s">
        <v>1569</v>
      </c>
      <c r="B143" s="5">
        <v>45338</v>
      </c>
      <c r="C143" s="5" t="str">
        <f>TEXT(Greenleaf[[#This Row],[Order Date]],"MMM")</f>
        <v>Feb</v>
      </c>
      <c r="D143" s="5" t="str">
        <f>TEXT(Greenleaf[[#This Row],[Order Date]],"YYYY")</f>
        <v>2024</v>
      </c>
      <c r="E143" t="s">
        <v>2463</v>
      </c>
      <c r="F143" s="7" t="s">
        <v>1014</v>
      </c>
      <c r="G143" s="9">
        <v>1</v>
      </c>
      <c r="H143" s="11">
        <v>15</v>
      </c>
      <c r="I143" s="13">
        <v>5.45</v>
      </c>
      <c r="J143" t="s">
        <v>1177</v>
      </c>
      <c r="K143" t="s">
        <v>2494</v>
      </c>
      <c r="L143" s="7" t="s">
        <v>1414</v>
      </c>
      <c r="M143" s="7" t="s">
        <v>1419</v>
      </c>
      <c r="N143" s="14">
        <f>Greenleaf[[#This Row],[Unit Price]]*Greenleaf[[#This Row],[Quantity Sold]]</f>
        <v>15</v>
      </c>
      <c r="O143" s="13">
        <f>Greenleaf[[#This Row],[Unit Cost]]*Greenleaf[[#This Row],[Quantity Sold]]</f>
        <v>5.45</v>
      </c>
      <c r="P143" s="13">
        <f>Greenleaf[[#This Row],[ Unit  price per quantity]]-Greenleaf[[#This Row],[ Unit cost per quantity]]</f>
        <v>9.5500000000000007</v>
      </c>
      <c r="Q143" s="14">
        <f>Greenleaf[[#This Row],[Quantity Sold]]*Greenleaf[[#This Row],[Unit Price]]</f>
        <v>15</v>
      </c>
    </row>
    <row r="144" spans="1:17" x14ac:dyDescent="0.25">
      <c r="A144" t="s">
        <v>1570</v>
      </c>
      <c r="B144" s="5">
        <v>45338</v>
      </c>
      <c r="C144" s="5" t="str">
        <f>TEXT(Greenleaf[[#This Row],[Order Date]],"MMM")</f>
        <v>Feb</v>
      </c>
      <c r="D144" s="5" t="str">
        <f>TEXT(Greenleaf[[#This Row],[Order Date]],"YYYY")</f>
        <v>2024</v>
      </c>
      <c r="E144" t="s">
        <v>2463</v>
      </c>
      <c r="F144" s="7" t="s">
        <v>1014</v>
      </c>
      <c r="G144" s="9">
        <v>1</v>
      </c>
      <c r="H144" s="11">
        <v>15</v>
      </c>
      <c r="I144" s="13">
        <v>3.59</v>
      </c>
      <c r="J144" t="s">
        <v>1152</v>
      </c>
      <c r="K144" t="s">
        <v>2544</v>
      </c>
      <c r="L144" s="7" t="s">
        <v>1415</v>
      </c>
      <c r="M144" s="7" t="s">
        <v>1426</v>
      </c>
      <c r="N144" s="14">
        <f>Greenleaf[[#This Row],[Unit Price]]*Greenleaf[[#This Row],[Quantity Sold]]</f>
        <v>15</v>
      </c>
      <c r="O144" s="13">
        <f>Greenleaf[[#This Row],[Unit Cost]]*Greenleaf[[#This Row],[Quantity Sold]]</f>
        <v>3.59</v>
      </c>
      <c r="P144" s="13">
        <f>Greenleaf[[#This Row],[ Unit  price per quantity]]-Greenleaf[[#This Row],[ Unit cost per quantity]]</f>
        <v>11.41</v>
      </c>
      <c r="Q144" s="14">
        <f>Greenleaf[[#This Row],[Quantity Sold]]*Greenleaf[[#This Row],[Unit Price]]</f>
        <v>15</v>
      </c>
    </row>
    <row r="145" spans="1:17" x14ac:dyDescent="0.25">
      <c r="A145" t="s">
        <v>1571</v>
      </c>
      <c r="B145" s="5">
        <v>45339</v>
      </c>
      <c r="C145" s="5" t="str">
        <f>TEXT(Greenleaf[[#This Row],[Order Date]],"MMM")</f>
        <v>Feb</v>
      </c>
      <c r="D145" s="5" t="str">
        <f>TEXT(Greenleaf[[#This Row],[Order Date]],"YYYY")</f>
        <v>2024</v>
      </c>
      <c r="E145" t="s">
        <v>2464</v>
      </c>
      <c r="F145" s="7" t="s">
        <v>1012</v>
      </c>
      <c r="G145" s="9">
        <v>3</v>
      </c>
      <c r="H145" s="11">
        <v>40</v>
      </c>
      <c r="I145" s="13">
        <v>13.47</v>
      </c>
      <c r="J145" t="s">
        <v>1170</v>
      </c>
      <c r="K145" t="s">
        <v>2493</v>
      </c>
      <c r="L145" s="7" t="s">
        <v>1416</v>
      </c>
      <c r="M145" s="7" t="s">
        <v>1420</v>
      </c>
      <c r="N145" s="14">
        <f>Greenleaf[[#This Row],[Unit Price]]*Greenleaf[[#This Row],[Quantity Sold]]</f>
        <v>120</v>
      </c>
      <c r="O145" s="13">
        <f>Greenleaf[[#This Row],[Unit Cost]]*Greenleaf[[#This Row],[Quantity Sold]]</f>
        <v>40.410000000000004</v>
      </c>
      <c r="P145" s="13">
        <f>Greenleaf[[#This Row],[ Unit  price per quantity]]-Greenleaf[[#This Row],[ Unit cost per quantity]]</f>
        <v>79.59</v>
      </c>
      <c r="Q145" s="14">
        <f>Greenleaf[[#This Row],[Quantity Sold]]*Greenleaf[[#This Row],[Unit Price]]</f>
        <v>120</v>
      </c>
    </row>
    <row r="146" spans="1:17" x14ac:dyDescent="0.25">
      <c r="A146" t="s">
        <v>1572</v>
      </c>
      <c r="B146" s="5">
        <v>45339</v>
      </c>
      <c r="C146" s="5" t="str">
        <f>TEXT(Greenleaf[[#This Row],[Order Date]],"MMM")</f>
        <v>Feb</v>
      </c>
      <c r="D146" s="5" t="str">
        <f>TEXT(Greenleaf[[#This Row],[Order Date]],"YYYY")</f>
        <v>2024</v>
      </c>
      <c r="E146" t="s">
        <v>2461</v>
      </c>
      <c r="F146" s="7" t="s">
        <v>1011</v>
      </c>
      <c r="G146" s="9">
        <v>8</v>
      </c>
      <c r="H146" s="11">
        <v>12</v>
      </c>
      <c r="I146" s="13">
        <v>2.72</v>
      </c>
      <c r="J146" t="s">
        <v>1124</v>
      </c>
      <c r="K146" t="s">
        <v>2519</v>
      </c>
      <c r="L146" s="7" t="s">
        <v>1414</v>
      </c>
      <c r="M146" s="7" t="s">
        <v>1421</v>
      </c>
      <c r="N146" s="14">
        <f>Greenleaf[[#This Row],[Unit Price]]*Greenleaf[[#This Row],[Quantity Sold]]</f>
        <v>96</v>
      </c>
      <c r="O146" s="13">
        <f>Greenleaf[[#This Row],[Unit Cost]]*Greenleaf[[#This Row],[Quantity Sold]]</f>
        <v>21.76</v>
      </c>
      <c r="P146" s="13">
        <f>Greenleaf[[#This Row],[ Unit  price per quantity]]-Greenleaf[[#This Row],[ Unit cost per quantity]]</f>
        <v>74.239999999999995</v>
      </c>
      <c r="Q146" s="14">
        <f>Greenleaf[[#This Row],[Quantity Sold]]*Greenleaf[[#This Row],[Unit Price]]</f>
        <v>96</v>
      </c>
    </row>
    <row r="147" spans="1:17" x14ac:dyDescent="0.25">
      <c r="A147" t="s">
        <v>1573</v>
      </c>
      <c r="B147" s="5">
        <v>45339</v>
      </c>
      <c r="C147" s="5" t="str">
        <f>TEXT(Greenleaf[[#This Row],[Order Date]],"MMM")</f>
        <v>Feb</v>
      </c>
      <c r="D147" s="5" t="str">
        <f>TEXT(Greenleaf[[#This Row],[Order Date]],"YYYY")</f>
        <v>2024</v>
      </c>
      <c r="E147" t="s">
        <v>2463</v>
      </c>
      <c r="F147" s="7" t="s">
        <v>1014</v>
      </c>
      <c r="G147" s="9">
        <v>1</v>
      </c>
      <c r="H147" s="11">
        <v>15</v>
      </c>
      <c r="I147" s="13">
        <v>3.43</v>
      </c>
      <c r="J147" t="s">
        <v>1036</v>
      </c>
      <c r="K147" t="s">
        <v>2544</v>
      </c>
      <c r="L147" s="7" t="s">
        <v>1414</v>
      </c>
      <c r="M147" s="7" t="s">
        <v>1425</v>
      </c>
      <c r="N147" s="14">
        <f>Greenleaf[[#This Row],[Unit Price]]*Greenleaf[[#This Row],[Quantity Sold]]</f>
        <v>15</v>
      </c>
      <c r="O147" s="13">
        <f>Greenleaf[[#This Row],[Unit Cost]]*Greenleaf[[#This Row],[Quantity Sold]]</f>
        <v>3.43</v>
      </c>
      <c r="P147" s="13">
        <f>Greenleaf[[#This Row],[ Unit  price per quantity]]-Greenleaf[[#This Row],[ Unit cost per quantity]]</f>
        <v>11.57</v>
      </c>
      <c r="Q147" s="14">
        <f>Greenleaf[[#This Row],[Quantity Sold]]*Greenleaf[[#This Row],[Unit Price]]</f>
        <v>15</v>
      </c>
    </row>
    <row r="148" spans="1:17" x14ac:dyDescent="0.25">
      <c r="A148" t="s">
        <v>1574</v>
      </c>
      <c r="B148" s="5">
        <v>45340</v>
      </c>
      <c r="C148" s="5" t="str">
        <f>TEXT(Greenleaf[[#This Row],[Order Date]],"MMM")</f>
        <v>Feb</v>
      </c>
      <c r="D148" s="5" t="str">
        <f>TEXT(Greenleaf[[#This Row],[Order Date]],"YYYY")</f>
        <v>2024</v>
      </c>
      <c r="E148" t="s">
        <v>2460</v>
      </c>
      <c r="F148" s="7" t="s">
        <v>1015</v>
      </c>
      <c r="G148" s="9">
        <v>1</v>
      </c>
      <c r="H148" s="11">
        <v>10</v>
      </c>
      <c r="I148" s="13">
        <v>3.27</v>
      </c>
      <c r="J148" t="s">
        <v>1171</v>
      </c>
      <c r="K148" t="s">
        <v>2518</v>
      </c>
      <c r="L148" s="7" t="s">
        <v>1416</v>
      </c>
      <c r="M148" s="7" t="s">
        <v>1419</v>
      </c>
      <c r="N148" s="14">
        <f>Greenleaf[[#This Row],[Unit Price]]*Greenleaf[[#This Row],[Quantity Sold]]</f>
        <v>10</v>
      </c>
      <c r="O148" s="13">
        <f>Greenleaf[[#This Row],[Unit Cost]]*Greenleaf[[#This Row],[Quantity Sold]]</f>
        <v>3.27</v>
      </c>
      <c r="P148" s="13">
        <f>Greenleaf[[#This Row],[ Unit  price per quantity]]-Greenleaf[[#This Row],[ Unit cost per quantity]]</f>
        <v>6.73</v>
      </c>
      <c r="Q148" s="14">
        <f>Greenleaf[[#This Row],[Quantity Sold]]*Greenleaf[[#This Row],[Unit Price]]</f>
        <v>10</v>
      </c>
    </row>
    <row r="149" spans="1:17" x14ac:dyDescent="0.25">
      <c r="A149" t="s">
        <v>1575</v>
      </c>
      <c r="B149" s="5">
        <v>45340</v>
      </c>
      <c r="C149" s="5" t="str">
        <f>TEXT(Greenleaf[[#This Row],[Order Date]],"MMM")</f>
        <v>Feb</v>
      </c>
      <c r="D149" s="5" t="str">
        <f>TEXT(Greenleaf[[#This Row],[Order Date]],"YYYY")</f>
        <v>2024</v>
      </c>
      <c r="E149" t="s">
        <v>2460</v>
      </c>
      <c r="F149" s="7" t="s">
        <v>1015</v>
      </c>
      <c r="G149" s="9">
        <v>6</v>
      </c>
      <c r="H149" s="11">
        <v>10</v>
      </c>
      <c r="I149" s="13">
        <v>3.92</v>
      </c>
      <c r="J149" t="s">
        <v>1098</v>
      </c>
      <c r="K149" t="s">
        <v>2492</v>
      </c>
      <c r="L149" s="7" t="s">
        <v>1414</v>
      </c>
      <c r="M149" s="7" t="s">
        <v>1420</v>
      </c>
      <c r="N149" s="14">
        <f>Greenleaf[[#This Row],[Unit Price]]*Greenleaf[[#This Row],[Quantity Sold]]</f>
        <v>60</v>
      </c>
      <c r="O149" s="13">
        <f>Greenleaf[[#This Row],[Unit Cost]]*Greenleaf[[#This Row],[Quantity Sold]]</f>
        <v>23.52</v>
      </c>
      <c r="P149" s="13">
        <f>Greenleaf[[#This Row],[ Unit  price per quantity]]-Greenleaf[[#This Row],[ Unit cost per quantity]]</f>
        <v>36.480000000000004</v>
      </c>
      <c r="Q149" s="14">
        <f>Greenleaf[[#This Row],[Quantity Sold]]*Greenleaf[[#This Row],[Unit Price]]</f>
        <v>60</v>
      </c>
    </row>
    <row r="150" spans="1:17" x14ac:dyDescent="0.25">
      <c r="A150" t="s">
        <v>1576</v>
      </c>
      <c r="B150" s="5">
        <v>45340</v>
      </c>
      <c r="C150" s="5" t="str">
        <f>TEXT(Greenleaf[[#This Row],[Order Date]],"MMM")</f>
        <v>Feb</v>
      </c>
      <c r="D150" s="5" t="str">
        <f>TEXT(Greenleaf[[#This Row],[Order Date]],"YYYY")</f>
        <v>2024</v>
      </c>
      <c r="E150" t="s">
        <v>2464</v>
      </c>
      <c r="F150" s="7" t="s">
        <v>1012</v>
      </c>
      <c r="G150" s="9">
        <v>10</v>
      </c>
      <c r="H150" s="11">
        <v>40</v>
      </c>
      <c r="I150" s="13">
        <v>10.39</v>
      </c>
      <c r="J150" t="s">
        <v>1177</v>
      </c>
      <c r="K150" t="s">
        <v>2494</v>
      </c>
      <c r="L150" s="7" t="s">
        <v>1414</v>
      </c>
      <c r="M150" s="7" t="s">
        <v>1422</v>
      </c>
      <c r="N150" s="14">
        <f>Greenleaf[[#This Row],[Unit Price]]*Greenleaf[[#This Row],[Quantity Sold]]</f>
        <v>400</v>
      </c>
      <c r="O150" s="13">
        <f>Greenleaf[[#This Row],[Unit Cost]]*Greenleaf[[#This Row],[Quantity Sold]]</f>
        <v>103.9</v>
      </c>
      <c r="P150" s="13">
        <f>Greenleaf[[#This Row],[ Unit  price per quantity]]-Greenleaf[[#This Row],[ Unit cost per quantity]]</f>
        <v>296.10000000000002</v>
      </c>
      <c r="Q150" s="14">
        <f>Greenleaf[[#This Row],[Quantity Sold]]*Greenleaf[[#This Row],[Unit Price]]</f>
        <v>400</v>
      </c>
    </row>
    <row r="151" spans="1:17" x14ac:dyDescent="0.25">
      <c r="A151" t="s">
        <v>1577</v>
      </c>
      <c r="B151" s="5">
        <v>45341</v>
      </c>
      <c r="C151" s="5" t="str">
        <f>TEXT(Greenleaf[[#This Row],[Order Date]],"MMM")</f>
        <v>Feb</v>
      </c>
      <c r="D151" s="5" t="str">
        <f>TEXT(Greenleaf[[#This Row],[Order Date]],"YYYY")</f>
        <v>2024</v>
      </c>
      <c r="E151" t="s">
        <v>2461</v>
      </c>
      <c r="F151" s="7" t="s">
        <v>1011</v>
      </c>
      <c r="G151" s="9">
        <v>1</v>
      </c>
      <c r="H151" s="11">
        <v>12</v>
      </c>
      <c r="I151" s="13">
        <v>3.88</v>
      </c>
      <c r="J151" t="s">
        <v>1140</v>
      </c>
      <c r="K151" t="s">
        <v>2545</v>
      </c>
      <c r="L151" s="7" t="s">
        <v>1414</v>
      </c>
      <c r="M151" s="7" t="s">
        <v>1426</v>
      </c>
      <c r="N151" s="14">
        <f>Greenleaf[[#This Row],[Unit Price]]*Greenleaf[[#This Row],[Quantity Sold]]</f>
        <v>12</v>
      </c>
      <c r="O151" s="13">
        <f>Greenleaf[[#This Row],[Unit Cost]]*Greenleaf[[#This Row],[Quantity Sold]]</f>
        <v>3.88</v>
      </c>
      <c r="P151" s="13">
        <f>Greenleaf[[#This Row],[ Unit  price per quantity]]-Greenleaf[[#This Row],[ Unit cost per quantity]]</f>
        <v>8.120000000000001</v>
      </c>
      <c r="Q151" s="14">
        <f>Greenleaf[[#This Row],[Quantity Sold]]*Greenleaf[[#This Row],[Unit Price]]</f>
        <v>12</v>
      </c>
    </row>
    <row r="152" spans="1:17" x14ac:dyDescent="0.25">
      <c r="A152" t="s">
        <v>1578</v>
      </c>
      <c r="B152" s="5">
        <v>45341</v>
      </c>
      <c r="C152" s="5" t="str">
        <f>TEXT(Greenleaf[[#This Row],[Order Date]],"MMM")</f>
        <v>Feb</v>
      </c>
      <c r="D152" s="5" t="str">
        <f>TEXT(Greenleaf[[#This Row],[Order Date]],"YYYY")</f>
        <v>2024</v>
      </c>
      <c r="E152" t="s">
        <v>2464</v>
      </c>
      <c r="F152" s="7" t="s">
        <v>1012</v>
      </c>
      <c r="G152" s="9">
        <v>9</v>
      </c>
      <c r="H152" s="11">
        <v>40</v>
      </c>
      <c r="I152" s="13">
        <v>13.95</v>
      </c>
      <c r="J152" t="s">
        <v>1069</v>
      </c>
      <c r="K152" t="s">
        <v>2471</v>
      </c>
      <c r="L152" s="7" t="s">
        <v>1414</v>
      </c>
      <c r="M152" s="7" t="s">
        <v>1418</v>
      </c>
      <c r="N152" s="14">
        <f>Greenleaf[[#This Row],[Unit Price]]*Greenleaf[[#This Row],[Quantity Sold]]</f>
        <v>360</v>
      </c>
      <c r="O152" s="13">
        <f>Greenleaf[[#This Row],[Unit Cost]]*Greenleaf[[#This Row],[Quantity Sold]]</f>
        <v>125.55</v>
      </c>
      <c r="P152" s="13">
        <f>Greenleaf[[#This Row],[ Unit  price per quantity]]-Greenleaf[[#This Row],[ Unit cost per quantity]]</f>
        <v>234.45</v>
      </c>
      <c r="Q152" s="14">
        <f>Greenleaf[[#This Row],[Quantity Sold]]*Greenleaf[[#This Row],[Unit Price]]</f>
        <v>360</v>
      </c>
    </row>
    <row r="153" spans="1:17" x14ac:dyDescent="0.25">
      <c r="A153" t="s">
        <v>1579</v>
      </c>
      <c r="B153" s="5">
        <v>45342</v>
      </c>
      <c r="C153" s="5" t="str">
        <f>TEXT(Greenleaf[[#This Row],[Order Date]],"MMM")</f>
        <v>Feb</v>
      </c>
      <c r="D153" s="5" t="str">
        <f>TEXT(Greenleaf[[#This Row],[Order Date]],"YYYY")</f>
        <v>2024</v>
      </c>
      <c r="E153" t="s">
        <v>2464</v>
      </c>
      <c r="F153" s="7" t="s">
        <v>1012</v>
      </c>
      <c r="G153" s="9">
        <v>6</v>
      </c>
      <c r="H153" s="11">
        <v>40</v>
      </c>
      <c r="I153" s="13">
        <v>11.41</v>
      </c>
      <c r="J153" t="s">
        <v>1049</v>
      </c>
      <c r="K153" t="s">
        <v>2546</v>
      </c>
      <c r="L153" s="7" t="s">
        <v>1416</v>
      </c>
      <c r="M153" s="7" t="s">
        <v>1418</v>
      </c>
      <c r="N153" s="14">
        <f>Greenleaf[[#This Row],[Unit Price]]*Greenleaf[[#This Row],[Quantity Sold]]</f>
        <v>240</v>
      </c>
      <c r="O153" s="13">
        <f>Greenleaf[[#This Row],[Unit Cost]]*Greenleaf[[#This Row],[Quantity Sold]]</f>
        <v>68.460000000000008</v>
      </c>
      <c r="P153" s="13">
        <f>Greenleaf[[#This Row],[ Unit  price per quantity]]-Greenleaf[[#This Row],[ Unit cost per quantity]]</f>
        <v>171.54</v>
      </c>
      <c r="Q153" s="14">
        <f>Greenleaf[[#This Row],[Quantity Sold]]*Greenleaf[[#This Row],[Unit Price]]</f>
        <v>240</v>
      </c>
    </row>
    <row r="154" spans="1:17" x14ac:dyDescent="0.25">
      <c r="A154" t="s">
        <v>1580</v>
      </c>
      <c r="B154" s="5">
        <v>45343</v>
      </c>
      <c r="C154" s="5" t="str">
        <f>TEXT(Greenleaf[[#This Row],[Order Date]],"MMM")</f>
        <v>Feb</v>
      </c>
      <c r="D154" s="5" t="str">
        <f>TEXT(Greenleaf[[#This Row],[Order Date]],"YYYY")</f>
        <v>2024</v>
      </c>
      <c r="E154" t="s">
        <v>2464</v>
      </c>
      <c r="F154" s="7" t="s">
        <v>1012</v>
      </c>
      <c r="G154" s="9">
        <v>10</v>
      </c>
      <c r="H154" s="11">
        <v>40</v>
      </c>
      <c r="I154" s="13">
        <v>15.1</v>
      </c>
      <c r="J154" t="s">
        <v>1040</v>
      </c>
      <c r="K154" t="s">
        <v>2510</v>
      </c>
      <c r="L154" s="7" t="s">
        <v>1414</v>
      </c>
      <c r="M154" s="7" t="s">
        <v>1420</v>
      </c>
      <c r="N154" s="14">
        <f>Greenleaf[[#This Row],[Unit Price]]*Greenleaf[[#This Row],[Quantity Sold]]</f>
        <v>400</v>
      </c>
      <c r="O154" s="13">
        <f>Greenleaf[[#This Row],[Unit Cost]]*Greenleaf[[#This Row],[Quantity Sold]]</f>
        <v>151</v>
      </c>
      <c r="P154" s="13">
        <f>Greenleaf[[#This Row],[ Unit  price per quantity]]-Greenleaf[[#This Row],[ Unit cost per quantity]]</f>
        <v>249</v>
      </c>
      <c r="Q154" s="14">
        <f>Greenleaf[[#This Row],[Quantity Sold]]*Greenleaf[[#This Row],[Unit Price]]</f>
        <v>400</v>
      </c>
    </row>
    <row r="155" spans="1:17" x14ac:dyDescent="0.25">
      <c r="A155" t="s">
        <v>1581</v>
      </c>
      <c r="B155" s="5">
        <v>45343</v>
      </c>
      <c r="C155" s="5" t="str">
        <f>TEXT(Greenleaf[[#This Row],[Order Date]],"MMM")</f>
        <v>Feb</v>
      </c>
      <c r="D155" s="5" t="str">
        <f>TEXT(Greenleaf[[#This Row],[Order Date]],"YYYY")</f>
        <v>2024</v>
      </c>
      <c r="E155" t="s">
        <v>2461</v>
      </c>
      <c r="F155" s="7" t="s">
        <v>1011</v>
      </c>
      <c r="G155" s="9">
        <v>3</v>
      </c>
      <c r="H155" s="11">
        <v>12</v>
      </c>
      <c r="I155" s="13">
        <v>4.78</v>
      </c>
      <c r="J155" t="s">
        <v>1127</v>
      </c>
      <c r="K155" t="s">
        <v>2509</v>
      </c>
      <c r="L155" s="7" t="s">
        <v>1414</v>
      </c>
      <c r="M155" s="7" t="s">
        <v>1424</v>
      </c>
      <c r="N155" s="14">
        <f>Greenleaf[[#This Row],[Unit Price]]*Greenleaf[[#This Row],[Quantity Sold]]</f>
        <v>36</v>
      </c>
      <c r="O155" s="13">
        <f>Greenleaf[[#This Row],[Unit Cost]]*Greenleaf[[#This Row],[Quantity Sold]]</f>
        <v>14.34</v>
      </c>
      <c r="P155" s="13">
        <f>Greenleaf[[#This Row],[ Unit  price per quantity]]-Greenleaf[[#This Row],[ Unit cost per quantity]]</f>
        <v>21.66</v>
      </c>
      <c r="Q155" s="14">
        <f>Greenleaf[[#This Row],[Quantity Sold]]*Greenleaf[[#This Row],[Unit Price]]</f>
        <v>36</v>
      </c>
    </row>
    <row r="156" spans="1:17" x14ac:dyDescent="0.25">
      <c r="A156" t="s">
        <v>1582</v>
      </c>
      <c r="B156" s="5">
        <v>45343</v>
      </c>
      <c r="C156" s="5" t="str">
        <f>TEXT(Greenleaf[[#This Row],[Order Date]],"MMM")</f>
        <v>Feb</v>
      </c>
      <c r="D156" s="5" t="str">
        <f>TEXT(Greenleaf[[#This Row],[Order Date]],"YYYY")</f>
        <v>2024</v>
      </c>
      <c r="E156" t="s">
        <v>2463</v>
      </c>
      <c r="F156" s="7" t="s">
        <v>1014</v>
      </c>
      <c r="G156" s="9">
        <v>5</v>
      </c>
      <c r="H156" s="11">
        <v>15</v>
      </c>
      <c r="I156" s="13">
        <v>5.09</v>
      </c>
      <c r="J156" t="s">
        <v>1092</v>
      </c>
      <c r="K156" t="s">
        <v>2547</v>
      </c>
      <c r="L156" s="7" t="s">
        <v>1414</v>
      </c>
      <c r="M156" s="7" t="s">
        <v>1424</v>
      </c>
      <c r="N156" s="14">
        <f>Greenleaf[[#This Row],[Unit Price]]*Greenleaf[[#This Row],[Quantity Sold]]</f>
        <v>75</v>
      </c>
      <c r="O156" s="13">
        <f>Greenleaf[[#This Row],[Unit Cost]]*Greenleaf[[#This Row],[Quantity Sold]]</f>
        <v>25.45</v>
      </c>
      <c r="P156" s="13">
        <f>Greenleaf[[#This Row],[ Unit  price per quantity]]-Greenleaf[[#This Row],[ Unit cost per quantity]]</f>
        <v>49.55</v>
      </c>
      <c r="Q156" s="14">
        <f>Greenleaf[[#This Row],[Quantity Sold]]*Greenleaf[[#This Row],[Unit Price]]</f>
        <v>75</v>
      </c>
    </row>
    <row r="157" spans="1:17" x14ac:dyDescent="0.25">
      <c r="A157" t="s">
        <v>1583</v>
      </c>
      <c r="B157" s="5">
        <v>45344</v>
      </c>
      <c r="C157" s="5" t="str">
        <f>TEXT(Greenleaf[[#This Row],[Order Date]],"MMM")</f>
        <v>Feb</v>
      </c>
      <c r="D157" s="5" t="str">
        <f>TEXT(Greenleaf[[#This Row],[Order Date]],"YYYY")</f>
        <v>2024</v>
      </c>
      <c r="E157" t="s">
        <v>2463</v>
      </c>
      <c r="F157" s="7" t="s">
        <v>1014</v>
      </c>
      <c r="G157" s="9">
        <v>5</v>
      </c>
      <c r="H157" s="11">
        <v>15</v>
      </c>
      <c r="I157" s="13">
        <v>3.54</v>
      </c>
      <c r="J157" t="s">
        <v>1089</v>
      </c>
      <c r="K157" t="s">
        <v>2528</v>
      </c>
      <c r="L157" s="7" t="s">
        <v>1414</v>
      </c>
      <c r="M157" s="7" t="s">
        <v>1427</v>
      </c>
      <c r="N157" s="14">
        <f>Greenleaf[[#This Row],[Unit Price]]*Greenleaf[[#This Row],[Quantity Sold]]</f>
        <v>75</v>
      </c>
      <c r="O157" s="13">
        <f>Greenleaf[[#This Row],[Unit Cost]]*Greenleaf[[#This Row],[Quantity Sold]]</f>
        <v>17.7</v>
      </c>
      <c r="P157" s="13">
        <f>Greenleaf[[#This Row],[ Unit  price per quantity]]-Greenleaf[[#This Row],[ Unit cost per quantity]]</f>
        <v>57.3</v>
      </c>
      <c r="Q157" s="14">
        <f>Greenleaf[[#This Row],[Quantity Sold]]*Greenleaf[[#This Row],[Unit Price]]</f>
        <v>75</v>
      </c>
    </row>
    <row r="158" spans="1:17" x14ac:dyDescent="0.25">
      <c r="A158" t="s">
        <v>1584</v>
      </c>
      <c r="B158" s="5">
        <v>45345</v>
      </c>
      <c r="C158" s="5" t="str">
        <f>TEXT(Greenleaf[[#This Row],[Order Date]],"MMM")</f>
        <v>Feb</v>
      </c>
      <c r="D158" s="5" t="str">
        <f>TEXT(Greenleaf[[#This Row],[Order Date]],"YYYY")</f>
        <v>2024</v>
      </c>
      <c r="E158" t="s">
        <v>2464</v>
      </c>
      <c r="F158" s="7" t="s">
        <v>1012</v>
      </c>
      <c r="G158" s="9">
        <v>3</v>
      </c>
      <c r="H158" s="11">
        <v>40</v>
      </c>
      <c r="I158" s="13">
        <v>13.26</v>
      </c>
      <c r="J158" t="s">
        <v>1094</v>
      </c>
      <c r="K158" t="s">
        <v>2548</v>
      </c>
      <c r="L158" s="7" t="s">
        <v>1414</v>
      </c>
      <c r="M158" s="7" t="s">
        <v>1418</v>
      </c>
      <c r="N158" s="14">
        <f>Greenleaf[[#This Row],[Unit Price]]*Greenleaf[[#This Row],[Quantity Sold]]</f>
        <v>120</v>
      </c>
      <c r="O158" s="13">
        <f>Greenleaf[[#This Row],[Unit Cost]]*Greenleaf[[#This Row],[Quantity Sold]]</f>
        <v>39.78</v>
      </c>
      <c r="P158" s="13">
        <f>Greenleaf[[#This Row],[ Unit  price per quantity]]-Greenleaf[[#This Row],[ Unit cost per quantity]]</f>
        <v>80.22</v>
      </c>
      <c r="Q158" s="14">
        <f>Greenleaf[[#This Row],[Quantity Sold]]*Greenleaf[[#This Row],[Unit Price]]</f>
        <v>120</v>
      </c>
    </row>
    <row r="159" spans="1:17" x14ac:dyDescent="0.25">
      <c r="A159" t="s">
        <v>1585</v>
      </c>
      <c r="B159" s="5">
        <v>45345</v>
      </c>
      <c r="C159" s="5" t="str">
        <f>TEXT(Greenleaf[[#This Row],[Order Date]],"MMM")</f>
        <v>Feb</v>
      </c>
      <c r="D159" s="5" t="str">
        <f>TEXT(Greenleaf[[#This Row],[Order Date]],"YYYY")</f>
        <v>2024</v>
      </c>
      <c r="E159" t="s">
        <v>2464</v>
      </c>
      <c r="F159" s="7" t="s">
        <v>1012</v>
      </c>
      <c r="G159" s="9">
        <v>7</v>
      </c>
      <c r="H159" s="11">
        <v>40</v>
      </c>
      <c r="I159" s="13">
        <v>8.94</v>
      </c>
      <c r="J159" t="s">
        <v>1039</v>
      </c>
      <c r="K159" t="s">
        <v>2472</v>
      </c>
      <c r="L159" s="7" t="s">
        <v>1414</v>
      </c>
      <c r="M159" s="7" t="s">
        <v>1425</v>
      </c>
      <c r="N159" s="14">
        <f>Greenleaf[[#This Row],[Unit Price]]*Greenleaf[[#This Row],[Quantity Sold]]</f>
        <v>280</v>
      </c>
      <c r="O159" s="13">
        <f>Greenleaf[[#This Row],[Unit Cost]]*Greenleaf[[#This Row],[Quantity Sold]]</f>
        <v>62.58</v>
      </c>
      <c r="P159" s="13">
        <f>Greenleaf[[#This Row],[ Unit  price per quantity]]-Greenleaf[[#This Row],[ Unit cost per quantity]]</f>
        <v>217.42000000000002</v>
      </c>
      <c r="Q159" s="14">
        <f>Greenleaf[[#This Row],[Quantity Sold]]*Greenleaf[[#This Row],[Unit Price]]</f>
        <v>280</v>
      </c>
    </row>
    <row r="160" spans="1:17" x14ac:dyDescent="0.25">
      <c r="A160" t="s">
        <v>1586</v>
      </c>
      <c r="B160" s="5">
        <v>45345</v>
      </c>
      <c r="C160" s="5" t="str">
        <f>TEXT(Greenleaf[[#This Row],[Order Date]],"MMM")</f>
        <v>Feb</v>
      </c>
      <c r="D160" s="5" t="str">
        <f>TEXT(Greenleaf[[#This Row],[Order Date]],"YYYY")</f>
        <v>2024</v>
      </c>
      <c r="E160" t="s">
        <v>2461</v>
      </c>
      <c r="F160" s="7" t="s">
        <v>1011</v>
      </c>
      <c r="G160" s="9">
        <v>2</v>
      </c>
      <c r="H160" s="11">
        <v>12</v>
      </c>
      <c r="I160" s="13">
        <v>2.78</v>
      </c>
      <c r="J160" t="s">
        <v>1068</v>
      </c>
      <c r="K160" t="s">
        <v>2486</v>
      </c>
      <c r="L160" s="7" t="s">
        <v>1414</v>
      </c>
      <c r="M160" s="7" t="s">
        <v>1418</v>
      </c>
      <c r="N160" s="14">
        <f>Greenleaf[[#This Row],[Unit Price]]*Greenleaf[[#This Row],[Quantity Sold]]</f>
        <v>24</v>
      </c>
      <c r="O160" s="13">
        <f>Greenleaf[[#This Row],[Unit Cost]]*Greenleaf[[#This Row],[Quantity Sold]]</f>
        <v>5.56</v>
      </c>
      <c r="P160" s="13">
        <f>Greenleaf[[#This Row],[ Unit  price per quantity]]-Greenleaf[[#This Row],[ Unit cost per quantity]]</f>
        <v>18.440000000000001</v>
      </c>
      <c r="Q160" s="14">
        <f>Greenleaf[[#This Row],[Quantity Sold]]*Greenleaf[[#This Row],[Unit Price]]</f>
        <v>24</v>
      </c>
    </row>
    <row r="161" spans="1:17" x14ac:dyDescent="0.25">
      <c r="A161" t="s">
        <v>1587</v>
      </c>
      <c r="B161" s="5">
        <v>45345</v>
      </c>
      <c r="C161" s="5" t="str">
        <f>TEXT(Greenleaf[[#This Row],[Order Date]],"MMM")</f>
        <v>Feb</v>
      </c>
      <c r="D161" s="5" t="str">
        <f>TEXT(Greenleaf[[#This Row],[Order Date]],"YYYY")</f>
        <v>2024</v>
      </c>
      <c r="E161" t="s">
        <v>2464</v>
      </c>
      <c r="F161" s="7" t="s">
        <v>1012</v>
      </c>
      <c r="G161" s="9">
        <v>10</v>
      </c>
      <c r="H161" s="11">
        <v>40</v>
      </c>
      <c r="I161" s="13">
        <v>9.31</v>
      </c>
      <c r="J161" t="s">
        <v>1052</v>
      </c>
      <c r="K161" t="s">
        <v>2504</v>
      </c>
      <c r="L161" s="7" t="s">
        <v>1414</v>
      </c>
      <c r="M161" s="7" t="s">
        <v>1423</v>
      </c>
      <c r="N161" s="14">
        <f>Greenleaf[[#This Row],[Unit Price]]*Greenleaf[[#This Row],[Quantity Sold]]</f>
        <v>400</v>
      </c>
      <c r="O161" s="13">
        <f>Greenleaf[[#This Row],[Unit Cost]]*Greenleaf[[#This Row],[Quantity Sold]]</f>
        <v>93.100000000000009</v>
      </c>
      <c r="P161" s="13">
        <f>Greenleaf[[#This Row],[ Unit  price per quantity]]-Greenleaf[[#This Row],[ Unit cost per quantity]]</f>
        <v>306.89999999999998</v>
      </c>
      <c r="Q161" s="14">
        <f>Greenleaf[[#This Row],[Quantity Sold]]*Greenleaf[[#This Row],[Unit Price]]</f>
        <v>400</v>
      </c>
    </row>
    <row r="162" spans="1:17" x14ac:dyDescent="0.25">
      <c r="A162" t="s">
        <v>1588</v>
      </c>
      <c r="B162" s="5">
        <v>45346</v>
      </c>
      <c r="C162" s="5" t="str">
        <f>TEXT(Greenleaf[[#This Row],[Order Date]],"MMM")</f>
        <v>Feb</v>
      </c>
      <c r="D162" s="5" t="str">
        <f>TEXT(Greenleaf[[#This Row],[Order Date]],"YYYY")</f>
        <v>2024</v>
      </c>
      <c r="E162" t="s">
        <v>2463</v>
      </c>
      <c r="F162" s="7" t="s">
        <v>1014</v>
      </c>
      <c r="G162" s="9">
        <v>1</v>
      </c>
      <c r="H162" s="11">
        <v>15</v>
      </c>
      <c r="I162" s="13">
        <v>4.33</v>
      </c>
      <c r="J162" t="s">
        <v>1108</v>
      </c>
      <c r="K162" t="s">
        <v>2549</v>
      </c>
      <c r="L162" s="7" t="s">
        <v>1414</v>
      </c>
      <c r="M162" s="7" t="s">
        <v>1422</v>
      </c>
      <c r="N162" s="14">
        <f>Greenleaf[[#This Row],[Unit Price]]*Greenleaf[[#This Row],[Quantity Sold]]</f>
        <v>15</v>
      </c>
      <c r="O162" s="13">
        <f>Greenleaf[[#This Row],[Unit Cost]]*Greenleaf[[#This Row],[Quantity Sold]]</f>
        <v>4.33</v>
      </c>
      <c r="P162" s="13">
        <f>Greenleaf[[#This Row],[ Unit  price per quantity]]-Greenleaf[[#This Row],[ Unit cost per quantity]]</f>
        <v>10.67</v>
      </c>
      <c r="Q162" s="14">
        <f>Greenleaf[[#This Row],[Quantity Sold]]*Greenleaf[[#This Row],[Unit Price]]</f>
        <v>15</v>
      </c>
    </row>
    <row r="163" spans="1:17" x14ac:dyDescent="0.25">
      <c r="A163" t="s">
        <v>1589</v>
      </c>
      <c r="B163" s="5">
        <v>45346</v>
      </c>
      <c r="C163" s="5" t="str">
        <f>TEXT(Greenleaf[[#This Row],[Order Date]],"MMM")</f>
        <v>Feb</v>
      </c>
      <c r="D163" s="5" t="str">
        <f>TEXT(Greenleaf[[#This Row],[Order Date]],"YYYY")</f>
        <v>2024</v>
      </c>
      <c r="E163" t="s">
        <v>2464</v>
      </c>
      <c r="F163" s="7" t="s">
        <v>1012</v>
      </c>
      <c r="G163" s="9">
        <v>10</v>
      </c>
      <c r="H163" s="11">
        <v>40</v>
      </c>
      <c r="I163" s="13">
        <v>9.86</v>
      </c>
      <c r="J163" t="s">
        <v>1068</v>
      </c>
      <c r="K163" t="s">
        <v>2486</v>
      </c>
      <c r="L163" s="7" t="s">
        <v>1416</v>
      </c>
      <c r="M163" s="7" t="s">
        <v>1427</v>
      </c>
      <c r="N163" s="14">
        <f>Greenleaf[[#This Row],[Unit Price]]*Greenleaf[[#This Row],[Quantity Sold]]</f>
        <v>400</v>
      </c>
      <c r="O163" s="13">
        <f>Greenleaf[[#This Row],[Unit Cost]]*Greenleaf[[#This Row],[Quantity Sold]]</f>
        <v>98.6</v>
      </c>
      <c r="P163" s="13">
        <f>Greenleaf[[#This Row],[ Unit  price per quantity]]-Greenleaf[[#This Row],[ Unit cost per quantity]]</f>
        <v>301.39999999999998</v>
      </c>
      <c r="Q163" s="14">
        <f>Greenleaf[[#This Row],[Quantity Sold]]*Greenleaf[[#This Row],[Unit Price]]</f>
        <v>400</v>
      </c>
    </row>
    <row r="164" spans="1:17" x14ac:dyDescent="0.25">
      <c r="A164" t="s">
        <v>1590</v>
      </c>
      <c r="B164" s="5">
        <v>45346</v>
      </c>
      <c r="C164" s="5" t="str">
        <f>TEXT(Greenleaf[[#This Row],[Order Date]],"MMM")</f>
        <v>Feb</v>
      </c>
      <c r="D164" s="5" t="str">
        <f>TEXT(Greenleaf[[#This Row],[Order Date]],"YYYY")</f>
        <v>2024</v>
      </c>
      <c r="E164" t="s">
        <v>2461</v>
      </c>
      <c r="F164" s="7" t="s">
        <v>1011</v>
      </c>
      <c r="G164" s="9">
        <v>8</v>
      </c>
      <c r="H164" s="11">
        <v>12</v>
      </c>
      <c r="I164" s="13">
        <v>4.18</v>
      </c>
      <c r="J164" t="s">
        <v>1119</v>
      </c>
      <c r="K164" t="s">
        <v>2542</v>
      </c>
      <c r="L164" s="7" t="s">
        <v>1417</v>
      </c>
      <c r="M164" s="7" t="s">
        <v>1425</v>
      </c>
      <c r="N164" s="14">
        <f>Greenleaf[[#This Row],[Unit Price]]*Greenleaf[[#This Row],[Quantity Sold]]</f>
        <v>96</v>
      </c>
      <c r="O164" s="13">
        <f>Greenleaf[[#This Row],[Unit Cost]]*Greenleaf[[#This Row],[Quantity Sold]]</f>
        <v>33.44</v>
      </c>
      <c r="P164" s="13">
        <f>Greenleaf[[#This Row],[ Unit  price per quantity]]-Greenleaf[[#This Row],[ Unit cost per quantity]]</f>
        <v>62.56</v>
      </c>
      <c r="Q164" s="14">
        <f>Greenleaf[[#This Row],[Quantity Sold]]*Greenleaf[[#This Row],[Unit Price]]</f>
        <v>96</v>
      </c>
    </row>
    <row r="165" spans="1:17" x14ac:dyDescent="0.25">
      <c r="A165" t="s">
        <v>1591</v>
      </c>
      <c r="B165" s="5">
        <v>45347</v>
      </c>
      <c r="C165" s="5" t="str">
        <f>TEXT(Greenleaf[[#This Row],[Order Date]],"MMM")</f>
        <v>Feb</v>
      </c>
      <c r="D165" s="5" t="str">
        <f>TEXT(Greenleaf[[#This Row],[Order Date]],"YYYY")</f>
        <v>2024</v>
      </c>
      <c r="E165" t="s">
        <v>2464</v>
      </c>
      <c r="F165" s="7" t="s">
        <v>1012</v>
      </c>
      <c r="G165" s="9">
        <v>7</v>
      </c>
      <c r="H165" s="11">
        <v>40</v>
      </c>
      <c r="I165" s="13">
        <v>8.01</v>
      </c>
      <c r="J165" t="s">
        <v>1056</v>
      </c>
      <c r="K165" t="s">
        <v>2492</v>
      </c>
      <c r="L165" s="7" t="s">
        <v>1416</v>
      </c>
      <c r="M165" s="7" t="s">
        <v>1424</v>
      </c>
      <c r="N165" s="14">
        <f>Greenleaf[[#This Row],[Unit Price]]*Greenleaf[[#This Row],[Quantity Sold]]</f>
        <v>280</v>
      </c>
      <c r="O165" s="13">
        <f>Greenleaf[[#This Row],[Unit Cost]]*Greenleaf[[#This Row],[Quantity Sold]]</f>
        <v>56.07</v>
      </c>
      <c r="P165" s="13">
        <f>Greenleaf[[#This Row],[ Unit  price per quantity]]-Greenleaf[[#This Row],[ Unit cost per quantity]]</f>
        <v>223.93</v>
      </c>
      <c r="Q165" s="14">
        <f>Greenleaf[[#This Row],[Quantity Sold]]*Greenleaf[[#This Row],[Unit Price]]</f>
        <v>280</v>
      </c>
    </row>
    <row r="166" spans="1:17" x14ac:dyDescent="0.25">
      <c r="A166" t="s">
        <v>1592</v>
      </c>
      <c r="B166" s="5">
        <v>45347</v>
      </c>
      <c r="C166" s="5" t="str">
        <f>TEXT(Greenleaf[[#This Row],[Order Date]],"MMM")</f>
        <v>Feb</v>
      </c>
      <c r="D166" s="5" t="str">
        <f>TEXT(Greenleaf[[#This Row],[Order Date]],"YYYY")</f>
        <v>2024</v>
      </c>
      <c r="E166" t="s">
        <v>2460</v>
      </c>
      <c r="F166" s="7" t="s">
        <v>1015</v>
      </c>
      <c r="G166" s="9">
        <v>8</v>
      </c>
      <c r="H166" s="11">
        <v>10</v>
      </c>
      <c r="I166" s="13">
        <v>2.31</v>
      </c>
      <c r="J166" t="s">
        <v>1132</v>
      </c>
      <c r="K166" t="s">
        <v>2507</v>
      </c>
      <c r="L166" s="7" t="s">
        <v>1415</v>
      </c>
      <c r="M166" s="7" t="s">
        <v>1423</v>
      </c>
      <c r="N166" s="14">
        <f>Greenleaf[[#This Row],[Unit Price]]*Greenleaf[[#This Row],[Quantity Sold]]</f>
        <v>80</v>
      </c>
      <c r="O166" s="13">
        <f>Greenleaf[[#This Row],[Unit Cost]]*Greenleaf[[#This Row],[Quantity Sold]]</f>
        <v>18.48</v>
      </c>
      <c r="P166" s="13">
        <f>Greenleaf[[#This Row],[ Unit  price per quantity]]-Greenleaf[[#This Row],[ Unit cost per quantity]]</f>
        <v>61.519999999999996</v>
      </c>
      <c r="Q166" s="14">
        <f>Greenleaf[[#This Row],[Quantity Sold]]*Greenleaf[[#This Row],[Unit Price]]</f>
        <v>80</v>
      </c>
    </row>
    <row r="167" spans="1:17" x14ac:dyDescent="0.25">
      <c r="A167" t="s">
        <v>1593</v>
      </c>
      <c r="B167" s="5">
        <v>45347</v>
      </c>
      <c r="C167" s="5" t="str">
        <f>TEXT(Greenleaf[[#This Row],[Order Date]],"MMM")</f>
        <v>Feb</v>
      </c>
      <c r="D167" s="5" t="str">
        <f>TEXT(Greenleaf[[#This Row],[Order Date]],"YYYY")</f>
        <v>2024</v>
      </c>
      <c r="E167" t="s">
        <v>2463</v>
      </c>
      <c r="F167" s="7" t="s">
        <v>1014</v>
      </c>
      <c r="G167" s="9">
        <v>9</v>
      </c>
      <c r="H167" s="11">
        <v>15</v>
      </c>
      <c r="I167" s="13">
        <v>3.27</v>
      </c>
      <c r="J167" t="s">
        <v>1159</v>
      </c>
      <c r="K167" t="s">
        <v>2480</v>
      </c>
      <c r="L167" s="7" t="s">
        <v>1416</v>
      </c>
      <c r="M167" s="7" t="s">
        <v>1424</v>
      </c>
      <c r="N167" s="14">
        <f>Greenleaf[[#This Row],[Unit Price]]*Greenleaf[[#This Row],[Quantity Sold]]</f>
        <v>135</v>
      </c>
      <c r="O167" s="13">
        <f>Greenleaf[[#This Row],[Unit Cost]]*Greenleaf[[#This Row],[Quantity Sold]]</f>
        <v>29.43</v>
      </c>
      <c r="P167" s="13">
        <f>Greenleaf[[#This Row],[ Unit  price per quantity]]-Greenleaf[[#This Row],[ Unit cost per quantity]]</f>
        <v>105.57</v>
      </c>
      <c r="Q167" s="14">
        <f>Greenleaf[[#This Row],[Quantity Sold]]*Greenleaf[[#This Row],[Unit Price]]</f>
        <v>135</v>
      </c>
    </row>
    <row r="168" spans="1:17" x14ac:dyDescent="0.25">
      <c r="A168" t="s">
        <v>1594</v>
      </c>
      <c r="B168" s="5">
        <v>45347</v>
      </c>
      <c r="C168" s="5" t="str">
        <f>TEXT(Greenleaf[[#This Row],[Order Date]],"MMM")</f>
        <v>Feb</v>
      </c>
      <c r="D168" s="5" t="str">
        <f>TEXT(Greenleaf[[#This Row],[Order Date]],"YYYY")</f>
        <v>2024</v>
      </c>
      <c r="E168" t="s">
        <v>2464</v>
      </c>
      <c r="F168" s="7" t="s">
        <v>1012</v>
      </c>
      <c r="G168" s="9">
        <v>8</v>
      </c>
      <c r="H168" s="11">
        <v>40</v>
      </c>
      <c r="I168" s="13">
        <v>15.81</v>
      </c>
      <c r="J168" t="s">
        <v>1162</v>
      </c>
      <c r="K168" t="s">
        <v>2496</v>
      </c>
      <c r="L168" s="7" t="s">
        <v>1416</v>
      </c>
      <c r="M168" s="7" t="s">
        <v>1419</v>
      </c>
      <c r="N168" s="14">
        <f>Greenleaf[[#This Row],[Unit Price]]*Greenleaf[[#This Row],[Quantity Sold]]</f>
        <v>320</v>
      </c>
      <c r="O168" s="13">
        <f>Greenleaf[[#This Row],[Unit Cost]]*Greenleaf[[#This Row],[Quantity Sold]]</f>
        <v>126.48</v>
      </c>
      <c r="P168" s="13">
        <f>Greenleaf[[#This Row],[ Unit  price per quantity]]-Greenleaf[[#This Row],[ Unit cost per quantity]]</f>
        <v>193.51999999999998</v>
      </c>
      <c r="Q168" s="14">
        <f>Greenleaf[[#This Row],[Quantity Sold]]*Greenleaf[[#This Row],[Unit Price]]</f>
        <v>320</v>
      </c>
    </row>
    <row r="169" spans="1:17" x14ac:dyDescent="0.25">
      <c r="A169" t="s">
        <v>1595</v>
      </c>
      <c r="B169" s="5">
        <v>45348</v>
      </c>
      <c r="C169" s="5" t="str">
        <f>TEXT(Greenleaf[[#This Row],[Order Date]],"MMM")</f>
        <v>Feb</v>
      </c>
      <c r="D169" s="5" t="str">
        <f>TEXT(Greenleaf[[#This Row],[Order Date]],"YYYY")</f>
        <v>2024</v>
      </c>
      <c r="E169" t="s">
        <v>2464</v>
      </c>
      <c r="F169" s="7" t="s">
        <v>1012</v>
      </c>
      <c r="G169" s="9">
        <v>7</v>
      </c>
      <c r="H169" s="11">
        <v>40</v>
      </c>
      <c r="I169" s="13">
        <v>9.9700000000000006</v>
      </c>
      <c r="J169" t="s">
        <v>1090</v>
      </c>
      <c r="K169" t="s">
        <v>2498</v>
      </c>
      <c r="L169" s="7" t="s">
        <v>1414</v>
      </c>
      <c r="M169" s="7" t="s">
        <v>1419</v>
      </c>
      <c r="N169" s="14">
        <f>Greenleaf[[#This Row],[Unit Price]]*Greenleaf[[#This Row],[Quantity Sold]]</f>
        <v>280</v>
      </c>
      <c r="O169" s="13">
        <f>Greenleaf[[#This Row],[Unit Cost]]*Greenleaf[[#This Row],[Quantity Sold]]</f>
        <v>69.790000000000006</v>
      </c>
      <c r="P169" s="13">
        <f>Greenleaf[[#This Row],[ Unit  price per quantity]]-Greenleaf[[#This Row],[ Unit cost per quantity]]</f>
        <v>210.20999999999998</v>
      </c>
      <c r="Q169" s="14">
        <f>Greenleaf[[#This Row],[Quantity Sold]]*Greenleaf[[#This Row],[Unit Price]]</f>
        <v>280</v>
      </c>
    </row>
    <row r="170" spans="1:17" x14ac:dyDescent="0.25">
      <c r="A170" t="s">
        <v>1596</v>
      </c>
      <c r="B170" s="5">
        <v>45348</v>
      </c>
      <c r="C170" s="5" t="str">
        <f>TEXT(Greenleaf[[#This Row],[Order Date]],"MMM")</f>
        <v>Feb</v>
      </c>
      <c r="D170" s="5" t="str">
        <f>TEXT(Greenleaf[[#This Row],[Order Date]],"YYYY")</f>
        <v>2024</v>
      </c>
      <c r="E170" t="s">
        <v>2462</v>
      </c>
      <c r="F170" s="7" t="s">
        <v>1013</v>
      </c>
      <c r="G170" s="9">
        <v>3</v>
      </c>
      <c r="H170" s="11">
        <v>25</v>
      </c>
      <c r="I170" s="13">
        <v>5.54</v>
      </c>
      <c r="J170" t="s">
        <v>1140</v>
      </c>
      <c r="K170" t="s">
        <v>2545</v>
      </c>
      <c r="L170" s="7" t="s">
        <v>1416</v>
      </c>
      <c r="M170" s="7" t="s">
        <v>1421</v>
      </c>
      <c r="N170" s="14">
        <f>Greenleaf[[#This Row],[Unit Price]]*Greenleaf[[#This Row],[Quantity Sold]]</f>
        <v>75</v>
      </c>
      <c r="O170" s="13">
        <f>Greenleaf[[#This Row],[Unit Cost]]*Greenleaf[[#This Row],[Quantity Sold]]</f>
        <v>16.62</v>
      </c>
      <c r="P170" s="13">
        <f>Greenleaf[[#This Row],[ Unit  price per quantity]]-Greenleaf[[#This Row],[ Unit cost per quantity]]</f>
        <v>58.379999999999995</v>
      </c>
      <c r="Q170" s="14">
        <f>Greenleaf[[#This Row],[Quantity Sold]]*Greenleaf[[#This Row],[Unit Price]]</f>
        <v>75</v>
      </c>
    </row>
    <row r="171" spans="1:17" x14ac:dyDescent="0.25">
      <c r="A171" t="s">
        <v>1597</v>
      </c>
      <c r="B171" s="5">
        <v>45348</v>
      </c>
      <c r="C171" s="5" t="str">
        <f>TEXT(Greenleaf[[#This Row],[Order Date]],"MMM")</f>
        <v>Feb</v>
      </c>
      <c r="D171" s="5" t="str">
        <f>TEXT(Greenleaf[[#This Row],[Order Date]],"YYYY")</f>
        <v>2024</v>
      </c>
      <c r="E171" t="s">
        <v>2463</v>
      </c>
      <c r="F171" s="7" t="s">
        <v>1014</v>
      </c>
      <c r="G171" s="9">
        <v>6</v>
      </c>
      <c r="H171" s="11">
        <v>15</v>
      </c>
      <c r="I171" s="13">
        <v>3.31</v>
      </c>
      <c r="J171" t="s">
        <v>1052</v>
      </c>
      <c r="K171" t="s">
        <v>2504</v>
      </c>
      <c r="L171" s="7" t="s">
        <v>1417</v>
      </c>
      <c r="M171" s="7" t="s">
        <v>1421</v>
      </c>
      <c r="N171" s="14">
        <f>Greenleaf[[#This Row],[Unit Price]]*Greenleaf[[#This Row],[Quantity Sold]]</f>
        <v>90</v>
      </c>
      <c r="O171" s="13">
        <f>Greenleaf[[#This Row],[Unit Cost]]*Greenleaf[[#This Row],[Quantity Sold]]</f>
        <v>19.86</v>
      </c>
      <c r="P171" s="13">
        <f>Greenleaf[[#This Row],[ Unit  price per quantity]]-Greenleaf[[#This Row],[ Unit cost per quantity]]</f>
        <v>70.14</v>
      </c>
      <c r="Q171" s="14">
        <f>Greenleaf[[#This Row],[Quantity Sold]]*Greenleaf[[#This Row],[Unit Price]]</f>
        <v>90</v>
      </c>
    </row>
    <row r="172" spans="1:17" x14ac:dyDescent="0.25">
      <c r="A172" t="s">
        <v>1598</v>
      </c>
      <c r="B172" s="5">
        <v>45348</v>
      </c>
      <c r="C172" s="5" t="str">
        <f>TEXT(Greenleaf[[#This Row],[Order Date]],"MMM")</f>
        <v>Feb</v>
      </c>
      <c r="D172" s="5" t="str">
        <f>TEXT(Greenleaf[[#This Row],[Order Date]],"YYYY")</f>
        <v>2024</v>
      </c>
      <c r="E172" t="s">
        <v>2460</v>
      </c>
      <c r="F172" s="7" t="s">
        <v>1015</v>
      </c>
      <c r="G172" s="9">
        <v>10</v>
      </c>
      <c r="H172" s="11">
        <v>10</v>
      </c>
      <c r="I172" s="13">
        <v>2.98</v>
      </c>
      <c r="J172" t="s">
        <v>1019</v>
      </c>
      <c r="K172" t="s">
        <v>2550</v>
      </c>
      <c r="L172" s="7" t="s">
        <v>1414</v>
      </c>
      <c r="M172" s="7" t="s">
        <v>1423</v>
      </c>
      <c r="N172" s="14">
        <f>Greenleaf[[#This Row],[Unit Price]]*Greenleaf[[#This Row],[Quantity Sold]]</f>
        <v>100</v>
      </c>
      <c r="O172" s="13">
        <f>Greenleaf[[#This Row],[Unit Cost]]*Greenleaf[[#This Row],[Quantity Sold]]</f>
        <v>29.8</v>
      </c>
      <c r="P172" s="13">
        <f>Greenleaf[[#This Row],[ Unit  price per quantity]]-Greenleaf[[#This Row],[ Unit cost per quantity]]</f>
        <v>70.2</v>
      </c>
      <c r="Q172" s="14">
        <f>Greenleaf[[#This Row],[Quantity Sold]]*Greenleaf[[#This Row],[Unit Price]]</f>
        <v>100</v>
      </c>
    </row>
    <row r="173" spans="1:17" x14ac:dyDescent="0.25">
      <c r="A173" t="s">
        <v>1599</v>
      </c>
      <c r="B173" s="5">
        <v>45349</v>
      </c>
      <c r="C173" s="5" t="str">
        <f>TEXT(Greenleaf[[#This Row],[Order Date]],"MMM")</f>
        <v>Feb</v>
      </c>
      <c r="D173" s="5" t="str">
        <f>TEXT(Greenleaf[[#This Row],[Order Date]],"YYYY")</f>
        <v>2024</v>
      </c>
      <c r="E173" t="s">
        <v>2462</v>
      </c>
      <c r="F173" s="7" t="s">
        <v>1013</v>
      </c>
      <c r="G173" s="9">
        <v>10</v>
      </c>
      <c r="H173" s="11">
        <v>25</v>
      </c>
      <c r="I173" s="13">
        <v>6.26</v>
      </c>
      <c r="J173" t="s">
        <v>1160</v>
      </c>
      <c r="K173" t="s">
        <v>2519</v>
      </c>
      <c r="L173" s="7" t="s">
        <v>1414</v>
      </c>
      <c r="M173" s="7" t="s">
        <v>1427</v>
      </c>
      <c r="N173" s="14">
        <f>Greenleaf[[#This Row],[Unit Price]]*Greenleaf[[#This Row],[Quantity Sold]]</f>
        <v>250</v>
      </c>
      <c r="O173" s="13">
        <f>Greenleaf[[#This Row],[Unit Cost]]*Greenleaf[[#This Row],[Quantity Sold]]</f>
        <v>62.599999999999994</v>
      </c>
      <c r="P173" s="13">
        <f>Greenleaf[[#This Row],[ Unit  price per quantity]]-Greenleaf[[#This Row],[ Unit cost per quantity]]</f>
        <v>187.4</v>
      </c>
      <c r="Q173" s="14">
        <f>Greenleaf[[#This Row],[Quantity Sold]]*Greenleaf[[#This Row],[Unit Price]]</f>
        <v>250</v>
      </c>
    </row>
    <row r="174" spans="1:17" x14ac:dyDescent="0.25">
      <c r="A174" t="s">
        <v>1600</v>
      </c>
      <c r="B174" s="5">
        <v>45349</v>
      </c>
      <c r="C174" s="5" t="str">
        <f>TEXT(Greenleaf[[#This Row],[Order Date]],"MMM")</f>
        <v>Feb</v>
      </c>
      <c r="D174" s="5" t="str">
        <f>TEXT(Greenleaf[[#This Row],[Order Date]],"YYYY")</f>
        <v>2024</v>
      </c>
      <c r="E174" t="s">
        <v>2464</v>
      </c>
      <c r="F174" s="7" t="s">
        <v>1012</v>
      </c>
      <c r="G174" s="9">
        <v>5</v>
      </c>
      <c r="H174" s="11">
        <v>40</v>
      </c>
      <c r="I174" s="13">
        <v>15.18</v>
      </c>
      <c r="J174" t="s">
        <v>1035</v>
      </c>
      <c r="K174" t="s">
        <v>2483</v>
      </c>
      <c r="L174" s="7" t="s">
        <v>1416</v>
      </c>
      <c r="M174" s="7" t="s">
        <v>1419</v>
      </c>
      <c r="N174" s="14">
        <f>Greenleaf[[#This Row],[Unit Price]]*Greenleaf[[#This Row],[Quantity Sold]]</f>
        <v>200</v>
      </c>
      <c r="O174" s="13">
        <f>Greenleaf[[#This Row],[Unit Cost]]*Greenleaf[[#This Row],[Quantity Sold]]</f>
        <v>75.900000000000006</v>
      </c>
      <c r="P174" s="13">
        <f>Greenleaf[[#This Row],[ Unit  price per quantity]]-Greenleaf[[#This Row],[ Unit cost per quantity]]</f>
        <v>124.1</v>
      </c>
      <c r="Q174" s="14">
        <f>Greenleaf[[#This Row],[Quantity Sold]]*Greenleaf[[#This Row],[Unit Price]]</f>
        <v>200</v>
      </c>
    </row>
    <row r="175" spans="1:17" x14ac:dyDescent="0.25">
      <c r="A175" t="s">
        <v>1601</v>
      </c>
      <c r="B175" s="5">
        <v>45349</v>
      </c>
      <c r="C175" s="5" t="str">
        <f>TEXT(Greenleaf[[#This Row],[Order Date]],"MMM")</f>
        <v>Feb</v>
      </c>
      <c r="D175" s="5" t="str">
        <f>TEXT(Greenleaf[[#This Row],[Order Date]],"YYYY")</f>
        <v>2024</v>
      </c>
      <c r="E175" t="s">
        <v>2464</v>
      </c>
      <c r="F175" s="7" t="s">
        <v>1012</v>
      </c>
      <c r="G175" s="9">
        <v>1</v>
      </c>
      <c r="H175" s="11">
        <v>40</v>
      </c>
      <c r="I175" s="13">
        <v>9.3699999999999992</v>
      </c>
      <c r="J175" t="s">
        <v>1128</v>
      </c>
      <c r="K175" t="s">
        <v>2523</v>
      </c>
      <c r="L175" s="7" t="s">
        <v>1416</v>
      </c>
      <c r="M175" s="7" t="s">
        <v>1424</v>
      </c>
      <c r="N175" s="14">
        <f>Greenleaf[[#This Row],[Unit Price]]*Greenleaf[[#This Row],[Quantity Sold]]</f>
        <v>40</v>
      </c>
      <c r="O175" s="13">
        <f>Greenleaf[[#This Row],[Unit Cost]]*Greenleaf[[#This Row],[Quantity Sold]]</f>
        <v>9.3699999999999992</v>
      </c>
      <c r="P175" s="13">
        <f>Greenleaf[[#This Row],[ Unit  price per quantity]]-Greenleaf[[#This Row],[ Unit cost per quantity]]</f>
        <v>30.630000000000003</v>
      </c>
      <c r="Q175" s="14">
        <f>Greenleaf[[#This Row],[Quantity Sold]]*Greenleaf[[#This Row],[Unit Price]]</f>
        <v>40</v>
      </c>
    </row>
    <row r="176" spans="1:17" x14ac:dyDescent="0.25">
      <c r="A176" t="s">
        <v>1602</v>
      </c>
      <c r="B176" s="5">
        <v>45349</v>
      </c>
      <c r="C176" s="5" t="str">
        <f>TEXT(Greenleaf[[#This Row],[Order Date]],"MMM")</f>
        <v>Feb</v>
      </c>
      <c r="D176" s="5" t="str">
        <f>TEXT(Greenleaf[[#This Row],[Order Date]],"YYYY")</f>
        <v>2024</v>
      </c>
      <c r="E176" t="s">
        <v>2462</v>
      </c>
      <c r="F176" s="7" t="s">
        <v>1013</v>
      </c>
      <c r="G176" s="9">
        <v>5</v>
      </c>
      <c r="H176" s="11">
        <v>25</v>
      </c>
      <c r="I176" s="13">
        <v>6.89</v>
      </c>
      <c r="J176" t="s">
        <v>1080</v>
      </c>
      <c r="K176" t="s">
        <v>2470</v>
      </c>
      <c r="L176" s="7" t="s">
        <v>1416</v>
      </c>
      <c r="M176" s="7" t="s">
        <v>1421</v>
      </c>
      <c r="N176" s="14">
        <f>Greenleaf[[#This Row],[Unit Price]]*Greenleaf[[#This Row],[Quantity Sold]]</f>
        <v>125</v>
      </c>
      <c r="O176" s="13">
        <f>Greenleaf[[#This Row],[Unit Cost]]*Greenleaf[[#This Row],[Quantity Sold]]</f>
        <v>34.449999999999996</v>
      </c>
      <c r="P176" s="13">
        <f>Greenleaf[[#This Row],[ Unit  price per quantity]]-Greenleaf[[#This Row],[ Unit cost per quantity]]</f>
        <v>90.550000000000011</v>
      </c>
      <c r="Q176" s="14">
        <f>Greenleaf[[#This Row],[Quantity Sold]]*Greenleaf[[#This Row],[Unit Price]]</f>
        <v>125</v>
      </c>
    </row>
    <row r="177" spans="1:17" x14ac:dyDescent="0.25">
      <c r="A177" t="s">
        <v>1603</v>
      </c>
      <c r="B177" s="5">
        <v>45349</v>
      </c>
      <c r="C177" s="5" t="str">
        <f>TEXT(Greenleaf[[#This Row],[Order Date]],"MMM")</f>
        <v>Feb</v>
      </c>
      <c r="D177" s="5" t="str">
        <f>TEXT(Greenleaf[[#This Row],[Order Date]],"YYYY")</f>
        <v>2024</v>
      </c>
      <c r="E177" t="s">
        <v>2464</v>
      </c>
      <c r="F177" s="7" t="s">
        <v>1012</v>
      </c>
      <c r="G177" s="9">
        <v>10</v>
      </c>
      <c r="H177" s="11">
        <v>40</v>
      </c>
      <c r="I177" s="13">
        <v>11.7</v>
      </c>
      <c r="J177" t="s">
        <v>1165</v>
      </c>
      <c r="K177" t="s">
        <v>2515</v>
      </c>
      <c r="L177" s="7" t="s">
        <v>1417</v>
      </c>
      <c r="M177" s="7" t="s">
        <v>1426</v>
      </c>
      <c r="N177" s="14">
        <f>Greenleaf[[#This Row],[Unit Price]]*Greenleaf[[#This Row],[Quantity Sold]]</f>
        <v>400</v>
      </c>
      <c r="O177" s="13">
        <f>Greenleaf[[#This Row],[Unit Cost]]*Greenleaf[[#This Row],[Quantity Sold]]</f>
        <v>117</v>
      </c>
      <c r="P177" s="13">
        <f>Greenleaf[[#This Row],[ Unit  price per quantity]]-Greenleaf[[#This Row],[ Unit cost per quantity]]</f>
        <v>283</v>
      </c>
      <c r="Q177" s="14">
        <f>Greenleaf[[#This Row],[Quantity Sold]]*Greenleaf[[#This Row],[Unit Price]]</f>
        <v>400</v>
      </c>
    </row>
    <row r="178" spans="1:17" x14ac:dyDescent="0.25">
      <c r="A178" t="s">
        <v>1604</v>
      </c>
      <c r="B178" s="5">
        <v>45351</v>
      </c>
      <c r="C178" s="5" t="str">
        <f>TEXT(Greenleaf[[#This Row],[Order Date]],"MMM")</f>
        <v>Feb</v>
      </c>
      <c r="D178" s="5" t="str">
        <f>TEXT(Greenleaf[[#This Row],[Order Date]],"YYYY")</f>
        <v>2024</v>
      </c>
      <c r="E178" t="s">
        <v>2462</v>
      </c>
      <c r="F178" s="7" t="s">
        <v>1013</v>
      </c>
      <c r="G178" s="9">
        <v>2</v>
      </c>
      <c r="H178" s="11">
        <v>25</v>
      </c>
      <c r="I178" s="13">
        <v>7.19</v>
      </c>
      <c r="J178" t="s">
        <v>1036</v>
      </c>
      <c r="K178" t="s">
        <v>2544</v>
      </c>
      <c r="L178" s="7" t="s">
        <v>1414</v>
      </c>
      <c r="M178" s="7" t="s">
        <v>1424</v>
      </c>
      <c r="N178" s="14">
        <f>Greenleaf[[#This Row],[Unit Price]]*Greenleaf[[#This Row],[Quantity Sold]]</f>
        <v>50</v>
      </c>
      <c r="O178" s="13">
        <f>Greenleaf[[#This Row],[Unit Cost]]*Greenleaf[[#This Row],[Quantity Sold]]</f>
        <v>14.38</v>
      </c>
      <c r="P178" s="13">
        <f>Greenleaf[[#This Row],[ Unit  price per quantity]]-Greenleaf[[#This Row],[ Unit cost per quantity]]</f>
        <v>35.619999999999997</v>
      </c>
      <c r="Q178" s="14">
        <f>Greenleaf[[#This Row],[Quantity Sold]]*Greenleaf[[#This Row],[Unit Price]]</f>
        <v>50</v>
      </c>
    </row>
    <row r="179" spans="1:17" x14ac:dyDescent="0.25">
      <c r="A179" t="s">
        <v>1605</v>
      </c>
      <c r="B179" s="5">
        <v>45352</v>
      </c>
      <c r="C179" s="5" t="str">
        <f>TEXT(Greenleaf[[#This Row],[Order Date]],"MMM")</f>
        <v>Mar</v>
      </c>
      <c r="D179" s="5" t="str">
        <f>TEXT(Greenleaf[[#This Row],[Order Date]],"YYYY")</f>
        <v>2024</v>
      </c>
      <c r="E179" t="s">
        <v>2460</v>
      </c>
      <c r="F179" s="7" t="s">
        <v>1015</v>
      </c>
      <c r="G179" s="9">
        <v>8</v>
      </c>
      <c r="H179" s="11">
        <v>10</v>
      </c>
      <c r="I179" s="13">
        <v>3.89</v>
      </c>
      <c r="J179" t="s">
        <v>1042</v>
      </c>
      <c r="K179" t="s">
        <v>2544</v>
      </c>
      <c r="L179" s="7" t="s">
        <v>1416</v>
      </c>
      <c r="M179" s="7" t="s">
        <v>1419</v>
      </c>
      <c r="N179" s="14">
        <f>Greenleaf[[#This Row],[Unit Price]]*Greenleaf[[#This Row],[Quantity Sold]]</f>
        <v>80</v>
      </c>
      <c r="O179" s="13">
        <f>Greenleaf[[#This Row],[Unit Cost]]*Greenleaf[[#This Row],[Quantity Sold]]</f>
        <v>31.12</v>
      </c>
      <c r="P179" s="13">
        <f>Greenleaf[[#This Row],[ Unit  price per quantity]]-Greenleaf[[#This Row],[ Unit cost per quantity]]</f>
        <v>48.879999999999995</v>
      </c>
      <c r="Q179" s="14">
        <f>Greenleaf[[#This Row],[Quantity Sold]]*Greenleaf[[#This Row],[Unit Price]]</f>
        <v>80</v>
      </c>
    </row>
    <row r="180" spans="1:17" x14ac:dyDescent="0.25">
      <c r="A180" t="s">
        <v>1606</v>
      </c>
      <c r="B180" s="5">
        <v>45352</v>
      </c>
      <c r="C180" s="5" t="str">
        <f>TEXT(Greenleaf[[#This Row],[Order Date]],"MMM")</f>
        <v>Mar</v>
      </c>
      <c r="D180" s="5" t="str">
        <f>TEXT(Greenleaf[[#This Row],[Order Date]],"YYYY")</f>
        <v>2024</v>
      </c>
      <c r="E180" t="s">
        <v>2462</v>
      </c>
      <c r="F180" s="7" t="s">
        <v>1013</v>
      </c>
      <c r="G180" s="9">
        <v>2</v>
      </c>
      <c r="H180" s="11">
        <v>25</v>
      </c>
      <c r="I180" s="13">
        <v>5.81</v>
      </c>
      <c r="J180" t="s">
        <v>1187</v>
      </c>
      <c r="K180" t="s">
        <v>2550</v>
      </c>
      <c r="L180" s="7" t="s">
        <v>1414</v>
      </c>
      <c r="M180" s="7" t="s">
        <v>1425</v>
      </c>
      <c r="N180" s="14">
        <f>Greenleaf[[#This Row],[Unit Price]]*Greenleaf[[#This Row],[Quantity Sold]]</f>
        <v>50</v>
      </c>
      <c r="O180" s="13">
        <f>Greenleaf[[#This Row],[Unit Cost]]*Greenleaf[[#This Row],[Quantity Sold]]</f>
        <v>11.62</v>
      </c>
      <c r="P180" s="13">
        <f>Greenleaf[[#This Row],[ Unit  price per quantity]]-Greenleaf[[#This Row],[ Unit cost per quantity]]</f>
        <v>38.380000000000003</v>
      </c>
      <c r="Q180" s="14">
        <f>Greenleaf[[#This Row],[Quantity Sold]]*Greenleaf[[#This Row],[Unit Price]]</f>
        <v>50</v>
      </c>
    </row>
    <row r="181" spans="1:17" x14ac:dyDescent="0.25">
      <c r="A181" t="s">
        <v>1607</v>
      </c>
      <c r="B181" s="5">
        <v>45353</v>
      </c>
      <c r="C181" s="5" t="str">
        <f>TEXT(Greenleaf[[#This Row],[Order Date]],"MMM")</f>
        <v>Mar</v>
      </c>
      <c r="D181" s="5" t="str">
        <f>TEXT(Greenleaf[[#This Row],[Order Date]],"YYYY")</f>
        <v>2024</v>
      </c>
      <c r="E181" t="s">
        <v>2463</v>
      </c>
      <c r="F181" s="7" t="s">
        <v>1014</v>
      </c>
      <c r="G181" s="9">
        <v>5</v>
      </c>
      <c r="H181" s="11">
        <v>15</v>
      </c>
      <c r="I181" s="13">
        <v>4.7</v>
      </c>
      <c r="J181" t="s">
        <v>1142</v>
      </c>
      <c r="K181" t="s">
        <v>2489</v>
      </c>
      <c r="L181" s="7" t="s">
        <v>1416</v>
      </c>
      <c r="M181" s="7" t="s">
        <v>1422</v>
      </c>
      <c r="N181" s="14">
        <f>Greenleaf[[#This Row],[Unit Price]]*Greenleaf[[#This Row],[Quantity Sold]]</f>
        <v>75</v>
      </c>
      <c r="O181" s="13">
        <f>Greenleaf[[#This Row],[Unit Cost]]*Greenleaf[[#This Row],[Quantity Sold]]</f>
        <v>23.5</v>
      </c>
      <c r="P181" s="13">
        <f>Greenleaf[[#This Row],[ Unit  price per quantity]]-Greenleaf[[#This Row],[ Unit cost per quantity]]</f>
        <v>51.5</v>
      </c>
      <c r="Q181" s="14">
        <f>Greenleaf[[#This Row],[Quantity Sold]]*Greenleaf[[#This Row],[Unit Price]]</f>
        <v>75</v>
      </c>
    </row>
    <row r="182" spans="1:17" x14ac:dyDescent="0.25">
      <c r="A182" t="s">
        <v>1608</v>
      </c>
      <c r="B182" s="5">
        <v>45353</v>
      </c>
      <c r="C182" s="5" t="str">
        <f>TEXT(Greenleaf[[#This Row],[Order Date]],"MMM")</f>
        <v>Mar</v>
      </c>
      <c r="D182" s="5" t="str">
        <f>TEXT(Greenleaf[[#This Row],[Order Date]],"YYYY")</f>
        <v>2024</v>
      </c>
      <c r="E182" t="s">
        <v>2464</v>
      </c>
      <c r="F182" s="7" t="s">
        <v>1012</v>
      </c>
      <c r="G182" s="9">
        <v>9</v>
      </c>
      <c r="H182" s="11">
        <v>40</v>
      </c>
      <c r="I182" s="13">
        <v>9.41</v>
      </c>
      <c r="J182" t="s">
        <v>1079</v>
      </c>
      <c r="K182" t="s">
        <v>2525</v>
      </c>
      <c r="L182" s="7" t="s">
        <v>1415</v>
      </c>
      <c r="M182" s="7" t="s">
        <v>1424</v>
      </c>
      <c r="N182" s="14">
        <f>Greenleaf[[#This Row],[Unit Price]]*Greenleaf[[#This Row],[Quantity Sold]]</f>
        <v>360</v>
      </c>
      <c r="O182" s="13">
        <f>Greenleaf[[#This Row],[Unit Cost]]*Greenleaf[[#This Row],[Quantity Sold]]</f>
        <v>84.69</v>
      </c>
      <c r="P182" s="13">
        <f>Greenleaf[[#This Row],[ Unit  price per quantity]]-Greenleaf[[#This Row],[ Unit cost per quantity]]</f>
        <v>275.31</v>
      </c>
      <c r="Q182" s="14">
        <f>Greenleaf[[#This Row],[Quantity Sold]]*Greenleaf[[#This Row],[Unit Price]]</f>
        <v>360</v>
      </c>
    </row>
    <row r="183" spans="1:17" x14ac:dyDescent="0.25">
      <c r="A183" t="s">
        <v>1609</v>
      </c>
      <c r="B183" s="5">
        <v>45353</v>
      </c>
      <c r="C183" s="5" t="str">
        <f>TEXT(Greenleaf[[#This Row],[Order Date]],"MMM")</f>
        <v>Mar</v>
      </c>
      <c r="D183" s="5" t="str">
        <f>TEXT(Greenleaf[[#This Row],[Order Date]],"YYYY")</f>
        <v>2024</v>
      </c>
      <c r="E183" t="s">
        <v>2463</v>
      </c>
      <c r="F183" s="7" t="s">
        <v>1014</v>
      </c>
      <c r="G183" s="9">
        <v>4</v>
      </c>
      <c r="H183" s="11">
        <v>15</v>
      </c>
      <c r="I183" s="13">
        <v>4.91</v>
      </c>
      <c r="J183" t="s">
        <v>1168</v>
      </c>
      <c r="K183" t="s">
        <v>2485</v>
      </c>
      <c r="L183" s="7" t="s">
        <v>1417</v>
      </c>
      <c r="M183" s="7" t="s">
        <v>1424</v>
      </c>
      <c r="N183" s="14">
        <f>Greenleaf[[#This Row],[Unit Price]]*Greenleaf[[#This Row],[Quantity Sold]]</f>
        <v>60</v>
      </c>
      <c r="O183" s="13">
        <f>Greenleaf[[#This Row],[Unit Cost]]*Greenleaf[[#This Row],[Quantity Sold]]</f>
        <v>19.64</v>
      </c>
      <c r="P183" s="13">
        <f>Greenleaf[[#This Row],[ Unit  price per quantity]]-Greenleaf[[#This Row],[ Unit cost per quantity]]</f>
        <v>40.36</v>
      </c>
      <c r="Q183" s="14">
        <f>Greenleaf[[#This Row],[Quantity Sold]]*Greenleaf[[#This Row],[Unit Price]]</f>
        <v>60</v>
      </c>
    </row>
    <row r="184" spans="1:17" x14ac:dyDescent="0.25">
      <c r="A184" t="s">
        <v>1610</v>
      </c>
      <c r="B184" s="5">
        <v>45353</v>
      </c>
      <c r="C184" s="5" t="str">
        <f>TEXT(Greenleaf[[#This Row],[Order Date]],"MMM")</f>
        <v>Mar</v>
      </c>
      <c r="D184" s="5" t="str">
        <f>TEXT(Greenleaf[[#This Row],[Order Date]],"YYYY")</f>
        <v>2024</v>
      </c>
      <c r="E184" t="s">
        <v>2463</v>
      </c>
      <c r="F184" s="7" t="s">
        <v>1014</v>
      </c>
      <c r="G184" s="9">
        <v>8</v>
      </c>
      <c r="H184" s="11">
        <v>15</v>
      </c>
      <c r="I184" s="13">
        <v>3.02</v>
      </c>
      <c r="J184" t="s">
        <v>1050</v>
      </c>
      <c r="K184" t="s">
        <v>2488</v>
      </c>
      <c r="L184" s="7" t="s">
        <v>1414</v>
      </c>
      <c r="M184" s="7" t="s">
        <v>1426</v>
      </c>
      <c r="N184" s="14">
        <f>Greenleaf[[#This Row],[Unit Price]]*Greenleaf[[#This Row],[Quantity Sold]]</f>
        <v>120</v>
      </c>
      <c r="O184" s="13">
        <f>Greenleaf[[#This Row],[Unit Cost]]*Greenleaf[[#This Row],[Quantity Sold]]</f>
        <v>24.16</v>
      </c>
      <c r="P184" s="13">
        <f>Greenleaf[[#This Row],[ Unit  price per quantity]]-Greenleaf[[#This Row],[ Unit cost per quantity]]</f>
        <v>95.84</v>
      </c>
      <c r="Q184" s="14">
        <f>Greenleaf[[#This Row],[Quantity Sold]]*Greenleaf[[#This Row],[Unit Price]]</f>
        <v>120</v>
      </c>
    </row>
    <row r="185" spans="1:17" x14ac:dyDescent="0.25">
      <c r="A185" t="s">
        <v>1611</v>
      </c>
      <c r="B185" s="5">
        <v>45353</v>
      </c>
      <c r="C185" s="5" t="str">
        <f>TEXT(Greenleaf[[#This Row],[Order Date]],"MMM")</f>
        <v>Mar</v>
      </c>
      <c r="D185" s="5" t="str">
        <f>TEXT(Greenleaf[[#This Row],[Order Date]],"YYYY")</f>
        <v>2024</v>
      </c>
      <c r="E185" t="s">
        <v>2462</v>
      </c>
      <c r="F185" s="7" t="s">
        <v>1013</v>
      </c>
      <c r="G185" s="9">
        <v>1</v>
      </c>
      <c r="H185" s="11">
        <v>25</v>
      </c>
      <c r="I185" s="13">
        <v>5.23</v>
      </c>
      <c r="J185" t="s">
        <v>1017</v>
      </c>
      <c r="K185" t="s">
        <v>2512</v>
      </c>
      <c r="L185" s="7" t="s">
        <v>1414</v>
      </c>
      <c r="M185" s="7" t="s">
        <v>1422</v>
      </c>
      <c r="N185" s="14">
        <f>Greenleaf[[#This Row],[Unit Price]]*Greenleaf[[#This Row],[Quantity Sold]]</f>
        <v>25</v>
      </c>
      <c r="O185" s="13">
        <f>Greenleaf[[#This Row],[Unit Cost]]*Greenleaf[[#This Row],[Quantity Sold]]</f>
        <v>5.23</v>
      </c>
      <c r="P185" s="13">
        <f>Greenleaf[[#This Row],[ Unit  price per quantity]]-Greenleaf[[#This Row],[ Unit cost per quantity]]</f>
        <v>19.77</v>
      </c>
      <c r="Q185" s="14">
        <f>Greenleaf[[#This Row],[Quantity Sold]]*Greenleaf[[#This Row],[Unit Price]]</f>
        <v>25</v>
      </c>
    </row>
    <row r="186" spans="1:17" x14ac:dyDescent="0.25">
      <c r="A186" t="s">
        <v>1612</v>
      </c>
      <c r="B186" s="5">
        <v>45354</v>
      </c>
      <c r="C186" s="5" t="str">
        <f>TEXT(Greenleaf[[#This Row],[Order Date]],"MMM")</f>
        <v>Mar</v>
      </c>
      <c r="D186" s="5" t="str">
        <f>TEXT(Greenleaf[[#This Row],[Order Date]],"YYYY")</f>
        <v>2024</v>
      </c>
      <c r="E186" t="s">
        <v>2462</v>
      </c>
      <c r="F186" s="7" t="s">
        <v>1013</v>
      </c>
      <c r="G186" s="9">
        <v>8</v>
      </c>
      <c r="H186" s="11">
        <v>25</v>
      </c>
      <c r="I186" s="13">
        <v>6.86</v>
      </c>
      <c r="J186" t="s">
        <v>1165</v>
      </c>
      <c r="K186" t="s">
        <v>2515</v>
      </c>
      <c r="L186" s="7" t="s">
        <v>1415</v>
      </c>
      <c r="M186" s="7" t="s">
        <v>1427</v>
      </c>
      <c r="N186" s="14">
        <f>Greenleaf[[#This Row],[Unit Price]]*Greenleaf[[#This Row],[Quantity Sold]]</f>
        <v>200</v>
      </c>
      <c r="O186" s="13">
        <f>Greenleaf[[#This Row],[Unit Cost]]*Greenleaf[[#This Row],[Quantity Sold]]</f>
        <v>54.88</v>
      </c>
      <c r="P186" s="13">
        <f>Greenleaf[[#This Row],[ Unit  price per quantity]]-Greenleaf[[#This Row],[ Unit cost per quantity]]</f>
        <v>145.12</v>
      </c>
      <c r="Q186" s="14">
        <f>Greenleaf[[#This Row],[Quantity Sold]]*Greenleaf[[#This Row],[Unit Price]]</f>
        <v>200</v>
      </c>
    </row>
    <row r="187" spans="1:17" x14ac:dyDescent="0.25">
      <c r="A187" t="s">
        <v>1613</v>
      </c>
      <c r="B187" s="5">
        <v>45354</v>
      </c>
      <c r="C187" s="5" t="str">
        <f>TEXT(Greenleaf[[#This Row],[Order Date]],"MMM")</f>
        <v>Mar</v>
      </c>
      <c r="D187" s="5" t="str">
        <f>TEXT(Greenleaf[[#This Row],[Order Date]],"YYYY")</f>
        <v>2024</v>
      </c>
      <c r="E187" t="s">
        <v>2463</v>
      </c>
      <c r="F187" s="7" t="s">
        <v>1014</v>
      </c>
      <c r="G187" s="9">
        <v>1</v>
      </c>
      <c r="H187" s="11">
        <v>15</v>
      </c>
      <c r="I187" s="13">
        <v>3.91</v>
      </c>
      <c r="J187" t="s">
        <v>1040</v>
      </c>
      <c r="K187" t="s">
        <v>2510</v>
      </c>
      <c r="L187" s="7" t="s">
        <v>1416</v>
      </c>
      <c r="M187" s="7" t="s">
        <v>1422</v>
      </c>
      <c r="N187" s="14">
        <f>Greenleaf[[#This Row],[Unit Price]]*Greenleaf[[#This Row],[Quantity Sold]]</f>
        <v>15</v>
      </c>
      <c r="O187" s="13">
        <f>Greenleaf[[#This Row],[Unit Cost]]*Greenleaf[[#This Row],[Quantity Sold]]</f>
        <v>3.91</v>
      </c>
      <c r="P187" s="13">
        <f>Greenleaf[[#This Row],[ Unit  price per quantity]]-Greenleaf[[#This Row],[ Unit cost per quantity]]</f>
        <v>11.09</v>
      </c>
      <c r="Q187" s="14">
        <f>Greenleaf[[#This Row],[Quantity Sold]]*Greenleaf[[#This Row],[Unit Price]]</f>
        <v>15</v>
      </c>
    </row>
    <row r="188" spans="1:17" x14ac:dyDescent="0.25">
      <c r="A188" t="s">
        <v>1614</v>
      </c>
      <c r="B188" s="5">
        <v>45354</v>
      </c>
      <c r="C188" s="5" t="str">
        <f>TEXT(Greenleaf[[#This Row],[Order Date]],"MMM")</f>
        <v>Mar</v>
      </c>
      <c r="D188" s="5" t="str">
        <f>TEXT(Greenleaf[[#This Row],[Order Date]],"YYYY")</f>
        <v>2024</v>
      </c>
      <c r="E188" t="s">
        <v>2464</v>
      </c>
      <c r="F188" s="7" t="s">
        <v>1012</v>
      </c>
      <c r="G188" s="9">
        <v>8</v>
      </c>
      <c r="H188" s="11">
        <v>40</v>
      </c>
      <c r="I188" s="13">
        <v>14.99</v>
      </c>
      <c r="J188" t="s">
        <v>1022</v>
      </c>
      <c r="K188" t="s">
        <v>2551</v>
      </c>
      <c r="L188" s="7" t="s">
        <v>1414</v>
      </c>
      <c r="M188" s="7" t="s">
        <v>1425</v>
      </c>
      <c r="N188" s="14">
        <f>Greenleaf[[#This Row],[Unit Price]]*Greenleaf[[#This Row],[Quantity Sold]]</f>
        <v>320</v>
      </c>
      <c r="O188" s="13">
        <f>Greenleaf[[#This Row],[Unit Cost]]*Greenleaf[[#This Row],[Quantity Sold]]</f>
        <v>119.92</v>
      </c>
      <c r="P188" s="13">
        <f>Greenleaf[[#This Row],[ Unit  price per quantity]]-Greenleaf[[#This Row],[ Unit cost per quantity]]</f>
        <v>200.07999999999998</v>
      </c>
      <c r="Q188" s="14">
        <f>Greenleaf[[#This Row],[Quantity Sold]]*Greenleaf[[#This Row],[Unit Price]]</f>
        <v>320</v>
      </c>
    </row>
    <row r="189" spans="1:17" x14ac:dyDescent="0.25">
      <c r="A189" t="s">
        <v>1615</v>
      </c>
      <c r="B189" s="5">
        <v>45355</v>
      </c>
      <c r="C189" s="5" t="str">
        <f>TEXT(Greenleaf[[#This Row],[Order Date]],"MMM")</f>
        <v>Mar</v>
      </c>
      <c r="D189" s="5" t="str">
        <f>TEXT(Greenleaf[[#This Row],[Order Date]],"YYYY")</f>
        <v>2024</v>
      </c>
      <c r="E189" t="s">
        <v>2463</v>
      </c>
      <c r="F189" s="7" t="s">
        <v>1014</v>
      </c>
      <c r="G189" s="9">
        <v>3</v>
      </c>
      <c r="H189" s="11">
        <v>15</v>
      </c>
      <c r="I189" s="13">
        <v>3.87</v>
      </c>
      <c r="J189" t="s">
        <v>1095</v>
      </c>
      <c r="K189" t="s">
        <v>2524</v>
      </c>
      <c r="L189" s="7" t="s">
        <v>1414</v>
      </c>
      <c r="M189" s="7" t="s">
        <v>1420</v>
      </c>
      <c r="N189" s="14">
        <f>Greenleaf[[#This Row],[Unit Price]]*Greenleaf[[#This Row],[Quantity Sold]]</f>
        <v>45</v>
      </c>
      <c r="O189" s="13">
        <f>Greenleaf[[#This Row],[Unit Cost]]*Greenleaf[[#This Row],[Quantity Sold]]</f>
        <v>11.61</v>
      </c>
      <c r="P189" s="13">
        <f>Greenleaf[[#This Row],[ Unit  price per quantity]]-Greenleaf[[#This Row],[ Unit cost per quantity]]</f>
        <v>33.39</v>
      </c>
      <c r="Q189" s="14">
        <f>Greenleaf[[#This Row],[Quantity Sold]]*Greenleaf[[#This Row],[Unit Price]]</f>
        <v>45</v>
      </c>
    </row>
    <row r="190" spans="1:17" x14ac:dyDescent="0.25">
      <c r="A190" t="s">
        <v>1616</v>
      </c>
      <c r="B190" s="5">
        <v>45355</v>
      </c>
      <c r="C190" s="5" t="str">
        <f>TEXT(Greenleaf[[#This Row],[Order Date]],"MMM")</f>
        <v>Mar</v>
      </c>
      <c r="D190" s="5" t="str">
        <f>TEXT(Greenleaf[[#This Row],[Order Date]],"YYYY")</f>
        <v>2024</v>
      </c>
      <c r="E190" t="s">
        <v>2461</v>
      </c>
      <c r="F190" s="7" t="s">
        <v>1011</v>
      </c>
      <c r="G190" s="9">
        <v>5</v>
      </c>
      <c r="H190" s="11">
        <v>12</v>
      </c>
      <c r="I190" s="13">
        <v>2.98</v>
      </c>
      <c r="J190" t="s">
        <v>1168</v>
      </c>
      <c r="K190" t="s">
        <v>2485</v>
      </c>
      <c r="L190" s="7" t="s">
        <v>1414</v>
      </c>
      <c r="M190" s="7" t="s">
        <v>1424</v>
      </c>
      <c r="N190" s="14">
        <f>Greenleaf[[#This Row],[Unit Price]]*Greenleaf[[#This Row],[Quantity Sold]]</f>
        <v>60</v>
      </c>
      <c r="O190" s="13">
        <f>Greenleaf[[#This Row],[Unit Cost]]*Greenleaf[[#This Row],[Quantity Sold]]</f>
        <v>14.9</v>
      </c>
      <c r="P190" s="13">
        <f>Greenleaf[[#This Row],[ Unit  price per quantity]]-Greenleaf[[#This Row],[ Unit cost per quantity]]</f>
        <v>45.1</v>
      </c>
      <c r="Q190" s="14">
        <f>Greenleaf[[#This Row],[Quantity Sold]]*Greenleaf[[#This Row],[Unit Price]]</f>
        <v>60</v>
      </c>
    </row>
    <row r="191" spans="1:17" x14ac:dyDescent="0.25">
      <c r="A191" t="s">
        <v>1617</v>
      </c>
      <c r="B191" s="5">
        <v>45355</v>
      </c>
      <c r="C191" s="5" t="str">
        <f>TEXT(Greenleaf[[#This Row],[Order Date]],"MMM")</f>
        <v>Mar</v>
      </c>
      <c r="D191" s="5" t="str">
        <f>TEXT(Greenleaf[[#This Row],[Order Date]],"YYYY")</f>
        <v>2024</v>
      </c>
      <c r="E191" t="s">
        <v>2461</v>
      </c>
      <c r="F191" s="7" t="s">
        <v>1011</v>
      </c>
      <c r="G191" s="9">
        <v>1</v>
      </c>
      <c r="H191" s="11">
        <v>12</v>
      </c>
      <c r="I191" s="13">
        <v>3.44</v>
      </c>
      <c r="J191" t="s">
        <v>1211</v>
      </c>
      <c r="K191" t="s">
        <v>2519</v>
      </c>
      <c r="L191" s="7" t="s">
        <v>1416</v>
      </c>
      <c r="M191" s="7" t="s">
        <v>1424</v>
      </c>
      <c r="N191" s="14">
        <f>Greenleaf[[#This Row],[Unit Price]]*Greenleaf[[#This Row],[Quantity Sold]]</f>
        <v>12</v>
      </c>
      <c r="O191" s="13">
        <f>Greenleaf[[#This Row],[Unit Cost]]*Greenleaf[[#This Row],[Quantity Sold]]</f>
        <v>3.44</v>
      </c>
      <c r="P191" s="13">
        <f>Greenleaf[[#This Row],[ Unit  price per quantity]]-Greenleaf[[#This Row],[ Unit cost per quantity]]</f>
        <v>8.56</v>
      </c>
      <c r="Q191" s="14">
        <f>Greenleaf[[#This Row],[Quantity Sold]]*Greenleaf[[#This Row],[Unit Price]]</f>
        <v>12</v>
      </c>
    </row>
    <row r="192" spans="1:17" x14ac:dyDescent="0.25">
      <c r="A192" t="s">
        <v>1618</v>
      </c>
      <c r="B192" s="5">
        <v>45356</v>
      </c>
      <c r="C192" s="5" t="str">
        <f>TEXT(Greenleaf[[#This Row],[Order Date]],"MMM")</f>
        <v>Mar</v>
      </c>
      <c r="D192" s="5" t="str">
        <f>TEXT(Greenleaf[[#This Row],[Order Date]],"YYYY")</f>
        <v>2024</v>
      </c>
      <c r="E192" t="s">
        <v>2463</v>
      </c>
      <c r="F192" s="7" t="s">
        <v>1014</v>
      </c>
      <c r="G192" s="9">
        <v>7</v>
      </c>
      <c r="H192" s="11">
        <v>15</v>
      </c>
      <c r="I192" s="13">
        <v>5.35</v>
      </c>
      <c r="J192" t="s">
        <v>1057</v>
      </c>
      <c r="K192" t="s">
        <v>2528</v>
      </c>
      <c r="L192" s="7" t="s">
        <v>1414</v>
      </c>
      <c r="M192" s="7" t="s">
        <v>1418</v>
      </c>
      <c r="N192" s="14">
        <f>Greenleaf[[#This Row],[Unit Price]]*Greenleaf[[#This Row],[Quantity Sold]]</f>
        <v>105</v>
      </c>
      <c r="O192" s="13">
        <f>Greenleaf[[#This Row],[Unit Cost]]*Greenleaf[[#This Row],[Quantity Sold]]</f>
        <v>37.449999999999996</v>
      </c>
      <c r="P192" s="13">
        <f>Greenleaf[[#This Row],[ Unit  price per quantity]]-Greenleaf[[#This Row],[ Unit cost per quantity]]</f>
        <v>67.550000000000011</v>
      </c>
      <c r="Q192" s="14">
        <f>Greenleaf[[#This Row],[Quantity Sold]]*Greenleaf[[#This Row],[Unit Price]]</f>
        <v>105</v>
      </c>
    </row>
    <row r="193" spans="1:17" x14ac:dyDescent="0.25">
      <c r="A193" t="s">
        <v>1619</v>
      </c>
      <c r="B193" s="5">
        <v>45357</v>
      </c>
      <c r="C193" s="5" t="str">
        <f>TEXT(Greenleaf[[#This Row],[Order Date]],"MMM")</f>
        <v>Mar</v>
      </c>
      <c r="D193" s="5" t="str">
        <f>TEXT(Greenleaf[[#This Row],[Order Date]],"YYYY")</f>
        <v>2024</v>
      </c>
      <c r="E193" t="s">
        <v>2463</v>
      </c>
      <c r="F193" s="7" t="s">
        <v>1014</v>
      </c>
      <c r="G193" s="9">
        <v>7</v>
      </c>
      <c r="H193" s="11">
        <v>15</v>
      </c>
      <c r="I193" s="13">
        <v>5.0999999999999996</v>
      </c>
      <c r="J193" t="s">
        <v>1054</v>
      </c>
      <c r="K193" t="s">
        <v>2552</v>
      </c>
      <c r="L193" s="7" t="s">
        <v>1414</v>
      </c>
      <c r="M193" s="7" t="s">
        <v>1422</v>
      </c>
      <c r="N193" s="14">
        <f>Greenleaf[[#This Row],[Unit Price]]*Greenleaf[[#This Row],[Quantity Sold]]</f>
        <v>105</v>
      </c>
      <c r="O193" s="13">
        <f>Greenleaf[[#This Row],[Unit Cost]]*Greenleaf[[#This Row],[Quantity Sold]]</f>
        <v>35.699999999999996</v>
      </c>
      <c r="P193" s="13">
        <f>Greenleaf[[#This Row],[ Unit  price per quantity]]-Greenleaf[[#This Row],[ Unit cost per quantity]]</f>
        <v>69.300000000000011</v>
      </c>
      <c r="Q193" s="14">
        <f>Greenleaf[[#This Row],[Quantity Sold]]*Greenleaf[[#This Row],[Unit Price]]</f>
        <v>105</v>
      </c>
    </row>
    <row r="194" spans="1:17" x14ac:dyDescent="0.25">
      <c r="A194" t="s">
        <v>1620</v>
      </c>
      <c r="B194" s="5">
        <v>45357</v>
      </c>
      <c r="C194" s="5" t="str">
        <f>TEXT(Greenleaf[[#This Row],[Order Date]],"MMM")</f>
        <v>Mar</v>
      </c>
      <c r="D194" s="5" t="str">
        <f>TEXT(Greenleaf[[#This Row],[Order Date]],"YYYY")</f>
        <v>2024</v>
      </c>
      <c r="E194" t="s">
        <v>2461</v>
      </c>
      <c r="F194" s="7" t="s">
        <v>1011</v>
      </c>
      <c r="G194" s="9">
        <v>2</v>
      </c>
      <c r="H194" s="11">
        <v>12</v>
      </c>
      <c r="I194" s="13">
        <v>4.1100000000000003</v>
      </c>
      <c r="J194" t="s">
        <v>1055</v>
      </c>
      <c r="K194" t="s">
        <v>2553</v>
      </c>
      <c r="L194" s="7" t="s">
        <v>1416</v>
      </c>
      <c r="M194" s="7" t="s">
        <v>1420</v>
      </c>
      <c r="N194" s="14">
        <f>Greenleaf[[#This Row],[Unit Price]]*Greenleaf[[#This Row],[Quantity Sold]]</f>
        <v>24</v>
      </c>
      <c r="O194" s="13">
        <f>Greenleaf[[#This Row],[Unit Cost]]*Greenleaf[[#This Row],[Quantity Sold]]</f>
        <v>8.2200000000000006</v>
      </c>
      <c r="P194" s="13">
        <f>Greenleaf[[#This Row],[ Unit  price per quantity]]-Greenleaf[[#This Row],[ Unit cost per quantity]]</f>
        <v>15.78</v>
      </c>
      <c r="Q194" s="14">
        <f>Greenleaf[[#This Row],[Quantity Sold]]*Greenleaf[[#This Row],[Unit Price]]</f>
        <v>24</v>
      </c>
    </row>
    <row r="195" spans="1:17" x14ac:dyDescent="0.25">
      <c r="A195" t="s">
        <v>1621</v>
      </c>
      <c r="B195" s="5">
        <v>45357</v>
      </c>
      <c r="C195" s="5" t="str">
        <f>TEXT(Greenleaf[[#This Row],[Order Date]],"MMM")</f>
        <v>Mar</v>
      </c>
      <c r="D195" s="5" t="str">
        <f>TEXT(Greenleaf[[#This Row],[Order Date]],"YYYY")</f>
        <v>2024</v>
      </c>
      <c r="E195" t="s">
        <v>2460</v>
      </c>
      <c r="F195" s="7" t="s">
        <v>1015</v>
      </c>
      <c r="G195" s="9">
        <v>3</v>
      </c>
      <c r="H195" s="11">
        <v>10</v>
      </c>
      <c r="I195" s="13">
        <v>3.11</v>
      </c>
      <c r="J195" t="s">
        <v>1128</v>
      </c>
      <c r="K195" t="s">
        <v>2523</v>
      </c>
      <c r="L195" s="7" t="s">
        <v>1414</v>
      </c>
      <c r="M195" s="7" t="s">
        <v>1420</v>
      </c>
      <c r="N195" s="14">
        <f>Greenleaf[[#This Row],[Unit Price]]*Greenleaf[[#This Row],[Quantity Sold]]</f>
        <v>30</v>
      </c>
      <c r="O195" s="13">
        <f>Greenleaf[[#This Row],[Unit Cost]]*Greenleaf[[#This Row],[Quantity Sold]]</f>
        <v>9.33</v>
      </c>
      <c r="P195" s="13">
        <f>Greenleaf[[#This Row],[ Unit  price per quantity]]-Greenleaf[[#This Row],[ Unit cost per quantity]]</f>
        <v>20.67</v>
      </c>
      <c r="Q195" s="14">
        <f>Greenleaf[[#This Row],[Quantity Sold]]*Greenleaf[[#This Row],[Unit Price]]</f>
        <v>30</v>
      </c>
    </row>
    <row r="196" spans="1:17" x14ac:dyDescent="0.25">
      <c r="A196" t="s">
        <v>1622</v>
      </c>
      <c r="B196" s="5">
        <v>45357</v>
      </c>
      <c r="C196" s="5" t="str">
        <f>TEXT(Greenleaf[[#This Row],[Order Date]],"MMM")</f>
        <v>Mar</v>
      </c>
      <c r="D196" s="5" t="str">
        <f>TEXT(Greenleaf[[#This Row],[Order Date]],"YYYY")</f>
        <v>2024</v>
      </c>
      <c r="E196" t="s">
        <v>2460</v>
      </c>
      <c r="F196" s="7" t="s">
        <v>1015</v>
      </c>
      <c r="G196" s="9">
        <v>5</v>
      </c>
      <c r="H196" s="11">
        <v>10</v>
      </c>
      <c r="I196" s="13">
        <v>2.19</v>
      </c>
      <c r="J196" t="s">
        <v>1180</v>
      </c>
      <c r="K196" t="s">
        <v>2554</v>
      </c>
      <c r="L196" s="7" t="s">
        <v>1415</v>
      </c>
      <c r="M196" s="7" t="s">
        <v>1422</v>
      </c>
      <c r="N196" s="14">
        <f>Greenleaf[[#This Row],[Unit Price]]*Greenleaf[[#This Row],[Quantity Sold]]</f>
        <v>50</v>
      </c>
      <c r="O196" s="13">
        <f>Greenleaf[[#This Row],[Unit Cost]]*Greenleaf[[#This Row],[Quantity Sold]]</f>
        <v>10.95</v>
      </c>
      <c r="P196" s="13">
        <f>Greenleaf[[#This Row],[ Unit  price per quantity]]-Greenleaf[[#This Row],[ Unit cost per quantity]]</f>
        <v>39.049999999999997</v>
      </c>
      <c r="Q196" s="14">
        <f>Greenleaf[[#This Row],[Quantity Sold]]*Greenleaf[[#This Row],[Unit Price]]</f>
        <v>50</v>
      </c>
    </row>
    <row r="197" spans="1:17" x14ac:dyDescent="0.25">
      <c r="A197" t="s">
        <v>1623</v>
      </c>
      <c r="B197" s="5">
        <v>45357</v>
      </c>
      <c r="C197" s="5" t="str">
        <f>TEXT(Greenleaf[[#This Row],[Order Date]],"MMM")</f>
        <v>Mar</v>
      </c>
      <c r="D197" s="5" t="str">
        <f>TEXT(Greenleaf[[#This Row],[Order Date]],"YYYY")</f>
        <v>2024</v>
      </c>
      <c r="E197" t="s">
        <v>2461</v>
      </c>
      <c r="F197" s="7" t="s">
        <v>1011</v>
      </c>
      <c r="G197" s="9">
        <v>7</v>
      </c>
      <c r="H197" s="11">
        <v>12</v>
      </c>
      <c r="I197" s="13">
        <v>3.6</v>
      </c>
      <c r="J197" t="s">
        <v>1030</v>
      </c>
      <c r="K197" t="s">
        <v>2496</v>
      </c>
      <c r="L197" s="7" t="s">
        <v>1416</v>
      </c>
      <c r="M197" s="7" t="s">
        <v>1420</v>
      </c>
      <c r="N197" s="14">
        <f>Greenleaf[[#This Row],[Unit Price]]*Greenleaf[[#This Row],[Quantity Sold]]</f>
        <v>84</v>
      </c>
      <c r="O197" s="13">
        <f>Greenleaf[[#This Row],[Unit Cost]]*Greenleaf[[#This Row],[Quantity Sold]]</f>
        <v>25.2</v>
      </c>
      <c r="P197" s="13">
        <f>Greenleaf[[#This Row],[ Unit  price per quantity]]-Greenleaf[[#This Row],[ Unit cost per quantity]]</f>
        <v>58.8</v>
      </c>
      <c r="Q197" s="14">
        <f>Greenleaf[[#This Row],[Quantity Sold]]*Greenleaf[[#This Row],[Unit Price]]</f>
        <v>84</v>
      </c>
    </row>
    <row r="198" spans="1:17" x14ac:dyDescent="0.25">
      <c r="A198" t="s">
        <v>1624</v>
      </c>
      <c r="B198" s="5">
        <v>45357</v>
      </c>
      <c r="C198" s="5" t="str">
        <f>TEXT(Greenleaf[[#This Row],[Order Date]],"MMM")</f>
        <v>Mar</v>
      </c>
      <c r="D198" s="5" t="str">
        <f>TEXT(Greenleaf[[#This Row],[Order Date]],"YYYY")</f>
        <v>2024</v>
      </c>
      <c r="E198" t="s">
        <v>2460</v>
      </c>
      <c r="F198" s="7" t="s">
        <v>1015</v>
      </c>
      <c r="G198" s="9">
        <v>2</v>
      </c>
      <c r="H198" s="11">
        <v>10</v>
      </c>
      <c r="I198" s="13">
        <v>3.92</v>
      </c>
      <c r="J198" t="s">
        <v>1126</v>
      </c>
      <c r="K198" t="s">
        <v>2499</v>
      </c>
      <c r="L198" s="7" t="s">
        <v>1414</v>
      </c>
      <c r="M198" s="7" t="s">
        <v>1427</v>
      </c>
      <c r="N198" s="14">
        <f>Greenleaf[[#This Row],[Unit Price]]*Greenleaf[[#This Row],[Quantity Sold]]</f>
        <v>20</v>
      </c>
      <c r="O198" s="13">
        <f>Greenleaf[[#This Row],[Unit Cost]]*Greenleaf[[#This Row],[Quantity Sold]]</f>
        <v>7.84</v>
      </c>
      <c r="P198" s="13">
        <f>Greenleaf[[#This Row],[ Unit  price per quantity]]-Greenleaf[[#This Row],[ Unit cost per quantity]]</f>
        <v>12.16</v>
      </c>
      <c r="Q198" s="14">
        <f>Greenleaf[[#This Row],[Quantity Sold]]*Greenleaf[[#This Row],[Unit Price]]</f>
        <v>20</v>
      </c>
    </row>
    <row r="199" spans="1:17" x14ac:dyDescent="0.25">
      <c r="A199" t="s">
        <v>1625</v>
      </c>
      <c r="B199" s="5">
        <v>45357</v>
      </c>
      <c r="C199" s="5" t="str">
        <f>TEXT(Greenleaf[[#This Row],[Order Date]],"MMM")</f>
        <v>Mar</v>
      </c>
      <c r="D199" s="5" t="str">
        <f>TEXT(Greenleaf[[#This Row],[Order Date]],"YYYY")</f>
        <v>2024</v>
      </c>
      <c r="E199" t="s">
        <v>2462</v>
      </c>
      <c r="F199" s="7" t="s">
        <v>1013</v>
      </c>
      <c r="G199" s="9">
        <v>10</v>
      </c>
      <c r="H199" s="11">
        <v>25</v>
      </c>
      <c r="I199" s="13">
        <v>6.02</v>
      </c>
      <c r="J199" t="s">
        <v>1193</v>
      </c>
      <c r="K199" t="s">
        <v>2478</v>
      </c>
      <c r="L199" s="7" t="s">
        <v>1417</v>
      </c>
      <c r="M199" s="7" t="s">
        <v>1424</v>
      </c>
      <c r="N199" s="14">
        <f>Greenleaf[[#This Row],[Unit Price]]*Greenleaf[[#This Row],[Quantity Sold]]</f>
        <v>250</v>
      </c>
      <c r="O199" s="13">
        <f>Greenleaf[[#This Row],[Unit Cost]]*Greenleaf[[#This Row],[Quantity Sold]]</f>
        <v>60.199999999999996</v>
      </c>
      <c r="P199" s="13">
        <f>Greenleaf[[#This Row],[ Unit  price per quantity]]-Greenleaf[[#This Row],[ Unit cost per quantity]]</f>
        <v>189.8</v>
      </c>
      <c r="Q199" s="14">
        <f>Greenleaf[[#This Row],[Quantity Sold]]*Greenleaf[[#This Row],[Unit Price]]</f>
        <v>250</v>
      </c>
    </row>
    <row r="200" spans="1:17" x14ac:dyDescent="0.25">
      <c r="A200" t="s">
        <v>1626</v>
      </c>
      <c r="B200" s="5">
        <v>45358</v>
      </c>
      <c r="C200" s="5" t="str">
        <f>TEXT(Greenleaf[[#This Row],[Order Date]],"MMM")</f>
        <v>Mar</v>
      </c>
      <c r="D200" s="5" t="str">
        <f>TEXT(Greenleaf[[#This Row],[Order Date]],"YYYY")</f>
        <v>2024</v>
      </c>
      <c r="E200" t="s">
        <v>2462</v>
      </c>
      <c r="F200" s="7" t="s">
        <v>1013</v>
      </c>
      <c r="G200" s="9">
        <v>2</v>
      </c>
      <c r="H200" s="11">
        <v>25</v>
      </c>
      <c r="I200" s="13">
        <v>5.62</v>
      </c>
      <c r="J200" t="s">
        <v>1028</v>
      </c>
      <c r="K200" t="s">
        <v>2555</v>
      </c>
      <c r="L200" s="7" t="s">
        <v>1416</v>
      </c>
      <c r="M200" s="7" t="s">
        <v>1418</v>
      </c>
      <c r="N200" s="14">
        <f>Greenleaf[[#This Row],[Unit Price]]*Greenleaf[[#This Row],[Quantity Sold]]</f>
        <v>50</v>
      </c>
      <c r="O200" s="13">
        <f>Greenleaf[[#This Row],[Unit Cost]]*Greenleaf[[#This Row],[Quantity Sold]]</f>
        <v>11.24</v>
      </c>
      <c r="P200" s="13">
        <f>Greenleaf[[#This Row],[ Unit  price per quantity]]-Greenleaf[[#This Row],[ Unit cost per quantity]]</f>
        <v>38.76</v>
      </c>
      <c r="Q200" s="14">
        <f>Greenleaf[[#This Row],[Quantity Sold]]*Greenleaf[[#This Row],[Unit Price]]</f>
        <v>50</v>
      </c>
    </row>
    <row r="201" spans="1:17" x14ac:dyDescent="0.25">
      <c r="A201" t="s">
        <v>1627</v>
      </c>
      <c r="B201" s="5">
        <v>45358</v>
      </c>
      <c r="C201" s="5" t="str">
        <f>TEXT(Greenleaf[[#This Row],[Order Date]],"MMM")</f>
        <v>Mar</v>
      </c>
      <c r="D201" s="5" t="str">
        <f>TEXT(Greenleaf[[#This Row],[Order Date]],"YYYY")</f>
        <v>2024</v>
      </c>
      <c r="E201" t="s">
        <v>2461</v>
      </c>
      <c r="F201" s="7" t="s">
        <v>1011</v>
      </c>
      <c r="G201" s="9">
        <v>7</v>
      </c>
      <c r="H201" s="11">
        <v>12</v>
      </c>
      <c r="I201" s="13">
        <v>4.74</v>
      </c>
      <c r="J201" t="s">
        <v>1093</v>
      </c>
      <c r="K201" t="s">
        <v>2527</v>
      </c>
      <c r="L201" s="7" t="s">
        <v>1416</v>
      </c>
      <c r="M201" s="7" t="s">
        <v>1427</v>
      </c>
      <c r="N201" s="14">
        <f>Greenleaf[[#This Row],[Unit Price]]*Greenleaf[[#This Row],[Quantity Sold]]</f>
        <v>84</v>
      </c>
      <c r="O201" s="13">
        <f>Greenleaf[[#This Row],[Unit Cost]]*Greenleaf[[#This Row],[Quantity Sold]]</f>
        <v>33.18</v>
      </c>
      <c r="P201" s="13">
        <f>Greenleaf[[#This Row],[ Unit  price per quantity]]-Greenleaf[[#This Row],[ Unit cost per quantity]]</f>
        <v>50.82</v>
      </c>
      <c r="Q201" s="14">
        <f>Greenleaf[[#This Row],[Quantity Sold]]*Greenleaf[[#This Row],[Unit Price]]</f>
        <v>84</v>
      </c>
    </row>
    <row r="202" spans="1:17" x14ac:dyDescent="0.25">
      <c r="A202" t="s">
        <v>1628</v>
      </c>
      <c r="B202" s="5">
        <v>45359</v>
      </c>
      <c r="C202" s="5" t="str">
        <f>TEXT(Greenleaf[[#This Row],[Order Date]],"MMM")</f>
        <v>Mar</v>
      </c>
      <c r="D202" s="5" t="str">
        <f>TEXT(Greenleaf[[#This Row],[Order Date]],"YYYY")</f>
        <v>2024</v>
      </c>
      <c r="E202" t="s">
        <v>2462</v>
      </c>
      <c r="F202" s="7" t="s">
        <v>1013</v>
      </c>
      <c r="G202" s="9">
        <v>3</v>
      </c>
      <c r="H202" s="11">
        <v>25</v>
      </c>
      <c r="I202" s="13">
        <v>8.43</v>
      </c>
      <c r="J202" t="s">
        <v>1032</v>
      </c>
      <c r="K202" t="s">
        <v>2556</v>
      </c>
      <c r="L202" s="7" t="s">
        <v>1416</v>
      </c>
      <c r="M202" s="7" t="s">
        <v>1423</v>
      </c>
      <c r="N202" s="14">
        <f>Greenleaf[[#This Row],[Unit Price]]*Greenleaf[[#This Row],[Quantity Sold]]</f>
        <v>75</v>
      </c>
      <c r="O202" s="13">
        <f>Greenleaf[[#This Row],[Unit Cost]]*Greenleaf[[#This Row],[Quantity Sold]]</f>
        <v>25.29</v>
      </c>
      <c r="P202" s="13">
        <f>Greenleaf[[#This Row],[ Unit  price per quantity]]-Greenleaf[[#This Row],[ Unit cost per quantity]]</f>
        <v>49.71</v>
      </c>
      <c r="Q202" s="14">
        <f>Greenleaf[[#This Row],[Quantity Sold]]*Greenleaf[[#This Row],[Unit Price]]</f>
        <v>75</v>
      </c>
    </row>
    <row r="203" spans="1:17" x14ac:dyDescent="0.25">
      <c r="A203" t="s">
        <v>1629</v>
      </c>
      <c r="B203" s="5">
        <v>45359</v>
      </c>
      <c r="C203" s="5" t="str">
        <f>TEXT(Greenleaf[[#This Row],[Order Date]],"MMM")</f>
        <v>Mar</v>
      </c>
      <c r="D203" s="5" t="str">
        <f>TEXT(Greenleaf[[#This Row],[Order Date]],"YYYY")</f>
        <v>2024</v>
      </c>
      <c r="E203" t="s">
        <v>2464</v>
      </c>
      <c r="F203" s="7" t="s">
        <v>1012</v>
      </c>
      <c r="G203" s="9">
        <v>10</v>
      </c>
      <c r="H203" s="11">
        <v>40</v>
      </c>
      <c r="I203" s="13">
        <v>14.31</v>
      </c>
      <c r="J203" t="s">
        <v>1094</v>
      </c>
      <c r="K203" t="s">
        <v>2548</v>
      </c>
      <c r="L203" s="7" t="s">
        <v>1414</v>
      </c>
      <c r="M203" s="7" t="s">
        <v>1419</v>
      </c>
      <c r="N203" s="14">
        <f>Greenleaf[[#This Row],[Unit Price]]*Greenleaf[[#This Row],[Quantity Sold]]</f>
        <v>400</v>
      </c>
      <c r="O203" s="13">
        <f>Greenleaf[[#This Row],[Unit Cost]]*Greenleaf[[#This Row],[Quantity Sold]]</f>
        <v>143.1</v>
      </c>
      <c r="P203" s="13">
        <f>Greenleaf[[#This Row],[ Unit  price per quantity]]-Greenleaf[[#This Row],[ Unit cost per quantity]]</f>
        <v>256.89999999999998</v>
      </c>
      <c r="Q203" s="14">
        <f>Greenleaf[[#This Row],[Quantity Sold]]*Greenleaf[[#This Row],[Unit Price]]</f>
        <v>400</v>
      </c>
    </row>
    <row r="204" spans="1:17" x14ac:dyDescent="0.25">
      <c r="A204" t="s">
        <v>1630</v>
      </c>
      <c r="B204" s="5">
        <v>45359</v>
      </c>
      <c r="C204" s="5" t="str">
        <f>TEXT(Greenleaf[[#This Row],[Order Date]],"MMM")</f>
        <v>Mar</v>
      </c>
      <c r="D204" s="5" t="str">
        <f>TEXT(Greenleaf[[#This Row],[Order Date]],"YYYY")</f>
        <v>2024</v>
      </c>
      <c r="E204" t="s">
        <v>2460</v>
      </c>
      <c r="F204" s="7" t="s">
        <v>1015</v>
      </c>
      <c r="G204" s="9">
        <v>9</v>
      </c>
      <c r="H204" s="11">
        <v>10</v>
      </c>
      <c r="I204" s="13">
        <v>2.67</v>
      </c>
      <c r="J204" t="s">
        <v>1097</v>
      </c>
      <c r="K204" t="s">
        <v>2557</v>
      </c>
      <c r="L204" s="7" t="s">
        <v>1416</v>
      </c>
      <c r="M204" s="7" t="s">
        <v>1426</v>
      </c>
      <c r="N204" s="14">
        <f>Greenleaf[[#This Row],[Unit Price]]*Greenleaf[[#This Row],[Quantity Sold]]</f>
        <v>90</v>
      </c>
      <c r="O204" s="13">
        <f>Greenleaf[[#This Row],[Unit Cost]]*Greenleaf[[#This Row],[Quantity Sold]]</f>
        <v>24.03</v>
      </c>
      <c r="P204" s="13">
        <f>Greenleaf[[#This Row],[ Unit  price per quantity]]-Greenleaf[[#This Row],[ Unit cost per quantity]]</f>
        <v>65.97</v>
      </c>
      <c r="Q204" s="14">
        <f>Greenleaf[[#This Row],[Quantity Sold]]*Greenleaf[[#This Row],[Unit Price]]</f>
        <v>90</v>
      </c>
    </row>
    <row r="205" spans="1:17" x14ac:dyDescent="0.25">
      <c r="A205" t="s">
        <v>1631</v>
      </c>
      <c r="B205" s="5">
        <v>45359</v>
      </c>
      <c r="C205" s="5" t="str">
        <f>TEXT(Greenleaf[[#This Row],[Order Date]],"MMM")</f>
        <v>Mar</v>
      </c>
      <c r="D205" s="5" t="str">
        <f>TEXT(Greenleaf[[#This Row],[Order Date]],"YYYY")</f>
        <v>2024</v>
      </c>
      <c r="E205" t="s">
        <v>2461</v>
      </c>
      <c r="F205" s="7" t="s">
        <v>1011</v>
      </c>
      <c r="G205" s="9">
        <v>4</v>
      </c>
      <c r="H205" s="11">
        <v>12</v>
      </c>
      <c r="I205" s="13">
        <v>2.87</v>
      </c>
      <c r="J205" t="s">
        <v>1154</v>
      </c>
      <c r="K205" t="s">
        <v>2490</v>
      </c>
      <c r="L205" s="7" t="s">
        <v>1414</v>
      </c>
      <c r="M205" s="7" t="s">
        <v>1418</v>
      </c>
      <c r="N205" s="14">
        <f>Greenleaf[[#This Row],[Unit Price]]*Greenleaf[[#This Row],[Quantity Sold]]</f>
        <v>48</v>
      </c>
      <c r="O205" s="13">
        <f>Greenleaf[[#This Row],[Unit Cost]]*Greenleaf[[#This Row],[Quantity Sold]]</f>
        <v>11.48</v>
      </c>
      <c r="P205" s="13">
        <f>Greenleaf[[#This Row],[ Unit  price per quantity]]-Greenleaf[[#This Row],[ Unit cost per quantity]]</f>
        <v>36.519999999999996</v>
      </c>
      <c r="Q205" s="14">
        <f>Greenleaf[[#This Row],[Quantity Sold]]*Greenleaf[[#This Row],[Unit Price]]</f>
        <v>48</v>
      </c>
    </row>
    <row r="206" spans="1:17" x14ac:dyDescent="0.25">
      <c r="A206" t="s">
        <v>1632</v>
      </c>
      <c r="B206" s="5">
        <v>45359</v>
      </c>
      <c r="C206" s="5" t="str">
        <f>TEXT(Greenleaf[[#This Row],[Order Date]],"MMM")</f>
        <v>Mar</v>
      </c>
      <c r="D206" s="5" t="str">
        <f>TEXT(Greenleaf[[#This Row],[Order Date]],"YYYY")</f>
        <v>2024</v>
      </c>
      <c r="E206" t="s">
        <v>2462</v>
      </c>
      <c r="F206" s="7" t="s">
        <v>1013</v>
      </c>
      <c r="G206" s="9">
        <v>10</v>
      </c>
      <c r="H206" s="11">
        <v>25</v>
      </c>
      <c r="I206" s="13">
        <v>8.3699999999999992</v>
      </c>
      <c r="J206" t="s">
        <v>1168</v>
      </c>
      <c r="K206" t="s">
        <v>2485</v>
      </c>
      <c r="L206" s="7" t="s">
        <v>1414</v>
      </c>
      <c r="M206" s="7" t="s">
        <v>1421</v>
      </c>
      <c r="N206" s="14">
        <f>Greenleaf[[#This Row],[Unit Price]]*Greenleaf[[#This Row],[Quantity Sold]]</f>
        <v>250</v>
      </c>
      <c r="O206" s="13">
        <f>Greenleaf[[#This Row],[Unit Cost]]*Greenleaf[[#This Row],[Quantity Sold]]</f>
        <v>83.699999999999989</v>
      </c>
      <c r="P206" s="13">
        <f>Greenleaf[[#This Row],[ Unit  price per quantity]]-Greenleaf[[#This Row],[ Unit cost per quantity]]</f>
        <v>166.3</v>
      </c>
      <c r="Q206" s="14">
        <f>Greenleaf[[#This Row],[Quantity Sold]]*Greenleaf[[#This Row],[Unit Price]]</f>
        <v>250</v>
      </c>
    </row>
    <row r="207" spans="1:17" x14ac:dyDescent="0.25">
      <c r="A207" t="s">
        <v>1633</v>
      </c>
      <c r="B207" s="5">
        <v>45359</v>
      </c>
      <c r="C207" s="5" t="str">
        <f>TEXT(Greenleaf[[#This Row],[Order Date]],"MMM")</f>
        <v>Mar</v>
      </c>
      <c r="D207" s="5" t="str">
        <f>TEXT(Greenleaf[[#This Row],[Order Date]],"YYYY")</f>
        <v>2024</v>
      </c>
      <c r="E207" t="s">
        <v>2464</v>
      </c>
      <c r="F207" s="7" t="s">
        <v>1012</v>
      </c>
      <c r="G207" s="9">
        <v>4</v>
      </c>
      <c r="H207" s="11">
        <v>40</v>
      </c>
      <c r="I207" s="13">
        <v>12.92</v>
      </c>
      <c r="J207" t="s">
        <v>1036</v>
      </c>
      <c r="K207" t="s">
        <v>2544</v>
      </c>
      <c r="L207" s="7" t="s">
        <v>1414</v>
      </c>
      <c r="M207" s="7" t="s">
        <v>1423</v>
      </c>
      <c r="N207" s="14">
        <f>Greenleaf[[#This Row],[Unit Price]]*Greenleaf[[#This Row],[Quantity Sold]]</f>
        <v>160</v>
      </c>
      <c r="O207" s="13">
        <f>Greenleaf[[#This Row],[Unit Cost]]*Greenleaf[[#This Row],[Quantity Sold]]</f>
        <v>51.68</v>
      </c>
      <c r="P207" s="13">
        <f>Greenleaf[[#This Row],[ Unit  price per quantity]]-Greenleaf[[#This Row],[ Unit cost per quantity]]</f>
        <v>108.32</v>
      </c>
      <c r="Q207" s="14">
        <f>Greenleaf[[#This Row],[Quantity Sold]]*Greenleaf[[#This Row],[Unit Price]]</f>
        <v>160</v>
      </c>
    </row>
    <row r="208" spans="1:17" x14ac:dyDescent="0.25">
      <c r="A208" t="s">
        <v>1634</v>
      </c>
      <c r="B208" s="5">
        <v>45360</v>
      </c>
      <c r="C208" s="5" t="str">
        <f>TEXT(Greenleaf[[#This Row],[Order Date]],"MMM")</f>
        <v>Mar</v>
      </c>
      <c r="D208" s="5" t="str">
        <f>TEXT(Greenleaf[[#This Row],[Order Date]],"YYYY")</f>
        <v>2024</v>
      </c>
      <c r="E208" t="s">
        <v>2460</v>
      </c>
      <c r="F208" s="7" t="s">
        <v>1015</v>
      </c>
      <c r="G208" s="9">
        <v>6</v>
      </c>
      <c r="H208" s="11">
        <v>10</v>
      </c>
      <c r="I208" s="13">
        <v>3.16</v>
      </c>
      <c r="J208" t="s">
        <v>1143</v>
      </c>
      <c r="K208" t="s">
        <v>2537</v>
      </c>
      <c r="L208" s="7" t="s">
        <v>1414</v>
      </c>
      <c r="M208" s="7" t="s">
        <v>1426</v>
      </c>
      <c r="N208" s="14">
        <f>Greenleaf[[#This Row],[Unit Price]]*Greenleaf[[#This Row],[Quantity Sold]]</f>
        <v>60</v>
      </c>
      <c r="O208" s="13">
        <f>Greenleaf[[#This Row],[Unit Cost]]*Greenleaf[[#This Row],[Quantity Sold]]</f>
        <v>18.96</v>
      </c>
      <c r="P208" s="13">
        <f>Greenleaf[[#This Row],[ Unit  price per quantity]]-Greenleaf[[#This Row],[ Unit cost per quantity]]</f>
        <v>41.04</v>
      </c>
      <c r="Q208" s="14">
        <f>Greenleaf[[#This Row],[Quantity Sold]]*Greenleaf[[#This Row],[Unit Price]]</f>
        <v>60</v>
      </c>
    </row>
    <row r="209" spans="1:17" x14ac:dyDescent="0.25">
      <c r="A209" t="s">
        <v>1635</v>
      </c>
      <c r="B209" s="5">
        <v>45360</v>
      </c>
      <c r="C209" s="5" t="str">
        <f>TEXT(Greenleaf[[#This Row],[Order Date]],"MMM")</f>
        <v>Mar</v>
      </c>
      <c r="D209" s="5" t="str">
        <f>TEXT(Greenleaf[[#This Row],[Order Date]],"YYYY")</f>
        <v>2024</v>
      </c>
      <c r="E209" t="s">
        <v>2460</v>
      </c>
      <c r="F209" s="7" t="s">
        <v>1015</v>
      </c>
      <c r="G209" s="9">
        <v>9</v>
      </c>
      <c r="H209" s="11">
        <v>10</v>
      </c>
      <c r="I209" s="13">
        <v>2.2999999999999998</v>
      </c>
      <c r="J209" t="s">
        <v>1108</v>
      </c>
      <c r="K209" t="s">
        <v>2549</v>
      </c>
      <c r="L209" s="7" t="s">
        <v>1414</v>
      </c>
      <c r="M209" s="7" t="s">
        <v>1418</v>
      </c>
      <c r="N209" s="14">
        <f>Greenleaf[[#This Row],[Unit Price]]*Greenleaf[[#This Row],[Quantity Sold]]</f>
        <v>90</v>
      </c>
      <c r="O209" s="13">
        <f>Greenleaf[[#This Row],[Unit Cost]]*Greenleaf[[#This Row],[Quantity Sold]]</f>
        <v>20.7</v>
      </c>
      <c r="P209" s="13">
        <f>Greenleaf[[#This Row],[ Unit  price per quantity]]-Greenleaf[[#This Row],[ Unit cost per quantity]]</f>
        <v>69.3</v>
      </c>
      <c r="Q209" s="14">
        <f>Greenleaf[[#This Row],[Quantity Sold]]*Greenleaf[[#This Row],[Unit Price]]</f>
        <v>90</v>
      </c>
    </row>
    <row r="210" spans="1:17" x14ac:dyDescent="0.25">
      <c r="A210" t="s">
        <v>1636</v>
      </c>
      <c r="B210" s="5">
        <v>45360</v>
      </c>
      <c r="C210" s="5" t="str">
        <f>TEXT(Greenleaf[[#This Row],[Order Date]],"MMM")</f>
        <v>Mar</v>
      </c>
      <c r="D210" s="5" t="str">
        <f>TEXT(Greenleaf[[#This Row],[Order Date]],"YYYY")</f>
        <v>2024</v>
      </c>
      <c r="E210" t="s">
        <v>2462</v>
      </c>
      <c r="F210" s="7" t="s">
        <v>1013</v>
      </c>
      <c r="G210" s="9">
        <v>1</v>
      </c>
      <c r="H210" s="11">
        <v>25</v>
      </c>
      <c r="I210" s="13">
        <v>8.83</v>
      </c>
      <c r="J210" t="s">
        <v>1031</v>
      </c>
      <c r="K210" t="s">
        <v>2491</v>
      </c>
      <c r="L210" s="7" t="s">
        <v>1414</v>
      </c>
      <c r="M210" s="7" t="s">
        <v>1423</v>
      </c>
      <c r="N210" s="14">
        <f>Greenleaf[[#This Row],[Unit Price]]*Greenleaf[[#This Row],[Quantity Sold]]</f>
        <v>25</v>
      </c>
      <c r="O210" s="13">
        <f>Greenleaf[[#This Row],[Unit Cost]]*Greenleaf[[#This Row],[Quantity Sold]]</f>
        <v>8.83</v>
      </c>
      <c r="P210" s="13">
        <f>Greenleaf[[#This Row],[ Unit  price per quantity]]-Greenleaf[[#This Row],[ Unit cost per quantity]]</f>
        <v>16.170000000000002</v>
      </c>
      <c r="Q210" s="14">
        <f>Greenleaf[[#This Row],[Quantity Sold]]*Greenleaf[[#This Row],[Unit Price]]</f>
        <v>25</v>
      </c>
    </row>
    <row r="211" spans="1:17" x14ac:dyDescent="0.25">
      <c r="A211" t="s">
        <v>1637</v>
      </c>
      <c r="B211" s="5">
        <v>45361</v>
      </c>
      <c r="C211" s="5" t="str">
        <f>TEXT(Greenleaf[[#This Row],[Order Date]],"MMM")</f>
        <v>Mar</v>
      </c>
      <c r="D211" s="5" t="str">
        <f>TEXT(Greenleaf[[#This Row],[Order Date]],"YYYY")</f>
        <v>2024</v>
      </c>
      <c r="E211" t="s">
        <v>2463</v>
      </c>
      <c r="F211" s="7" t="s">
        <v>1014</v>
      </c>
      <c r="G211" s="9">
        <v>9</v>
      </c>
      <c r="H211" s="11">
        <v>15</v>
      </c>
      <c r="I211" s="13">
        <v>5.95</v>
      </c>
      <c r="J211" t="s">
        <v>1080</v>
      </c>
      <c r="K211" t="s">
        <v>2470</v>
      </c>
      <c r="L211" s="7" t="s">
        <v>1416</v>
      </c>
      <c r="M211" s="7" t="s">
        <v>1418</v>
      </c>
      <c r="N211" s="14">
        <f>Greenleaf[[#This Row],[Unit Price]]*Greenleaf[[#This Row],[Quantity Sold]]</f>
        <v>135</v>
      </c>
      <c r="O211" s="13">
        <f>Greenleaf[[#This Row],[Unit Cost]]*Greenleaf[[#This Row],[Quantity Sold]]</f>
        <v>53.550000000000004</v>
      </c>
      <c r="P211" s="13">
        <f>Greenleaf[[#This Row],[ Unit  price per quantity]]-Greenleaf[[#This Row],[ Unit cost per quantity]]</f>
        <v>81.449999999999989</v>
      </c>
      <c r="Q211" s="14">
        <f>Greenleaf[[#This Row],[Quantity Sold]]*Greenleaf[[#This Row],[Unit Price]]</f>
        <v>135</v>
      </c>
    </row>
    <row r="212" spans="1:17" x14ac:dyDescent="0.25">
      <c r="A212" t="s">
        <v>1638</v>
      </c>
      <c r="B212" s="5">
        <v>45361</v>
      </c>
      <c r="C212" s="5" t="str">
        <f>TEXT(Greenleaf[[#This Row],[Order Date]],"MMM")</f>
        <v>Mar</v>
      </c>
      <c r="D212" s="5" t="str">
        <f>TEXT(Greenleaf[[#This Row],[Order Date]],"YYYY")</f>
        <v>2024</v>
      </c>
      <c r="E212" t="s">
        <v>2464</v>
      </c>
      <c r="F212" s="7" t="s">
        <v>1012</v>
      </c>
      <c r="G212" s="9">
        <v>2</v>
      </c>
      <c r="H212" s="11">
        <v>40</v>
      </c>
      <c r="I212" s="13">
        <v>12.52</v>
      </c>
      <c r="J212" t="s">
        <v>1042</v>
      </c>
      <c r="K212" t="s">
        <v>2544</v>
      </c>
      <c r="L212" s="7" t="s">
        <v>1414</v>
      </c>
      <c r="M212" s="7" t="s">
        <v>1425</v>
      </c>
      <c r="N212" s="14">
        <f>Greenleaf[[#This Row],[Unit Price]]*Greenleaf[[#This Row],[Quantity Sold]]</f>
        <v>80</v>
      </c>
      <c r="O212" s="13">
        <f>Greenleaf[[#This Row],[Unit Cost]]*Greenleaf[[#This Row],[Quantity Sold]]</f>
        <v>25.04</v>
      </c>
      <c r="P212" s="13">
        <f>Greenleaf[[#This Row],[ Unit  price per quantity]]-Greenleaf[[#This Row],[ Unit cost per quantity]]</f>
        <v>54.96</v>
      </c>
      <c r="Q212" s="14">
        <f>Greenleaf[[#This Row],[Quantity Sold]]*Greenleaf[[#This Row],[Unit Price]]</f>
        <v>80</v>
      </c>
    </row>
    <row r="213" spans="1:17" x14ac:dyDescent="0.25">
      <c r="A213" t="s">
        <v>1639</v>
      </c>
      <c r="B213" s="5">
        <v>45361</v>
      </c>
      <c r="C213" s="5" t="str">
        <f>TEXT(Greenleaf[[#This Row],[Order Date]],"MMM")</f>
        <v>Mar</v>
      </c>
      <c r="D213" s="5" t="str">
        <f>TEXT(Greenleaf[[#This Row],[Order Date]],"YYYY")</f>
        <v>2024</v>
      </c>
      <c r="E213" t="s">
        <v>2464</v>
      </c>
      <c r="F213" s="7" t="s">
        <v>1012</v>
      </c>
      <c r="G213" s="9">
        <v>8</v>
      </c>
      <c r="H213" s="11">
        <v>40</v>
      </c>
      <c r="I213" s="13">
        <v>12.66</v>
      </c>
      <c r="J213" t="s">
        <v>1183</v>
      </c>
      <c r="K213" t="s">
        <v>2501</v>
      </c>
      <c r="L213" s="7" t="s">
        <v>1414</v>
      </c>
      <c r="M213" s="7" t="s">
        <v>1420</v>
      </c>
      <c r="N213" s="14">
        <f>Greenleaf[[#This Row],[Unit Price]]*Greenleaf[[#This Row],[Quantity Sold]]</f>
        <v>320</v>
      </c>
      <c r="O213" s="13">
        <f>Greenleaf[[#This Row],[Unit Cost]]*Greenleaf[[#This Row],[Quantity Sold]]</f>
        <v>101.28</v>
      </c>
      <c r="P213" s="13">
        <f>Greenleaf[[#This Row],[ Unit  price per quantity]]-Greenleaf[[#This Row],[ Unit cost per quantity]]</f>
        <v>218.72</v>
      </c>
      <c r="Q213" s="14">
        <f>Greenleaf[[#This Row],[Quantity Sold]]*Greenleaf[[#This Row],[Unit Price]]</f>
        <v>320</v>
      </c>
    </row>
    <row r="214" spans="1:17" x14ac:dyDescent="0.25">
      <c r="A214" t="s">
        <v>1640</v>
      </c>
      <c r="B214" s="5">
        <v>45361</v>
      </c>
      <c r="C214" s="5" t="str">
        <f>TEXT(Greenleaf[[#This Row],[Order Date]],"MMM")</f>
        <v>Mar</v>
      </c>
      <c r="D214" s="5" t="str">
        <f>TEXT(Greenleaf[[#This Row],[Order Date]],"YYYY")</f>
        <v>2024</v>
      </c>
      <c r="E214" t="s">
        <v>2462</v>
      </c>
      <c r="F214" s="7" t="s">
        <v>1013</v>
      </c>
      <c r="G214" s="9">
        <v>7</v>
      </c>
      <c r="H214" s="11">
        <v>25</v>
      </c>
      <c r="I214" s="13">
        <v>7.98</v>
      </c>
      <c r="J214" t="s">
        <v>1053</v>
      </c>
      <c r="K214" t="s">
        <v>2558</v>
      </c>
      <c r="L214" s="7" t="s">
        <v>1417</v>
      </c>
      <c r="M214" s="7" t="s">
        <v>1423</v>
      </c>
      <c r="N214" s="14">
        <f>Greenleaf[[#This Row],[Unit Price]]*Greenleaf[[#This Row],[Quantity Sold]]</f>
        <v>175</v>
      </c>
      <c r="O214" s="13">
        <f>Greenleaf[[#This Row],[Unit Cost]]*Greenleaf[[#This Row],[Quantity Sold]]</f>
        <v>55.86</v>
      </c>
      <c r="P214" s="13">
        <f>Greenleaf[[#This Row],[ Unit  price per quantity]]-Greenleaf[[#This Row],[ Unit cost per quantity]]</f>
        <v>119.14</v>
      </c>
      <c r="Q214" s="14">
        <f>Greenleaf[[#This Row],[Quantity Sold]]*Greenleaf[[#This Row],[Unit Price]]</f>
        <v>175</v>
      </c>
    </row>
    <row r="215" spans="1:17" x14ac:dyDescent="0.25">
      <c r="A215" t="s">
        <v>1641</v>
      </c>
      <c r="B215" s="5">
        <v>45361</v>
      </c>
      <c r="C215" s="5" t="str">
        <f>TEXT(Greenleaf[[#This Row],[Order Date]],"MMM")</f>
        <v>Mar</v>
      </c>
      <c r="D215" s="5" t="str">
        <f>TEXT(Greenleaf[[#This Row],[Order Date]],"YYYY")</f>
        <v>2024</v>
      </c>
      <c r="E215" t="s">
        <v>2464</v>
      </c>
      <c r="F215" s="7" t="s">
        <v>1012</v>
      </c>
      <c r="G215" s="9">
        <v>7</v>
      </c>
      <c r="H215" s="11">
        <v>40</v>
      </c>
      <c r="I215" s="13">
        <v>8.81</v>
      </c>
      <c r="J215" t="s">
        <v>1143</v>
      </c>
      <c r="K215" t="s">
        <v>2537</v>
      </c>
      <c r="L215" s="7" t="s">
        <v>1414</v>
      </c>
      <c r="M215" s="7" t="s">
        <v>1418</v>
      </c>
      <c r="N215" s="14">
        <f>Greenleaf[[#This Row],[Unit Price]]*Greenleaf[[#This Row],[Quantity Sold]]</f>
        <v>280</v>
      </c>
      <c r="O215" s="13">
        <f>Greenleaf[[#This Row],[Unit Cost]]*Greenleaf[[#This Row],[Quantity Sold]]</f>
        <v>61.67</v>
      </c>
      <c r="P215" s="13">
        <f>Greenleaf[[#This Row],[ Unit  price per quantity]]-Greenleaf[[#This Row],[ Unit cost per quantity]]</f>
        <v>218.32999999999998</v>
      </c>
      <c r="Q215" s="14">
        <f>Greenleaf[[#This Row],[Quantity Sold]]*Greenleaf[[#This Row],[Unit Price]]</f>
        <v>280</v>
      </c>
    </row>
    <row r="216" spans="1:17" x14ac:dyDescent="0.25">
      <c r="A216" t="s">
        <v>1642</v>
      </c>
      <c r="B216" s="5">
        <v>45361</v>
      </c>
      <c r="C216" s="5" t="str">
        <f>TEXT(Greenleaf[[#This Row],[Order Date]],"MMM")</f>
        <v>Mar</v>
      </c>
      <c r="D216" s="5" t="str">
        <f>TEXT(Greenleaf[[#This Row],[Order Date]],"YYYY")</f>
        <v>2024</v>
      </c>
      <c r="E216" t="s">
        <v>2463</v>
      </c>
      <c r="F216" s="7" t="s">
        <v>1014</v>
      </c>
      <c r="G216" s="9">
        <v>5</v>
      </c>
      <c r="H216" s="11">
        <v>15</v>
      </c>
      <c r="I216" s="13">
        <v>5.82</v>
      </c>
      <c r="J216" t="s">
        <v>1200</v>
      </c>
      <c r="K216" t="s">
        <v>2559</v>
      </c>
      <c r="L216" s="7" t="s">
        <v>1414</v>
      </c>
      <c r="M216" s="7" t="s">
        <v>1425</v>
      </c>
      <c r="N216" s="14">
        <f>Greenleaf[[#This Row],[Unit Price]]*Greenleaf[[#This Row],[Quantity Sold]]</f>
        <v>75</v>
      </c>
      <c r="O216" s="13">
        <f>Greenleaf[[#This Row],[Unit Cost]]*Greenleaf[[#This Row],[Quantity Sold]]</f>
        <v>29.1</v>
      </c>
      <c r="P216" s="13">
        <f>Greenleaf[[#This Row],[ Unit  price per quantity]]-Greenleaf[[#This Row],[ Unit cost per quantity]]</f>
        <v>45.9</v>
      </c>
      <c r="Q216" s="14">
        <f>Greenleaf[[#This Row],[Quantity Sold]]*Greenleaf[[#This Row],[Unit Price]]</f>
        <v>75</v>
      </c>
    </row>
    <row r="217" spans="1:17" x14ac:dyDescent="0.25">
      <c r="A217" t="s">
        <v>1643</v>
      </c>
      <c r="B217" s="5">
        <v>45362</v>
      </c>
      <c r="C217" s="5" t="str">
        <f>TEXT(Greenleaf[[#This Row],[Order Date]],"MMM")</f>
        <v>Mar</v>
      </c>
      <c r="D217" s="5" t="str">
        <f>TEXT(Greenleaf[[#This Row],[Order Date]],"YYYY")</f>
        <v>2024</v>
      </c>
      <c r="E217" t="s">
        <v>2460</v>
      </c>
      <c r="F217" s="7" t="s">
        <v>1015</v>
      </c>
      <c r="G217" s="9">
        <v>8</v>
      </c>
      <c r="H217" s="11">
        <v>10</v>
      </c>
      <c r="I217" s="13">
        <v>2.13</v>
      </c>
      <c r="J217" t="s">
        <v>1109</v>
      </c>
      <c r="K217" t="s">
        <v>2560</v>
      </c>
      <c r="L217" s="7" t="s">
        <v>1415</v>
      </c>
      <c r="M217" s="7" t="s">
        <v>1419</v>
      </c>
      <c r="N217" s="14">
        <f>Greenleaf[[#This Row],[Unit Price]]*Greenleaf[[#This Row],[Quantity Sold]]</f>
        <v>80</v>
      </c>
      <c r="O217" s="13">
        <f>Greenleaf[[#This Row],[Unit Cost]]*Greenleaf[[#This Row],[Quantity Sold]]</f>
        <v>17.04</v>
      </c>
      <c r="P217" s="13">
        <f>Greenleaf[[#This Row],[ Unit  price per quantity]]-Greenleaf[[#This Row],[ Unit cost per quantity]]</f>
        <v>62.96</v>
      </c>
      <c r="Q217" s="14">
        <f>Greenleaf[[#This Row],[Quantity Sold]]*Greenleaf[[#This Row],[Unit Price]]</f>
        <v>80</v>
      </c>
    </row>
    <row r="218" spans="1:17" x14ac:dyDescent="0.25">
      <c r="A218" t="s">
        <v>1644</v>
      </c>
      <c r="B218" s="5">
        <v>45362</v>
      </c>
      <c r="C218" s="5" t="str">
        <f>TEXT(Greenleaf[[#This Row],[Order Date]],"MMM")</f>
        <v>Mar</v>
      </c>
      <c r="D218" s="5" t="str">
        <f>TEXT(Greenleaf[[#This Row],[Order Date]],"YYYY")</f>
        <v>2024</v>
      </c>
      <c r="E218" t="s">
        <v>2461</v>
      </c>
      <c r="F218" s="7" t="s">
        <v>1011</v>
      </c>
      <c r="G218" s="9">
        <v>2</v>
      </c>
      <c r="H218" s="11">
        <v>12</v>
      </c>
      <c r="I218" s="13">
        <v>3.59</v>
      </c>
      <c r="J218" t="s">
        <v>1027</v>
      </c>
      <c r="K218" t="s">
        <v>2561</v>
      </c>
      <c r="L218" s="7" t="s">
        <v>1415</v>
      </c>
      <c r="M218" s="7" t="s">
        <v>1419</v>
      </c>
      <c r="N218" s="14">
        <f>Greenleaf[[#This Row],[Unit Price]]*Greenleaf[[#This Row],[Quantity Sold]]</f>
        <v>24</v>
      </c>
      <c r="O218" s="13">
        <f>Greenleaf[[#This Row],[Unit Cost]]*Greenleaf[[#This Row],[Quantity Sold]]</f>
        <v>7.18</v>
      </c>
      <c r="P218" s="13">
        <f>Greenleaf[[#This Row],[ Unit  price per quantity]]-Greenleaf[[#This Row],[ Unit cost per quantity]]</f>
        <v>16.82</v>
      </c>
      <c r="Q218" s="14">
        <f>Greenleaf[[#This Row],[Quantity Sold]]*Greenleaf[[#This Row],[Unit Price]]</f>
        <v>24</v>
      </c>
    </row>
    <row r="219" spans="1:17" x14ac:dyDescent="0.25">
      <c r="A219" t="s">
        <v>1645</v>
      </c>
      <c r="B219" s="5">
        <v>45362</v>
      </c>
      <c r="C219" s="5" t="str">
        <f>TEXT(Greenleaf[[#This Row],[Order Date]],"MMM")</f>
        <v>Mar</v>
      </c>
      <c r="D219" s="5" t="str">
        <f>TEXT(Greenleaf[[#This Row],[Order Date]],"YYYY")</f>
        <v>2024</v>
      </c>
      <c r="E219" t="s">
        <v>2460</v>
      </c>
      <c r="F219" s="7" t="s">
        <v>1015</v>
      </c>
      <c r="G219" s="9">
        <v>5</v>
      </c>
      <c r="H219" s="11">
        <v>10</v>
      </c>
      <c r="I219" s="13">
        <v>2.5099999999999998</v>
      </c>
      <c r="J219" t="s">
        <v>1046</v>
      </c>
      <c r="K219" t="s">
        <v>2500</v>
      </c>
      <c r="L219" s="7" t="s">
        <v>1416</v>
      </c>
      <c r="M219" s="7" t="s">
        <v>1421</v>
      </c>
      <c r="N219" s="14">
        <f>Greenleaf[[#This Row],[Unit Price]]*Greenleaf[[#This Row],[Quantity Sold]]</f>
        <v>50</v>
      </c>
      <c r="O219" s="13">
        <f>Greenleaf[[#This Row],[Unit Cost]]*Greenleaf[[#This Row],[Quantity Sold]]</f>
        <v>12.549999999999999</v>
      </c>
      <c r="P219" s="13">
        <f>Greenleaf[[#This Row],[ Unit  price per quantity]]-Greenleaf[[#This Row],[ Unit cost per quantity]]</f>
        <v>37.450000000000003</v>
      </c>
      <c r="Q219" s="14">
        <f>Greenleaf[[#This Row],[Quantity Sold]]*Greenleaf[[#This Row],[Unit Price]]</f>
        <v>50</v>
      </c>
    </row>
    <row r="220" spans="1:17" x14ac:dyDescent="0.25">
      <c r="A220" t="s">
        <v>1646</v>
      </c>
      <c r="B220" s="5">
        <v>45363</v>
      </c>
      <c r="C220" s="5" t="str">
        <f>TEXT(Greenleaf[[#This Row],[Order Date]],"MMM")</f>
        <v>Mar</v>
      </c>
      <c r="D220" s="5" t="str">
        <f>TEXT(Greenleaf[[#This Row],[Order Date]],"YYYY")</f>
        <v>2024</v>
      </c>
      <c r="E220" t="s">
        <v>2462</v>
      </c>
      <c r="F220" s="7" t="s">
        <v>1013</v>
      </c>
      <c r="G220" s="9">
        <v>4</v>
      </c>
      <c r="H220" s="11">
        <v>25</v>
      </c>
      <c r="I220" s="13">
        <v>8.09</v>
      </c>
      <c r="J220" t="s">
        <v>1081</v>
      </c>
      <c r="K220" t="s">
        <v>2541</v>
      </c>
      <c r="L220" s="7" t="s">
        <v>1417</v>
      </c>
      <c r="M220" s="7" t="s">
        <v>1423</v>
      </c>
      <c r="N220" s="14">
        <f>Greenleaf[[#This Row],[Unit Price]]*Greenleaf[[#This Row],[Quantity Sold]]</f>
        <v>100</v>
      </c>
      <c r="O220" s="13">
        <f>Greenleaf[[#This Row],[Unit Cost]]*Greenleaf[[#This Row],[Quantity Sold]]</f>
        <v>32.36</v>
      </c>
      <c r="P220" s="13">
        <f>Greenleaf[[#This Row],[ Unit  price per quantity]]-Greenleaf[[#This Row],[ Unit cost per quantity]]</f>
        <v>67.64</v>
      </c>
      <c r="Q220" s="14">
        <f>Greenleaf[[#This Row],[Quantity Sold]]*Greenleaf[[#This Row],[Unit Price]]</f>
        <v>100</v>
      </c>
    </row>
    <row r="221" spans="1:17" x14ac:dyDescent="0.25">
      <c r="A221" t="s">
        <v>1647</v>
      </c>
      <c r="B221" s="5">
        <v>45364</v>
      </c>
      <c r="C221" s="5" t="str">
        <f>TEXT(Greenleaf[[#This Row],[Order Date]],"MMM")</f>
        <v>Mar</v>
      </c>
      <c r="D221" s="5" t="str">
        <f>TEXT(Greenleaf[[#This Row],[Order Date]],"YYYY")</f>
        <v>2024</v>
      </c>
      <c r="E221" t="s">
        <v>2461</v>
      </c>
      <c r="F221" s="7" t="s">
        <v>1011</v>
      </c>
      <c r="G221" s="9">
        <v>10</v>
      </c>
      <c r="H221" s="11">
        <v>12</v>
      </c>
      <c r="I221" s="13">
        <v>2.69</v>
      </c>
      <c r="J221" t="s">
        <v>1019</v>
      </c>
      <c r="K221" t="s">
        <v>2550</v>
      </c>
      <c r="L221" s="7" t="s">
        <v>1415</v>
      </c>
      <c r="M221" s="7" t="s">
        <v>1424</v>
      </c>
      <c r="N221" s="14">
        <f>Greenleaf[[#This Row],[Unit Price]]*Greenleaf[[#This Row],[Quantity Sold]]</f>
        <v>120</v>
      </c>
      <c r="O221" s="13">
        <f>Greenleaf[[#This Row],[Unit Cost]]*Greenleaf[[#This Row],[Quantity Sold]]</f>
        <v>26.9</v>
      </c>
      <c r="P221" s="13">
        <f>Greenleaf[[#This Row],[ Unit  price per quantity]]-Greenleaf[[#This Row],[ Unit cost per quantity]]</f>
        <v>93.1</v>
      </c>
      <c r="Q221" s="14">
        <f>Greenleaf[[#This Row],[Quantity Sold]]*Greenleaf[[#This Row],[Unit Price]]</f>
        <v>120</v>
      </c>
    </row>
    <row r="222" spans="1:17" x14ac:dyDescent="0.25">
      <c r="A222" t="s">
        <v>1648</v>
      </c>
      <c r="B222" s="5">
        <v>45365</v>
      </c>
      <c r="C222" s="5" t="str">
        <f>TEXT(Greenleaf[[#This Row],[Order Date]],"MMM")</f>
        <v>Mar</v>
      </c>
      <c r="D222" s="5" t="str">
        <f>TEXT(Greenleaf[[#This Row],[Order Date]],"YYYY")</f>
        <v>2024</v>
      </c>
      <c r="E222" t="s">
        <v>2461</v>
      </c>
      <c r="F222" s="7" t="s">
        <v>1011</v>
      </c>
      <c r="G222" s="9">
        <v>1</v>
      </c>
      <c r="H222" s="11">
        <v>12</v>
      </c>
      <c r="I222" s="13">
        <v>4.71</v>
      </c>
      <c r="J222" t="s">
        <v>1113</v>
      </c>
      <c r="K222" t="s">
        <v>2540</v>
      </c>
      <c r="L222" s="7" t="s">
        <v>1416</v>
      </c>
      <c r="M222" s="7" t="s">
        <v>1426</v>
      </c>
      <c r="N222" s="14">
        <f>Greenleaf[[#This Row],[Unit Price]]*Greenleaf[[#This Row],[Quantity Sold]]</f>
        <v>12</v>
      </c>
      <c r="O222" s="13">
        <f>Greenleaf[[#This Row],[Unit Cost]]*Greenleaf[[#This Row],[Quantity Sold]]</f>
        <v>4.71</v>
      </c>
      <c r="P222" s="13">
        <f>Greenleaf[[#This Row],[ Unit  price per quantity]]-Greenleaf[[#This Row],[ Unit cost per quantity]]</f>
        <v>7.29</v>
      </c>
      <c r="Q222" s="14">
        <f>Greenleaf[[#This Row],[Quantity Sold]]*Greenleaf[[#This Row],[Unit Price]]</f>
        <v>12</v>
      </c>
    </row>
    <row r="223" spans="1:17" x14ac:dyDescent="0.25">
      <c r="A223" t="s">
        <v>1649</v>
      </c>
      <c r="B223" s="5">
        <v>45366</v>
      </c>
      <c r="C223" s="5" t="str">
        <f>TEXT(Greenleaf[[#This Row],[Order Date]],"MMM")</f>
        <v>Mar</v>
      </c>
      <c r="D223" s="5" t="str">
        <f>TEXT(Greenleaf[[#This Row],[Order Date]],"YYYY")</f>
        <v>2024</v>
      </c>
      <c r="E223" t="s">
        <v>2460</v>
      </c>
      <c r="F223" s="7" t="s">
        <v>1015</v>
      </c>
      <c r="G223" s="9">
        <v>5</v>
      </c>
      <c r="H223" s="11">
        <v>10</v>
      </c>
      <c r="I223" s="13">
        <v>3.65</v>
      </c>
      <c r="J223" t="s">
        <v>1109</v>
      </c>
      <c r="K223" t="s">
        <v>2560</v>
      </c>
      <c r="L223" s="7" t="s">
        <v>1414</v>
      </c>
      <c r="M223" s="7" t="s">
        <v>1422</v>
      </c>
      <c r="N223" s="14">
        <f>Greenleaf[[#This Row],[Unit Price]]*Greenleaf[[#This Row],[Quantity Sold]]</f>
        <v>50</v>
      </c>
      <c r="O223" s="13">
        <f>Greenleaf[[#This Row],[Unit Cost]]*Greenleaf[[#This Row],[Quantity Sold]]</f>
        <v>18.25</v>
      </c>
      <c r="P223" s="13">
        <f>Greenleaf[[#This Row],[ Unit  price per quantity]]-Greenleaf[[#This Row],[ Unit cost per quantity]]</f>
        <v>31.75</v>
      </c>
      <c r="Q223" s="14">
        <f>Greenleaf[[#This Row],[Quantity Sold]]*Greenleaf[[#This Row],[Unit Price]]</f>
        <v>50</v>
      </c>
    </row>
    <row r="224" spans="1:17" x14ac:dyDescent="0.25">
      <c r="A224" t="s">
        <v>1650</v>
      </c>
      <c r="B224" s="5">
        <v>45366</v>
      </c>
      <c r="C224" s="5" t="str">
        <f>TEXT(Greenleaf[[#This Row],[Order Date]],"MMM")</f>
        <v>Mar</v>
      </c>
      <c r="D224" s="5" t="str">
        <f>TEXT(Greenleaf[[#This Row],[Order Date]],"YYYY")</f>
        <v>2024</v>
      </c>
      <c r="E224" t="s">
        <v>2460</v>
      </c>
      <c r="F224" s="7" t="s">
        <v>1015</v>
      </c>
      <c r="G224" s="9">
        <v>9</v>
      </c>
      <c r="H224" s="11">
        <v>10</v>
      </c>
      <c r="I224" s="13">
        <v>2.21</v>
      </c>
      <c r="J224" t="s">
        <v>1036</v>
      </c>
      <c r="K224" t="s">
        <v>2544</v>
      </c>
      <c r="L224" s="7" t="s">
        <v>1414</v>
      </c>
      <c r="M224" s="7" t="s">
        <v>1420</v>
      </c>
      <c r="N224" s="14">
        <f>Greenleaf[[#This Row],[Unit Price]]*Greenleaf[[#This Row],[Quantity Sold]]</f>
        <v>90</v>
      </c>
      <c r="O224" s="13">
        <f>Greenleaf[[#This Row],[Unit Cost]]*Greenleaf[[#This Row],[Quantity Sold]]</f>
        <v>19.89</v>
      </c>
      <c r="P224" s="13">
        <f>Greenleaf[[#This Row],[ Unit  price per quantity]]-Greenleaf[[#This Row],[ Unit cost per quantity]]</f>
        <v>70.11</v>
      </c>
      <c r="Q224" s="14">
        <f>Greenleaf[[#This Row],[Quantity Sold]]*Greenleaf[[#This Row],[Unit Price]]</f>
        <v>90</v>
      </c>
    </row>
    <row r="225" spans="1:17" x14ac:dyDescent="0.25">
      <c r="A225" t="s">
        <v>1651</v>
      </c>
      <c r="B225" s="5">
        <v>45366</v>
      </c>
      <c r="C225" s="5" t="str">
        <f>TEXT(Greenleaf[[#This Row],[Order Date]],"MMM")</f>
        <v>Mar</v>
      </c>
      <c r="D225" s="5" t="str">
        <f>TEXT(Greenleaf[[#This Row],[Order Date]],"YYYY")</f>
        <v>2024</v>
      </c>
      <c r="E225" t="s">
        <v>2460</v>
      </c>
      <c r="F225" s="7" t="s">
        <v>1015</v>
      </c>
      <c r="G225" s="9">
        <v>3</v>
      </c>
      <c r="H225" s="11">
        <v>10</v>
      </c>
      <c r="I225" s="13">
        <v>2.73</v>
      </c>
      <c r="J225" t="s">
        <v>1073</v>
      </c>
      <c r="K225" t="s">
        <v>2562</v>
      </c>
      <c r="L225" s="7" t="s">
        <v>1414</v>
      </c>
      <c r="M225" s="7" t="s">
        <v>1427</v>
      </c>
      <c r="N225" s="14">
        <f>Greenleaf[[#This Row],[Unit Price]]*Greenleaf[[#This Row],[Quantity Sold]]</f>
        <v>30</v>
      </c>
      <c r="O225" s="13">
        <f>Greenleaf[[#This Row],[Unit Cost]]*Greenleaf[[#This Row],[Quantity Sold]]</f>
        <v>8.19</v>
      </c>
      <c r="P225" s="13">
        <f>Greenleaf[[#This Row],[ Unit  price per quantity]]-Greenleaf[[#This Row],[ Unit cost per quantity]]</f>
        <v>21.810000000000002</v>
      </c>
      <c r="Q225" s="14">
        <f>Greenleaf[[#This Row],[Quantity Sold]]*Greenleaf[[#This Row],[Unit Price]]</f>
        <v>30</v>
      </c>
    </row>
    <row r="226" spans="1:17" x14ac:dyDescent="0.25">
      <c r="A226" t="s">
        <v>1652</v>
      </c>
      <c r="B226" s="5">
        <v>45367</v>
      </c>
      <c r="C226" s="5" t="str">
        <f>TEXT(Greenleaf[[#This Row],[Order Date]],"MMM")</f>
        <v>Mar</v>
      </c>
      <c r="D226" s="5" t="str">
        <f>TEXT(Greenleaf[[#This Row],[Order Date]],"YYYY")</f>
        <v>2024</v>
      </c>
      <c r="E226" t="s">
        <v>2463</v>
      </c>
      <c r="F226" s="7" t="s">
        <v>1014</v>
      </c>
      <c r="G226" s="9">
        <v>8</v>
      </c>
      <c r="H226" s="11">
        <v>15</v>
      </c>
      <c r="I226" s="13">
        <v>5.9</v>
      </c>
      <c r="J226" t="s">
        <v>1093</v>
      </c>
      <c r="K226" t="s">
        <v>2527</v>
      </c>
      <c r="L226" s="7" t="s">
        <v>1414</v>
      </c>
      <c r="M226" s="7" t="s">
        <v>1426</v>
      </c>
      <c r="N226" s="14">
        <f>Greenleaf[[#This Row],[Unit Price]]*Greenleaf[[#This Row],[Quantity Sold]]</f>
        <v>120</v>
      </c>
      <c r="O226" s="13">
        <f>Greenleaf[[#This Row],[Unit Cost]]*Greenleaf[[#This Row],[Quantity Sold]]</f>
        <v>47.2</v>
      </c>
      <c r="P226" s="13">
        <f>Greenleaf[[#This Row],[ Unit  price per quantity]]-Greenleaf[[#This Row],[ Unit cost per quantity]]</f>
        <v>72.8</v>
      </c>
      <c r="Q226" s="14">
        <f>Greenleaf[[#This Row],[Quantity Sold]]*Greenleaf[[#This Row],[Unit Price]]</f>
        <v>120</v>
      </c>
    </row>
    <row r="227" spans="1:17" x14ac:dyDescent="0.25">
      <c r="A227" t="s">
        <v>1653</v>
      </c>
      <c r="B227" s="5">
        <v>45367</v>
      </c>
      <c r="C227" s="5" t="str">
        <f>TEXT(Greenleaf[[#This Row],[Order Date]],"MMM")</f>
        <v>Mar</v>
      </c>
      <c r="D227" s="5" t="str">
        <f>TEXT(Greenleaf[[#This Row],[Order Date]],"YYYY")</f>
        <v>2024</v>
      </c>
      <c r="E227" t="s">
        <v>2461</v>
      </c>
      <c r="F227" s="7" t="s">
        <v>1011</v>
      </c>
      <c r="G227" s="9">
        <v>2</v>
      </c>
      <c r="H227" s="11">
        <v>12</v>
      </c>
      <c r="I227" s="13">
        <v>3.27</v>
      </c>
      <c r="J227" t="s">
        <v>1127</v>
      </c>
      <c r="K227" t="s">
        <v>2509</v>
      </c>
      <c r="L227" s="7" t="s">
        <v>1416</v>
      </c>
      <c r="M227" s="7" t="s">
        <v>1421</v>
      </c>
      <c r="N227" s="14">
        <f>Greenleaf[[#This Row],[Unit Price]]*Greenleaf[[#This Row],[Quantity Sold]]</f>
        <v>24</v>
      </c>
      <c r="O227" s="13">
        <f>Greenleaf[[#This Row],[Unit Cost]]*Greenleaf[[#This Row],[Quantity Sold]]</f>
        <v>6.54</v>
      </c>
      <c r="P227" s="13">
        <f>Greenleaf[[#This Row],[ Unit  price per quantity]]-Greenleaf[[#This Row],[ Unit cost per quantity]]</f>
        <v>17.46</v>
      </c>
      <c r="Q227" s="14">
        <f>Greenleaf[[#This Row],[Quantity Sold]]*Greenleaf[[#This Row],[Unit Price]]</f>
        <v>24</v>
      </c>
    </row>
    <row r="228" spans="1:17" x14ac:dyDescent="0.25">
      <c r="A228" t="s">
        <v>1654</v>
      </c>
      <c r="B228" s="5">
        <v>45367</v>
      </c>
      <c r="C228" s="5" t="str">
        <f>TEXT(Greenleaf[[#This Row],[Order Date]],"MMM")</f>
        <v>Mar</v>
      </c>
      <c r="D228" s="5" t="str">
        <f>TEXT(Greenleaf[[#This Row],[Order Date]],"YYYY")</f>
        <v>2024</v>
      </c>
      <c r="E228" t="s">
        <v>2463</v>
      </c>
      <c r="F228" s="7" t="s">
        <v>1014</v>
      </c>
      <c r="G228" s="9">
        <v>2</v>
      </c>
      <c r="H228" s="11">
        <v>15</v>
      </c>
      <c r="I228" s="13">
        <v>4.99</v>
      </c>
      <c r="J228" t="s">
        <v>1064</v>
      </c>
      <c r="K228" t="s">
        <v>2563</v>
      </c>
      <c r="L228" s="7" t="s">
        <v>1417</v>
      </c>
      <c r="M228" s="7" t="s">
        <v>1425</v>
      </c>
      <c r="N228" s="14">
        <f>Greenleaf[[#This Row],[Unit Price]]*Greenleaf[[#This Row],[Quantity Sold]]</f>
        <v>30</v>
      </c>
      <c r="O228" s="13">
        <f>Greenleaf[[#This Row],[Unit Cost]]*Greenleaf[[#This Row],[Quantity Sold]]</f>
        <v>9.98</v>
      </c>
      <c r="P228" s="13">
        <f>Greenleaf[[#This Row],[ Unit  price per quantity]]-Greenleaf[[#This Row],[ Unit cost per quantity]]</f>
        <v>20.02</v>
      </c>
      <c r="Q228" s="14">
        <f>Greenleaf[[#This Row],[Quantity Sold]]*Greenleaf[[#This Row],[Unit Price]]</f>
        <v>30</v>
      </c>
    </row>
    <row r="229" spans="1:17" x14ac:dyDescent="0.25">
      <c r="A229" t="s">
        <v>1655</v>
      </c>
      <c r="B229" s="5">
        <v>45367</v>
      </c>
      <c r="C229" s="5" t="str">
        <f>TEXT(Greenleaf[[#This Row],[Order Date]],"MMM")</f>
        <v>Mar</v>
      </c>
      <c r="D229" s="5" t="str">
        <f>TEXT(Greenleaf[[#This Row],[Order Date]],"YYYY")</f>
        <v>2024</v>
      </c>
      <c r="E229" t="s">
        <v>2460</v>
      </c>
      <c r="F229" s="7" t="s">
        <v>1015</v>
      </c>
      <c r="G229" s="9">
        <v>6</v>
      </c>
      <c r="H229" s="11">
        <v>10</v>
      </c>
      <c r="I229" s="13">
        <v>2.0299999999999998</v>
      </c>
      <c r="J229" t="s">
        <v>1071</v>
      </c>
      <c r="K229" t="s">
        <v>2497</v>
      </c>
      <c r="L229" s="7" t="s">
        <v>1417</v>
      </c>
      <c r="M229" s="7" t="s">
        <v>1420</v>
      </c>
      <c r="N229" s="14">
        <f>Greenleaf[[#This Row],[Unit Price]]*Greenleaf[[#This Row],[Quantity Sold]]</f>
        <v>60</v>
      </c>
      <c r="O229" s="13">
        <f>Greenleaf[[#This Row],[Unit Cost]]*Greenleaf[[#This Row],[Quantity Sold]]</f>
        <v>12.18</v>
      </c>
      <c r="P229" s="13">
        <f>Greenleaf[[#This Row],[ Unit  price per quantity]]-Greenleaf[[#This Row],[ Unit cost per quantity]]</f>
        <v>47.82</v>
      </c>
      <c r="Q229" s="14">
        <f>Greenleaf[[#This Row],[Quantity Sold]]*Greenleaf[[#This Row],[Unit Price]]</f>
        <v>60</v>
      </c>
    </row>
    <row r="230" spans="1:17" x14ac:dyDescent="0.25">
      <c r="A230" t="s">
        <v>1656</v>
      </c>
      <c r="B230" s="5">
        <v>45368</v>
      </c>
      <c r="C230" s="5" t="str">
        <f>TEXT(Greenleaf[[#This Row],[Order Date]],"MMM")</f>
        <v>Mar</v>
      </c>
      <c r="D230" s="5" t="str">
        <f>TEXT(Greenleaf[[#This Row],[Order Date]],"YYYY")</f>
        <v>2024</v>
      </c>
      <c r="E230" t="s">
        <v>2463</v>
      </c>
      <c r="F230" s="7" t="s">
        <v>1014</v>
      </c>
      <c r="G230" s="9">
        <v>6</v>
      </c>
      <c r="H230" s="11">
        <v>15</v>
      </c>
      <c r="I230" s="13">
        <v>3.55</v>
      </c>
      <c r="J230" t="s">
        <v>1034</v>
      </c>
      <c r="K230" t="s">
        <v>2473</v>
      </c>
      <c r="L230" s="7" t="s">
        <v>1414</v>
      </c>
      <c r="M230" s="7" t="s">
        <v>1426</v>
      </c>
      <c r="N230" s="14">
        <f>Greenleaf[[#This Row],[Unit Price]]*Greenleaf[[#This Row],[Quantity Sold]]</f>
        <v>90</v>
      </c>
      <c r="O230" s="13">
        <f>Greenleaf[[#This Row],[Unit Cost]]*Greenleaf[[#This Row],[Quantity Sold]]</f>
        <v>21.299999999999997</v>
      </c>
      <c r="P230" s="13">
        <f>Greenleaf[[#This Row],[ Unit  price per quantity]]-Greenleaf[[#This Row],[ Unit cost per quantity]]</f>
        <v>68.7</v>
      </c>
      <c r="Q230" s="14">
        <f>Greenleaf[[#This Row],[Quantity Sold]]*Greenleaf[[#This Row],[Unit Price]]</f>
        <v>90</v>
      </c>
    </row>
    <row r="231" spans="1:17" x14ac:dyDescent="0.25">
      <c r="A231" t="s">
        <v>1657</v>
      </c>
      <c r="B231" s="5">
        <v>45368</v>
      </c>
      <c r="C231" s="5" t="str">
        <f>TEXT(Greenleaf[[#This Row],[Order Date]],"MMM")</f>
        <v>Mar</v>
      </c>
      <c r="D231" s="5" t="str">
        <f>TEXT(Greenleaf[[#This Row],[Order Date]],"YYYY")</f>
        <v>2024</v>
      </c>
      <c r="E231" t="s">
        <v>2462</v>
      </c>
      <c r="F231" s="7" t="s">
        <v>1013</v>
      </c>
      <c r="G231" s="9">
        <v>9</v>
      </c>
      <c r="H231" s="11">
        <v>25</v>
      </c>
      <c r="I231" s="13">
        <v>6.29</v>
      </c>
      <c r="J231" t="s">
        <v>1046</v>
      </c>
      <c r="K231" t="s">
        <v>2500</v>
      </c>
      <c r="L231" s="7" t="s">
        <v>1414</v>
      </c>
      <c r="M231" s="7" t="s">
        <v>1419</v>
      </c>
      <c r="N231" s="14">
        <f>Greenleaf[[#This Row],[Unit Price]]*Greenleaf[[#This Row],[Quantity Sold]]</f>
        <v>225</v>
      </c>
      <c r="O231" s="13">
        <f>Greenleaf[[#This Row],[Unit Cost]]*Greenleaf[[#This Row],[Quantity Sold]]</f>
        <v>56.61</v>
      </c>
      <c r="P231" s="13">
        <f>Greenleaf[[#This Row],[ Unit  price per quantity]]-Greenleaf[[#This Row],[ Unit cost per quantity]]</f>
        <v>168.39</v>
      </c>
      <c r="Q231" s="14">
        <f>Greenleaf[[#This Row],[Quantity Sold]]*Greenleaf[[#This Row],[Unit Price]]</f>
        <v>225</v>
      </c>
    </row>
    <row r="232" spans="1:17" x14ac:dyDescent="0.25">
      <c r="A232" t="s">
        <v>1658</v>
      </c>
      <c r="B232" s="5">
        <v>45368</v>
      </c>
      <c r="C232" s="5" t="str">
        <f>TEXT(Greenleaf[[#This Row],[Order Date]],"MMM")</f>
        <v>Mar</v>
      </c>
      <c r="D232" s="5" t="str">
        <f>TEXT(Greenleaf[[#This Row],[Order Date]],"YYYY")</f>
        <v>2024</v>
      </c>
      <c r="E232" t="s">
        <v>2460</v>
      </c>
      <c r="F232" s="7" t="s">
        <v>1015</v>
      </c>
      <c r="G232" s="9">
        <v>4</v>
      </c>
      <c r="H232" s="11">
        <v>10</v>
      </c>
      <c r="I232" s="13">
        <v>3.87</v>
      </c>
      <c r="J232" t="s">
        <v>1043</v>
      </c>
      <c r="K232" t="s">
        <v>2474</v>
      </c>
      <c r="L232" s="7" t="s">
        <v>1414</v>
      </c>
      <c r="M232" s="7" t="s">
        <v>1425</v>
      </c>
      <c r="N232" s="14">
        <f>Greenleaf[[#This Row],[Unit Price]]*Greenleaf[[#This Row],[Quantity Sold]]</f>
        <v>40</v>
      </c>
      <c r="O232" s="13">
        <f>Greenleaf[[#This Row],[Unit Cost]]*Greenleaf[[#This Row],[Quantity Sold]]</f>
        <v>15.48</v>
      </c>
      <c r="P232" s="13">
        <f>Greenleaf[[#This Row],[ Unit  price per quantity]]-Greenleaf[[#This Row],[ Unit cost per quantity]]</f>
        <v>24.52</v>
      </c>
      <c r="Q232" s="14">
        <f>Greenleaf[[#This Row],[Quantity Sold]]*Greenleaf[[#This Row],[Unit Price]]</f>
        <v>40</v>
      </c>
    </row>
    <row r="233" spans="1:17" x14ac:dyDescent="0.25">
      <c r="A233" t="s">
        <v>1659</v>
      </c>
      <c r="B233" s="5">
        <v>45368</v>
      </c>
      <c r="C233" s="5" t="str">
        <f>TEXT(Greenleaf[[#This Row],[Order Date]],"MMM")</f>
        <v>Mar</v>
      </c>
      <c r="D233" s="5" t="str">
        <f>TEXT(Greenleaf[[#This Row],[Order Date]],"YYYY")</f>
        <v>2024</v>
      </c>
      <c r="E233" t="s">
        <v>2464</v>
      </c>
      <c r="F233" s="7" t="s">
        <v>1012</v>
      </c>
      <c r="G233" s="9">
        <v>1</v>
      </c>
      <c r="H233" s="11">
        <v>40</v>
      </c>
      <c r="I233" s="13">
        <v>9.98</v>
      </c>
      <c r="J233" t="s">
        <v>1023</v>
      </c>
      <c r="K233" t="s">
        <v>2473</v>
      </c>
      <c r="L233" s="7" t="s">
        <v>1414</v>
      </c>
      <c r="M233" s="7" t="s">
        <v>1420</v>
      </c>
      <c r="N233" s="14">
        <f>Greenleaf[[#This Row],[Unit Price]]*Greenleaf[[#This Row],[Quantity Sold]]</f>
        <v>40</v>
      </c>
      <c r="O233" s="13">
        <f>Greenleaf[[#This Row],[Unit Cost]]*Greenleaf[[#This Row],[Quantity Sold]]</f>
        <v>9.98</v>
      </c>
      <c r="P233" s="13">
        <f>Greenleaf[[#This Row],[ Unit  price per quantity]]-Greenleaf[[#This Row],[ Unit cost per quantity]]</f>
        <v>30.02</v>
      </c>
      <c r="Q233" s="14">
        <f>Greenleaf[[#This Row],[Quantity Sold]]*Greenleaf[[#This Row],[Unit Price]]</f>
        <v>40</v>
      </c>
    </row>
    <row r="234" spans="1:17" x14ac:dyDescent="0.25">
      <c r="A234" t="s">
        <v>1660</v>
      </c>
      <c r="B234" s="5">
        <v>45369</v>
      </c>
      <c r="C234" s="5" t="str">
        <f>TEXT(Greenleaf[[#This Row],[Order Date]],"MMM")</f>
        <v>Mar</v>
      </c>
      <c r="D234" s="5" t="str">
        <f>TEXT(Greenleaf[[#This Row],[Order Date]],"YYYY")</f>
        <v>2024</v>
      </c>
      <c r="E234" t="s">
        <v>2462</v>
      </c>
      <c r="F234" s="7" t="s">
        <v>1013</v>
      </c>
      <c r="G234" s="9">
        <v>3</v>
      </c>
      <c r="H234" s="11">
        <v>25</v>
      </c>
      <c r="I234" s="13">
        <v>8.7100000000000009</v>
      </c>
      <c r="J234" t="s">
        <v>1082</v>
      </c>
      <c r="K234" t="s">
        <v>2532</v>
      </c>
      <c r="L234" s="7" t="s">
        <v>1414</v>
      </c>
      <c r="M234" s="7" t="s">
        <v>1425</v>
      </c>
      <c r="N234" s="14">
        <f>Greenleaf[[#This Row],[Unit Price]]*Greenleaf[[#This Row],[Quantity Sold]]</f>
        <v>75</v>
      </c>
      <c r="O234" s="13">
        <f>Greenleaf[[#This Row],[Unit Cost]]*Greenleaf[[#This Row],[Quantity Sold]]</f>
        <v>26.130000000000003</v>
      </c>
      <c r="P234" s="13">
        <f>Greenleaf[[#This Row],[ Unit  price per quantity]]-Greenleaf[[#This Row],[ Unit cost per quantity]]</f>
        <v>48.87</v>
      </c>
      <c r="Q234" s="14">
        <f>Greenleaf[[#This Row],[Quantity Sold]]*Greenleaf[[#This Row],[Unit Price]]</f>
        <v>75</v>
      </c>
    </row>
    <row r="235" spans="1:17" x14ac:dyDescent="0.25">
      <c r="A235" t="s">
        <v>1661</v>
      </c>
      <c r="B235" s="5">
        <v>45370</v>
      </c>
      <c r="C235" s="5" t="str">
        <f>TEXT(Greenleaf[[#This Row],[Order Date]],"MMM")</f>
        <v>Mar</v>
      </c>
      <c r="D235" s="5" t="str">
        <f>TEXT(Greenleaf[[#This Row],[Order Date]],"YYYY")</f>
        <v>2024</v>
      </c>
      <c r="E235" t="s">
        <v>2462</v>
      </c>
      <c r="F235" s="7" t="s">
        <v>1013</v>
      </c>
      <c r="G235" s="9">
        <v>8</v>
      </c>
      <c r="H235" s="11">
        <v>25</v>
      </c>
      <c r="I235" s="13">
        <v>9.14</v>
      </c>
      <c r="J235" t="s">
        <v>1176</v>
      </c>
      <c r="K235" t="s">
        <v>2513</v>
      </c>
      <c r="L235" s="7" t="s">
        <v>1414</v>
      </c>
      <c r="M235" s="7" t="s">
        <v>1421</v>
      </c>
      <c r="N235" s="14">
        <f>Greenleaf[[#This Row],[Unit Price]]*Greenleaf[[#This Row],[Quantity Sold]]</f>
        <v>200</v>
      </c>
      <c r="O235" s="13">
        <f>Greenleaf[[#This Row],[Unit Cost]]*Greenleaf[[#This Row],[Quantity Sold]]</f>
        <v>73.12</v>
      </c>
      <c r="P235" s="13">
        <f>Greenleaf[[#This Row],[ Unit  price per quantity]]-Greenleaf[[#This Row],[ Unit cost per quantity]]</f>
        <v>126.88</v>
      </c>
      <c r="Q235" s="14">
        <f>Greenleaf[[#This Row],[Quantity Sold]]*Greenleaf[[#This Row],[Unit Price]]</f>
        <v>200</v>
      </c>
    </row>
    <row r="236" spans="1:17" x14ac:dyDescent="0.25">
      <c r="A236" t="s">
        <v>1662</v>
      </c>
      <c r="B236" s="5">
        <v>45370</v>
      </c>
      <c r="C236" s="5" t="str">
        <f>TEXT(Greenleaf[[#This Row],[Order Date]],"MMM")</f>
        <v>Mar</v>
      </c>
      <c r="D236" s="5" t="str">
        <f>TEXT(Greenleaf[[#This Row],[Order Date]],"YYYY")</f>
        <v>2024</v>
      </c>
      <c r="E236" t="s">
        <v>2460</v>
      </c>
      <c r="F236" s="7" t="s">
        <v>1015</v>
      </c>
      <c r="G236" s="9">
        <v>1</v>
      </c>
      <c r="H236" s="11">
        <v>10</v>
      </c>
      <c r="I236" s="13">
        <v>3.91</v>
      </c>
      <c r="J236" t="s">
        <v>1023</v>
      </c>
      <c r="K236" t="s">
        <v>2473</v>
      </c>
      <c r="L236" s="7" t="s">
        <v>1414</v>
      </c>
      <c r="M236" s="7" t="s">
        <v>1427</v>
      </c>
      <c r="N236" s="14">
        <f>Greenleaf[[#This Row],[Unit Price]]*Greenleaf[[#This Row],[Quantity Sold]]</f>
        <v>10</v>
      </c>
      <c r="O236" s="13">
        <f>Greenleaf[[#This Row],[Unit Cost]]*Greenleaf[[#This Row],[Quantity Sold]]</f>
        <v>3.91</v>
      </c>
      <c r="P236" s="13">
        <f>Greenleaf[[#This Row],[ Unit  price per quantity]]-Greenleaf[[#This Row],[ Unit cost per quantity]]</f>
        <v>6.09</v>
      </c>
      <c r="Q236" s="14">
        <f>Greenleaf[[#This Row],[Quantity Sold]]*Greenleaf[[#This Row],[Unit Price]]</f>
        <v>10</v>
      </c>
    </row>
    <row r="237" spans="1:17" x14ac:dyDescent="0.25">
      <c r="A237" t="s">
        <v>1663</v>
      </c>
      <c r="B237" s="5">
        <v>45371</v>
      </c>
      <c r="C237" s="5" t="str">
        <f>TEXT(Greenleaf[[#This Row],[Order Date]],"MMM")</f>
        <v>Mar</v>
      </c>
      <c r="D237" s="5" t="str">
        <f>TEXT(Greenleaf[[#This Row],[Order Date]],"YYYY")</f>
        <v>2024</v>
      </c>
      <c r="E237" t="s">
        <v>2462</v>
      </c>
      <c r="F237" s="7" t="s">
        <v>1013</v>
      </c>
      <c r="G237" s="9">
        <v>3</v>
      </c>
      <c r="H237" s="11">
        <v>25</v>
      </c>
      <c r="I237" s="13">
        <v>5.7</v>
      </c>
      <c r="J237" t="s">
        <v>1058</v>
      </c>
      <c r="K237" t="s">
        <v>2522</v>
      </c>
      <c r="L237" s="7" t="s">
        <v>1416</v>
      </c>
      <c r="M237" s="7" t="s">
        <v>1422</v>
      </c>
      <c r="N237" s="14">
        <f>Greenleaf[[#This Row],[Unit Price]]*Greenleaf[[#This Row],[Quantity Sold]]</f>
        <v>75</v>
      </c>
      <c r="O237" s="13">
        <f>Greenleaf[[#This Row],[Unit Cost]]*Greenleaf[[#This Row],[Quantity Sold]]</f>
        <v>17.100000000000001</v>
      </c>
      <c r="P237" s="13">
        <f>Greenleaf[[#This Row],[ Unit  price per quantity]]-Greenleaf[[#This Row],[ Unit cost per quantity]]</f>
        <v>57.9</v>
      </c>
      <c r="Q237" s="14">
        <f>Greenleaf[[#This Row],[Quantity Sold]]*Greenleaf[[#This Row],[Unit Price]]</f>
        <v>75</v>
      </c>
    </row>
    <row r="238" spans="1:17" x14ac:dyDescent="0.25">
      <c r="A238" t="s">
        <v>1664</v>
      </c>
      <c r="B238" s="5">
        <v>45372</v>
      </c>
      <c r="C238" s="5" t="str">
        <f>TEXT(Greenleaf[[#This Row],[Order Date]],"MMM")</f>
        <v>Mar</v>
      </c>
      <c r="D238" s="5" t="str">
        <f>TEXT(Greenleaf[[#This Row],[Order Date]],"YYYY")</f>
        <v>2024</v>
      </c>
      <c r="E238" t="s">
        <v>2461</v>
      </c>
      <c r="F238" s="7" t="s">
        <v>1011</v>
      </c>
      <c r="G238" s="9">
        <v>8</v>
      </c>
      <c r="H238" s="11">
        <v>12</v>
      </c>
      <c r="I238" s="13">
        <v>2.88</v>
      </c>
      <c r="J238" t="s">
        <v>1020</v>
      </c>
      <c r="K238" t="s">
        <v>2533</v>
      </c>
      <c r="L238" s="7" t="s">
        <v>1417</v>
      </c>
      <c r="M238" s="7" t="s">
        <v>1419</v>
      </c>
      <c r="N238" s="14">
        <f>Greenleaf[[#This Row],[Unit Price]]*Greenleaf[[#This Row],[Quantity Sold]]</f>
        <v>96</v>
      </c>
      <c r="O238" s="13">
        <f>Greenleaf[[#This Row],[Unit Cost]]*Greenleaf[[#This Row],[Quantity Sold]]</f>
        <v>23.04</v>
      </c>
      <c r="P238" s="13">
        <f>Greenleaf[[#This Row],[ Unit  price per quantity]]-Greenleaf[[#This Row],[ Unit cost per quantity]]</f>
        <v>72.960000000000008</v>
      </c>
      <c r="Q238" s="14">
        <f>Greenleaf[[#This Row],[Quantity Sold]]*Greenleaf[[#This Row],[Unit Price]]</f>
        <v>96</v>
      </c>
    </row>
    <row r="239" spans="1:17" x14ac:dyDescent="0.25">
      <c r="A239" t="s">
        <v>1665</v>
      </c>
      <c r="B239" s="5">
        <v>45372</v>
      </c>
      <c r="C239" s="5" t="str">
        <f>TEXT(Greenleaf[[#This Row],[Order Date]],"MMM")</f>
        <v>Mar</v>
      </c>
      <c r="D239" s="5" t="str">
        <f>TEXT(Greenleaf[[#This Row],[Order Date]],"YYYY")</f>
        <v>2024</v>
      </c>
      <c r="E239" t="s">
        <v>2461</v>
      </c>
      <c r="F239" s="7" t="s">
        <v>1011</v>
      </c>
      <c r="G239" s="9">
        <v>1</v>
      </c>
      <c r="H239" s="11">
        <v>12</v>
      </c>
      <c r="I239" s="13">
        <v>3.25</v>
      </c>
      <c r="J239" t="s">
        <v>1064</v>
      </c>
      <c r="K239" t="s">
        <v>2563</v>
      </c>
      <c r="L239" s="7" t="s">
        <v>1417</v>
      </c>
      <c r="M239" s="7" t="s">
        <v>1425</v>
      </c>
      <c r="N239" s="14">
        <f>Greenleaf[[#This Row],[Unit Price]]*Greenleaf[[#This Row],[Quantity Sold]]</f>
        <v>12</v>
      </c>
      <c r="O239" s="13">
        <f>Greenleaf[[#This Row],[Unit Cost]]*Greenleaf[[#This Row],[Quantity Sold]]</f>
        <v>3.25</v>
      </c>
      <c r="P239" s="13">
        <f>Greenleaf[[#This Row],[ Unit  price per quantity]]-Greenleaf[[#This Row],[ Unit cost per quantity]]</f>
        <v>8.75</v>
      </c>
      <c r="Q239" s="14">
        <f>Greenleaf[[#This Row],[Quantity Sold]]*Greenleaf[[#This Row],[Unit Price]]</f>
        <v>12</v>
      </c>
    </row>
    <row r="240" spans="1:17" x14ac:dyDescent="0.25">
      <c r="A240" t="s">
        <v>1666</v>
      </c>
      <c r="B240" s="5">
        <v>45372</v>
      </c>
      <c r="C240" s="5" t="str">
        <f>TEXT(Greenleaf[[#This Row],[Order Date]],"MMM")</f>
        <v>Mar</v>
      </c>
      <c r="D240" s="5" t="str">
        <f>TEXT(Greenleaf[[#This Row],[Order Date]],"YYYY")</f>
        <v>2024</v>
      </c>
      <c r="E240" t="s">
        <v>2463</v>
      </c>
      <c r="F240" s="7" t="s">
        <v>1014</v>
      </c>
      <c r="G240" s="9">
        <v>7</v>
      </c>
      <c r="H240" s="11">
        <v>15</v>
      </c>
      <c r="I240" s="13">
        <v>3.63</v>
      </c>
      <c r="J240" t="s">
        <v>1102</v>
      </c>
      <c r="K240" t="s">
        <v>2564</v>
      </c>
      <c r="L240" s="7" t="s">
        <v>1414</v>
      </c>
      <c r="M240" s="7" t="s">
        <v>1426</v>
      </c>
      <c r="N240" s="14">
        <f>Greenleaf[[#This Row],[Unit Price]]*Greenleaf[[#This Row],[Quantity Sold]]</f>
        <v>105</v>
      </c>
      <c r="O240" s="13">
        <f>Greenleaf[[#This Row],[Unit Cost]]*Greenleaf[[#This Row],[Quantity Sold]]</f>
        <v>25.41</v>
      </c>
      <c r="P240" s="13">
        <f>Greenleaf[[#This Row],[ Unit  price per quantity]]-Greenleaf[[#This Row],[ Unit cost per quantity]]</f>
        <v>79.59</v>
      </c>
      <c r="Q240" s="14">
        <f>Greenleaf[[#This Row],[Quantity Sold]]*Greenleaf[[#This Row],[Unit Price]]</f>
        <v>105</v>
      </c>
    </row>
    <row r="241" spans="1:17" x14ac:dyDescent="0.25">
      <c r="A241" t="s">
        <v>1667</v>
      </c>
      <c r="B241" s="5">
        <v>45372</v>
      </c>
      <c r="C241" s="5" t="str">
        <f>TEXT(Greenleaf[[#This Row],[Order Date]],"MMM")</f>
        <v>Mar</v>
      </c>
      <c r="D241" s="5" t="str">
        <f>TEXT(Greenleaf[[#This Row],[Order Date]],"YYYY")</f>
        <v>2024</v>
      </c>
      <c r="E241" t="s">
        <v>2460</v>
      </c>
      <c r="F241" s="7" t="s">
        <v>1015</v>
      </c>
      <c r="G241" s="9">
        <v>5</v>
      </c>
      <c r="H241" s="11">
        <v>10</v>
      </c>
      <c r="I241" s="13">
        <v>3.98</v>
      </c>
      <c r="J241" t="s">
        <v>1139</v>
      </c>
      <c r="K241" t="s">
        <v>2479</v>
      </c>
      <c r="L241" s="7" t="s">
        <v>1414</v>
      </c>
      <c r="M241" s="7" t="s">
        <v>1427</v>
      </c>
      <c r="N241" s="14">
        <f>Greenleaf[[#This Row],[Unit Price]]*Greenleaf[[#This Row],[Quantity Sold]]</f>
        <v>50</v>
      </c>
      <c r="O241" s="13">
        <f>Greenleaf[[#This Row],[Unit Cost]]*Greenleaf[[#This Row],[Quantity Sold]]</f>
        <v>19.899999999999999</v>
      </c>
      <c r="P241" s="13">
        <f>Greenleaf[[#This Row],[ Unit  price per quantity]]-Greenleaf[[#This Row],[ Unit cost per quantity]]</f>
        <v>30.1</v>
      </c>
      <c r="Q241" s="14">
        <f>Greenleaf[[#This Row],[Quantity Sold]]*Greenleaf[[#This Row],[Unit Price]]</f>
        <v>50</v>
      </c>
    </row>
    <row r="242" spans="1:17" x14ac:dyDescent="0.25">
      <c r="A242" t="s">
        <v>1668</v>
      </c>
      <c r="B242" s="5">
        <v>45373</v>
      </c>
      <c r="C242" s="5" t="str">
        <f>TEXT(Greenleaf[[#This Row],[Order Date]],"MMM")</f>
        <v>Mar</v>
      </c>
      <c r="D242" s="5" t="str">
        <f>TEXT(Greenleaf[[#This Row],[Order Date]],"YYYY")</f>
        <v>2024</v>
      </c>
      <c r="E242" t="s">
        <v>2463</v>
      </c>
      <c r="F242" s="7" t="s">
        <v>1014</v>
      </c>
      <c r="G242" s="9">
        <v>4</v>
      </c>
      <c r="H242" s="11">
        <v>15</v>
      </c>
      <c r="I242" s="13">
        <v>3.4</v>
      </c>
      <c r="J242" t="s">
        <v>1080</v>
      </c>
      <c r="K242" t="s">
        <v>2470</v>
      </c>
      <c r="L242" s="7" t="s">
        <v>1416</v>
      </c>
      <c r="M242" s="7" t="s">
        <v>1426</v>
      </c>
      <c r="N242" s="14">
        <f>Greenleaf[[#This Row],[Unit Price]]*Greenleaf[[#This Row],[Quantity Sold]]</f>
        <v>60</v>
      </c>
      <c r="O242" s="13">
        <f>Greenleaf[[#This Row],[Unit Cost]]*Greenleaf[[#This Row],[Quantity Sold]]</f>
        <v>13.6</v>
      </c>
      <c r="P242" s="13">
        <f>Greenleaf[[#This Row],[ Unit  price per quantity]]-Greenleaf[[#This Row],[ Unit cost per quantity]]</f>
        <v>46.4</v>
      </c>
      <c r="Q242" s="14">
        <f>Greenleaf[[#This Row],[Quantity Sold]]*Greenleaf[[#This Row],[Unit Price]]</f>
        <v>60</v>
      </c>
    </row>
    <row r="243" spans="1:17" x14ac:dyDescent="0.25">
      <c r="A243" t="s">
        <v>1669</v>
      </c>
      <c r="B243" s="5">
        <v>45373</v>
      </c>
      <c r="C243" s="5" t="str">
        <f>TEXT(Greenleaf[[#This Row],[Order Date]],"MMM")</f>
        <v>Mar</v>
      </c>
      <c r="D243" s="5" t="str">
        <f>TEXT(Greenleaf[[#This Row],[Order Date]],"YYYY")</f>
        <v>2024</v>
      </c>
      <c r="E243" t="s">
        <v>2464</v>
      </c>
      <c r="F243" s="7" t="s">
        <v>1012</v>
      </c>
      <c r="G243" s="9">
        <v>9</v>
      </c>
      <c r="H243" s="11">
        <v>40</v>
      </c>
      <c r="I243" s="13">
        <v>10.92</v>
      </c>
      <c r="J243" t="s">
        <v>1211</v>
      </c>
      <c r="K243" t="s">
        <v>2519</v>
      </c>
      <c r="L243" s="7" t="s">
        <v>1417</v>
      </c>
      <c r="M243" s="7" t="s">
        <v>1420</v>
      </c>
      <c r="N243" s="14">
        <f>Greenleaf[[#This Row],[Unit Price]]*Greenleaf[[#This Row],[Quantity Sold]]</f>
        <v>360</v>
      </c>
      <c r="O243" s="13">
        <f>Greenleaf[[#This Row],[Unit Cost]]*Greenleaf[[#This Row],[Quantity Sold]]</f>
        <v>98.28</v>
      </c>
      <c r="P243" s="13">
        <f>Greenleaf[[#This Row],[ Unit  price per quantity]]-Greenleaf[[#This Row],[ Unit cost per quantity]]</f>
        <v>261.72000000000003</v>
      </c>
      <c r="Q243" s="14">
        <f>Greenleaf[[#This Row],[Quantity Sold]]*Greenleaf[[#This Row],[Unit Price]]</f>
        <v>360</v>
      </c>
    </row>
    <row r="244" spans="1:17" x14ac:dyDescent="0.25">
      <c r="A244" t="s">
        <v>1670</v>
      </c>
      <c r="B244" s="5">
        <v>45373</v>
      </c>
      <c r="C244" s="5" t="str">
        <f>TEXT(Greenleaf[[#This Row],[Order Date]],"MMM")</f>
        <v>Mar</v>
      </c>
      <c r="D244" s="5" t="str">
        <f>TEXT(Greenleaf[[#This Row],[Order Date]],"YYYY")</f>
        <v>2024</v>
      </c>
      <c r="E244" t="s">
        <v>2460</v>
      </c>
      <c r="F244" s="7" t="s">
        <v>1015</v>
      </c>
      <c r="G244" s="9">
        <v>3</v>
      </c>
      <c r="H244" s="11">
        <v>10</v>
      </c>
      <c r="I244" s="13">
        <v>2.91</v>
      </c>
      <c r="J244" t="s">
        <v>1166</v>
      </c>
      <c r="K244" t="s">
        <v>2496</v>
      </c>
      <c r="L244" s="7" t="s">
        <v>1416</v>
      </c>
      <c r="M244" s="7" t="s">
        <v>1424</v>
      </c>
      <c r="N244" s="14">
        <f>Greenleaf[[#This Row],[Unit Price]]*Greenleaf[[#This Row],[Quantity Sold]]</f>
        <v>30</v>
      </c>
      <c r="O244" s="13">
        <f>Greenleaf[[#This Row],[Unit Cost]]*Greenleaf[[#This Row],[Quantity Sold]]</f>
        <v>8.73</v>
      </c>
      <c r="P244" s="13">
        <f>Greenleaf[[#This Row],[ Unit  price per quantity]]-Greenleaf[[#This Row],[ Unit cost per quantity]]</f>
        <v>21.27</v>
      </c>
      <c r="Q244" s="14">
        <f>Greenleaf[[#This Row],[Quantity Sold]]*Greenleaf[[#This Row],[Unit Price]]</f>
        <v>30</v>
      </c>
    </row>
    <row r="245" spans="1:17" x14ac:dyDescent="0.25">
      <c r="A245" t="s">
        <v>1671</v>
      </c>
      <c r="B245" s="5">
        <v>45373</v>
      </c>
      <c r="C245" s="5" t="str">
        <f>TEXT(Greenleaf[[#This Row],[Order Date]],"MMM")</f>
        <v>Mar</v>
      </c>
      <c r="D245" s="5" t="str">
        <f>TEXT(Greenleaf[[#This Row],[Order Date]],"YYYY")</f>
        <v>2024</v>
      </c>
      <c r="E245" t="s">
        <v>2464</v>
      </c>
      <c r="F245" s="7" t="s">
        <v>1012</v>
      </c>
      <c r="G245" s="9">
        <v>2</v>
      </c>
      <c r="H245" s="11">
        <v>40</v>
      </c>
      <c r="I245" s="13">
        <v>11.01</v>
      </c>
      <c r="J245" t="s">
        <v>1202</v>
      </c>
      <c r="K245" t="s">
        <v>2565</v>
      </c>
      <c r="L245" s="7" t="s">
        <v>1416</v>
      </c>
      <c r="M245" s="7" t="s">
        <v>1421</v>
      </c>
      <c r="N245" s="14">
        <f>Greenleaf[[#This Row],[Unit Price]]*Greenleaf[[#This Row],[Quantity Sold]]</f>
        <v>80</v>
      </c>
      <c r="O245" s="13">
        <f>Greenleaf[[#This Row],[Unit Cost]]*Greenleaf[[#This Row],[Quantity Sold]]</f>
        <v>22.02</v>
      </c>
      <c r="P245" s="13">
        <f>Greenleaf[[#This Row],[ Unit  price per quantity]]-Greenleaf[[#This Row],[ Unit cost per quantity]]</f>
        <v>57.980000000000004</v>
      </c>
      <c r="Q245" s="14">
        <f>Greenleaf[[#This Row],[Quantity Sold]]*Greenleaf[[#This Row],[Unit Price]]</f>
        <v>80</v>
      </c>
    </row>
    <row r="246" spans="1:17" x14ac:dyDescent="0.25">
      <c r="A246" t="s">
        <v>1672</v>
      </c>
      <c r="B246" s="5">
        <v>45374</v>
      </c>
      <c r="C246" s="5" t="str">
        <f>TEXT(Greenleaf[[#This Row],[Order Date]],"MMM")</f>
        <v>Mar</v>
      </c>
      <c r="D246" s="5" t="str">
        <f>TEXT(Greenleaf[[#This Row],[Order Date]],"YYYY")</f>
        <v>2024</v>
      </c>
      <c r="E246" t="s">
        <v>2463</v>
      </c>
      <c r="F246" s="7" t="s">
        <v>1014</v>
      </c>
      <c r="G246" s="9">
        <v>2</v>
      </c>
      <c r="H246" s="11">
        <v>15</v>
      </c>
      <c r="I246" s="13">
        <v>4.99</v>
      </c>
      <c r="J246" t="s">
        <v>1022</v>
      </c>
      <c r="K246" t="s">
        <v>2551</v>
      </c>
      <c r="L246" s="7" t="s">
        <v>1414</v>
      </c>
      <c r="M246" s="7" t="s">
        <v>1423</v>
      </c>
      <c r="N246" s="14">
        <f>Greenleaf[[#This Row],[Unit Price]]*Greenleaf[[#This Row],[Quantity Sold]]</f>
        <v>30</v>
      </c>
      <c r="O246" s="13">
        <f>Greenleaf[[#This Row],[Unit Cost]]*Greenleaf[[#This Row],[Quantity Sold]]</f>
        <v>9.98</v>
      </c>
      <c r="P246" s="13">
        <f>Greenleaf[[#This Row],[ Unit  price per quantity]]-Greenleaf[[#This Row],[ Unit cost per quantity]]</f>
        <v>20.02</v>
      </c>
      <c r="Q246" s="14">
        <f>Greenleaf[[#This Row],[Quantity Sold]]*Greenleaf[[#This Row],[Unit Price]]</f>
        <v>30</v>
      </c>
    </row>
    <row r="247" spans="1:17" x14ac:dyDescent="0.25">
      <c r="A247" t="s">
        <v>1673</v>
      </c>
      <c r="B247" s="5">
        <v>45374</v>
      </c>
      <c r="C247" s="5" t="str">
        <f>TEXT(Greenleaf[[#This Row],[Order Date]],"MMM")</f>
        <v>Mar</v>
      </c>
      <c r="D247" s="5" t="str">
        <f>TEXT(Greenleaf[[#This Row],[Order Date]],"YYYY")</f>
        <v>2024</v>
      </c>
      <c r="E247" t="s">
        <v>2464</v>
      </c>
      <c r="F247" s="7" t="s">
        <v>1012</v>
      </c>
      <c r="G247" s="9">
        <v>2</v>
      </c>
      <c r="H247" s="11">
        <v>40</v>
      </c>
      <c r="I247" s="13">
        <v>10.69</v>
      </c>
      <c r="J247" t="s">
        <v>1092</v>
      </c>
      <c r="K247" t="s">
        <v>2547</v>
      </c>
      <c r="L247" s="7" t="s">
        <v>1414</v>
      </c>
      <c r="M247" s="7" t="s">
        <v>1421</v>
      </c>
      <c r="N247" s="14">
        <f>Greenleaf[[#This Row],[Unit Price]]*Greenleaf[[#This Row],[Quantity Sold]]</f>
        <v>80</v>
      </c>
      <c r="O247" s="13">
        <f>Greenleaf[[#This Row],[Unit Cost]]*Greenleaf[[#This Row],[Quantity Sold]]</f>
        <v>21.38</v>
      </c>
      <c r="P247" s="13">
        <f>Greenleaf[[#This Row],[ Unit  price per quantity]]-Greenleaf[[#This Row],[ Unit cost per quantity]]</f>
        <v>58.620000000000005</v>
      </c>
      <c r="Q247" s="14">
        <f>Greenleaf[[#This Row],[Quantity Sold]]*Greenleaf[[#This Row],[Unit Price]]</f>
        <v>80</v>
      </c>
    </row>
    <row r="248" spans="1:17" x14ac:dyDescent="0.25">
      <c r="A248" t="s">
        <v>1674</v>
      </c>
      <c r="B248" s="5">
        <v>45375</v>
      </c>
      <c r="C248" s="5" t="str">
        <f>TEXT(Greenleaf[[#This Row],[Order Date]],"MMM")</f>
        <v>Mar</v>
      </c>
      <c r="D248" s="5" t="str">
        <f>TEXT(Greenleaf[[#This Row],[Order Date]],"YYYY")</f>
        <v>2024</v>
      </c>
      <c r="E248" t="s">
        <v>2464</v>
      </c>
      <c r="F248" s="7" t="s">
        <v>1012</v>
      </c>
      <c r="G248" s="9">
        <v>10</v>
      </c>
      <c r="H248" s="11">
        <v>40</v>
      </c>
      <c r="I248" s="13">
        <v>9.1</v>
      </c>
      <c r="J248" t="s">
        <v>1097</v>
      </c>
      <c r="K248" t="s">
        <v>2557</v>
      </c>
      <c r="L248" s="7" t="s">
        <v>1414</v>
      </c>
      <c r="M248" s="7" t="s">
        <v>1425</v>
      </c>
      <c r="N248" s="14">
        <f>Greenleaf[[#This Row],[Unit Price]]*Greenleaf[[#This Row],[Quantity Sold]]</f>
        <v>400</v>
      </c>
      <c r="O248" s="13">
        <f>Greenleaf[[#This Row],[Unit Cost]]*Greenleaf[[#This Row],[Quantity Sold]]</f>
        <v>91</v>
      </c>
      <c r="P248" s="13">
        <f>Greenleaf[[#This Row],[ Unit  price per quantity]]-Greenleaf[[#This Row],[ Unit cost per quantity]]</f>
        <v>309</v>
      </c>
      <c r="Q248" s="14">
        <f>Greenleaf[[#This Row],[Quantity Sold]]*Greenleaf[[#This Row],[Unit Price]]</f>
        <v>400</v>
      </c>
    </row>
    <row r="249" spans="1:17" x14ac:dyDescent="0.25">
      <c r="A249" t="s">
        <v>1675</v>
      </c>
      <c r="B249" s="5">
        <v>45375</v>
      </c>
      <c r="C249" s="5" t="str">
        <f>TEXT(Greenleaf[[#This Row],[Order Date]],"MMM")</f>
        <v>Mar</v>
      </c>
      <c r="D249" s="5" t="str">
        <f>TEXT(Greenleaf[[#This Row],[Order Date]],"YYYY")</f>
        <v>2024</v>
      </c>
      <c r="E249" t="s">
        <v>2464</v>
      </c>
      <c r="F249" s="7" t="s">
        <v>1012</v>
      </c>
      <c r="G249" s="9">
        <v>5</v>
      </c>
      <c r="H249" s="11">
        <v>40</v>
      </c>
      <c r="I249" s="13">
        <v>11.38</v>
      </c>
      <c r="J249" t="s">
        <v>1115</v>
      </c>
      <c r="K249" t="s">
        <v>2530</v>
      </c>
      <c r="L249" s="7" t="s">
        <v>1414</v>
      </c>
      <c r="M249" s="7" t="s">
        <v>1421</v>
      </c>
      <c r="N249" s="14">
        <f>Greenleaf[[#This Row],[Unit Price]]*Greenleaf[[#This Row],[Quantity Sold]]</f>
        <v>200</v>
      </c>
      <c r="O249" s="13">
        <f>Greenleaf[[#This Row],[Unit Cost]]*Greenleaf[[#This Row],[Quantity Sold]]</f>
        <v>56.900000000000006</v>
      </c>
      <c r="P249" s="13">
        <f>Greenleaf[[#This Row],[ Unit  price per quantity]]-Greenleaf[[#This Row],[ Unit cost per quantity]]</f>
        <v>143.1</v>
      </c>
      <c r="Q249" s="14">
        <f>Greenleaf[[#This Row],[Quantity Sold]]*Greenleaf[[#This Row],[Unit Price]]</f>
        <v>200</v>
      </c>
    </row>
    <row r="250" spans="1:17" x14ac:dyDescent="0.25">
      <c r="A250" t="s">
        <v>1676</v>
      </c>
      <c r="B250" s="5">
        <v>45375</v>
      </c>
      <c r="C250" s="5" t="str">
        <f>TEXT(Greenleaf[[#This Row],[Order Date]],"MMM")</f>
        <v>Mar</v>
      </c>
      <c r="D250" s="5" t="str">
        <f>TEXT(Greenleaf[[#This Row],[Order Date]],"YYYY")</f>
        <v>2024</v>
      </c>
      <c r="E250" t="s">
        <v>2464</v>
      </c>
      <c r="F250" s="7" t="s">
        <v>1012</v>
      </c>
      <c r="G250" s="9">
        <v>2</v>
      </c>
      <c r="H250" s="11">
        <v>40</v>
      </c>
      <c r="I250" s="13">
        <v>13.29</v>
      </c>
      <c r="J250" t="s">
        <v>1153</v>
      </c>
      <c r="K250" t="s">
        <v>2566</v>
      </c>
      <c r="L250" s="7" t="s">
        <v>1414</v>
      </c>
      <c r="M250" s="7" t="s">
        <v>1426</v>
      </c>
      <c r="N250" s="14">
        <f>Greenleaf[[#This Row],[Unit Price]]*Greenleaf[[#This Row],[Quantity Sold]]</f>
        <v>80</v>
      </c>
      <c r="O250" s="13">
        <f>Greenleaf[[#This Row],[Unit Cost]]*Greenleaf[[#This Row],[Quantity Sold]]</f>
        <v>26.58</v>
      </c>
      <c r="P250" s="13">
        <f>Greenleaf[[#This Row],[ Unit  price per quantity]]-Greenleaf[[#This Row],[ Unit cost per quantity]]</f>
        <v>53.42</v>
      </c>
      <c r="Q250" s="14">
        <f>Greenleaf[[#This Row],[Quantity Sold]]*Greenleaf[[#This Row],[Unit Price]]</f>
        <v>80</v>
      </c>
    </row>
    <row r="251" spans="1:17" x14ac:dyDescent="0.25">
      <c r="A251" t="s">
        <v>1677</v>
      </c>
      <c r="B251" s="5">
        <v>45375</v>
      </c>
      <c r="C251" s="5" t="str">
        <f>TEXT(Greenleaf[[#This Row],[Order Date]],"MMM")</f>
        <v>Mar</v>
      </c>
      <c r="D251" s="5" t="str">
        <f>TEXT(Greenleaf[[#This Row],[Order Date]],"YYYY")</f>
        <v>2024</v>
      </c>
      <c r="E251" t="s">
        <v>2464</v>
      </c>
      <c r="F251" s="7" t="s">
        <v>1012</v>
      </c>
      <c r="G251" s="9">
        <v>1</v>
      </c>
      <c r="H251" s="11">
        <v>40</v>
      </c>
      <c r="I251" s="13">
        <v>14.99</v>
      </c>
      <c r="J251" t="s">
        <v>1080</v>
      </c>
      <c r="K251" t="s">
        <v>2470</v>
      </c>
      <c r="L251" s="7" t="s">
        <v>1417</v>
      </c>
      <c r="M251" s="7" t="s">
        <v>1420</v>
      </c>
      <c r="N251" s="14">
        <f>Greenleaf[[#This Row],[Unit Price]]*Greenleaf[[#This Row],[Quantity Sold]]</f>
        <v>40</v>
      </c>
      <c r="O251" s="13">
        <f>Greenleaf[[#This Row],[Unit Cost]]*Greenleaf[[#This Row],[Quantity Sold]]</f>
        <v>14.99</v>
      </c>
      <c r="P251" s="13">
        <f>Greenleaf[[#This Row],[ Unit  price per quantity]]-Greenleaf[[#This Row],[ Unit cost per quantity]]</f>
        <v>25.009999999999998</v>
      </c>
      <c r="Q251" s="14">
        <f>Greenleaf[[#This Row],[Quantity Sold]]*Greenleaf[[#This Row],[Unit Price]]</f>
        <v>40</v>
      </c>
    </row>
    <row r="252" spans="1:17" x14ac:dyDescent="0.25">
      <c r="A252" t="s">
        <v>1678</v>
      </c>
      <c r="B252" s="5">
        <v>45375</v>
      </c>
      <c r="C252" s="5" t="str">
        <f>TEXT(Greenleaf[[#This Row],[Order Date]],"MMM")</f>
        <v>Mar</v>
      </c>
      <c r="D252" s="5" t="str">
        <f>TEXT(Greenleaf[[#This Row],[Order Date]],"YYYY")</f>
        <v>2024</v>
      </c>
      <c r="E252" t="s">
        <v>2462</v>
      </c>
      <c r="F252" s="7" t="s">
        <v>1013</v>
      </c>
      <c r="G252" s="9">
        <v>2</v>
      </c>
      <c r="H252" s="11">
        <v>25</v>
      </c>
      <c r="I252" s="13">
        <v>5.01</v>
      </c>
      <c r="J252" t="s">
        <v>1102</v>
      </c>
      <c r="K252" t="s">
        <v>2564</v>
      </c>
      <c r="L252" s="7" t="s">
        <v>1416</v>
      </c>
      <c r="M252" s="7" t="s">
        <v>1426</v>
      </c>
      <c r="N252" s="14">
        <f>Greenleaf[[#This Row],[Unit Price]]*Greenleaf[[#This Row],[Quantity Sold]]</f>
        <v>50</v>
      </c>
      <c r="O252" s="13">
        <f>Greenleaf[[#This Row],[Unit Cost]]*Greenleaf[[#This Row],[Quantity Sold]]</f>
        <v>10.02</v>
      </c>
      <c r="P252" s="13">
        <f>Greenleaf[[#This Row],[ Unit  price per quantity]]-Greenleaf[[#This Row],[ Unit cost per quantity]]</f>
        <v>39.980000000000004</v>
      </c>
      <c r="Q252" s="14">
        <f>Greenleaf[[#This Row],[Quantity Sold]]*Greenleaf[[#This Row],[Unit Price]]</f>
        <v>50</v>
      </c>
    </row>
    <row r="253" spans="1:17" x14ac:dyDescent="0.25">
      <c r="A253" t="s">
        <v>1679</v>
      </c>
      <c r="B253" s="5">
        <v>45377</v>
      </c>
      <c r="C253" s="5" t="str">
        <f>TEXT(Greenleaf[[#This Row],[Order Date]],"MMM")</f>
        <v>Mar</v>
      </c>
      <c r="D253" s="5" t="str">
        <f>TEXT(Greenleaf[[#This Row],[Order Date]],"YYYY")</f>
        <v>2024</v>
      </c>
      <c r="E253" t="s">
        <v>2461</v>
      </c>
      <c r="F253" s="7" t="s">
        <v>1011</v>
      </c>
      <c r="G253" s="9">
        <v>9</v>
      </c>
      <c r="H253" s="11">
        <v>12</v>
      </c>
      <c r="I253" s="13">
        <v>2.99</v>
      </c>
      <c r="J253" t="s">
        <v>1032</v>
      </c>
      <c r="K253" t="s">
        <v>2556</v>
      </c>
      <c r="L253" s="7" t="s">
        <v>1414</v>
      </c>
      <c r="M253" s="7" t="s">
        <v>1424</v>
      </c>
      <c r="N253" s="14">
        <f>Greenleaf[[#This Row],[Unit Price]]*Greenleaf[[#This Row],[Quantity Sold]]</f>
        <v>108</v>
      </c>
      <c r="O253" s="13">
        <f>Greenleaf[[#This Row],[Unit Cost]]*Greenleaf[[#This Row],[Quantity Sold]]</f>
        <v>26.910000000000004</v>
      </c>
      <c r="P253" s="13">
        <f>Greenleaf[[#This Row],[ Unit  price per quantity]]-Greenleaf[[#This Row],[ Unit cost per quantity]]</f>
        <v>81.09</v>
      </c>
      <c r="Q253" s="14">
        <f>Greenleaf[[#This Row],[Quantity Sold]]*Greenleaf[[#This Row],[Unit Price]]</f>
        <v>108</v>
      </c>
    </row>
    <row r="254" spans="1:17" x14ac:dyDescent="0.25">
      <c r="A254" t="s">
        <v>1680</v>
      </c>
      <c r="B254" s="5">
        <v>45377</v>
      </c>
      <c r="C254" s="5" t="str">
        <f>TEXT(Greenleaf[[#This Row],[Order Date]],"MMM")</f>
        <v>Mar</v>
      </c>
      <c r="D254" s="5" t="str">
        <f>TEXT(Greenleaf[[#This Row],[Order Date]],"YYYY")</f>
        <v>2024</v>
      </c>
      <c r="E254" t="s">
        <v>2464</v>
      </c>
      <c r="F254" s="7" t="s">
        <v>1012</v>
      </c>
      <c r="G254" s="9">
        <v>3</v>
      </c>
      <c r="H254" s="11">
        <v>40</v>
      </c>
      <c r="I254" s="13">
        <v>12.12</v>
      </c>
      <c r="J254" t="s">
        <v>1164</v>
      </c>
      <c r="K254" t="s">
        <v>2567</v>
      </c>
      <c r="L254" s="7" t="s">
        <v>1414</v>
      </c>
      <c r="M254" s="7" t="s">
        <v>1427</v>
      </c>
      <c r="N254" s="14">
        <f>Greenleaf[[#This Row],[Unit Price]]*Greenleaf[[#This Row],[Quantity Sold]]</f>
        <v>120</v>
      </c>
      <c r="O254" s="13">
        <f>Greenleaf[[#This Row],[Unit Cost]]*Greenleaf[[#This Row],[Quantity Sold]]</f>
        <v>36.36</v>
      </c>
      <c r="P254" s="13">
        <f>Greenleaf[[#This Row],[ Unit  price per quantity]]-Greenleaf[[#This Row],[ Unit cost per quantity]]</f>
        <v>83.64</v>
      </c>
      <c r="Q254" s="14">
        <f>Greenleaf[[#This Row],[Quantity Sold]]*Greenleaf[[#This Row],[Unit Price]]</f>
        <v>120</v>
      </c>
    </row>
    <row r="255" spans="1:17" x14ac:dyDescent="0.25">
      <c r="A255" t="s">
        <v>1681</v>
      </c>
      <c r="B255" s="5">
        <v>45377</v>
      </c>
      <c r="C255" s="5" t="str">
        <f>TEXT(Greenleaf[[#This Row],[Order Date]],"MMM")</f>
        <v>Mar</v>
      </c>
      <c r="D255" s="5" t="str">
        <f>TEXT(Greenleaf[[#This Row],[Order Date]],"YYYY")</f>
        <v>2024</v>
      </c>
      <c r="E255" t="s">
        <v>2461</v>
      </c>
      <c r="F255" s="7" t="s">
        <v>1011</v>
      </c>
      <c r="G255" s="9">
        <v>1</v>
      </c>
      <c r="H255" s="11">
        <v>12</v>
      </c>
      <c r="I255" s="13">
        <v>3.21</v>
      </c>
      <c r="J255" t="s">
        <v>1171</v>
      </c>
      <c r="K255" t="s">
        <v>2518</v>
      </c>
      <c r="L255" s="7" t="s">
        <v>1416</v>
      </c>
      <c r="M255" s="7" t="s">
        <v>1420</v>
      </c>
      <c r="N255" s="14">
        <f>Greenleaf[[#This Row],[Unit Price]]*Greenleaf[[#This Row],[Quantity Sold]]</f>
        <v>12</v>
      </c>
      <c r="O255" s="13">
        <f>Greenleaf[[#This Row],[Unit Cost]]*Greenleaf[[#This Row],[Quantity Sold]]</f>
        <v>3.21</v>
      </c>
      <c r="P255" s="13">
        <f>Greenleaf[[#This Row],[ Unit  price per quantity]]-Greenleaf[[#This Row],[ Unit cost per quantity]]</f>
        <v>8.7899999999999991</v>
      </c>
      <c r="Q255" s="14">
        <f>Greenleaf[[#This Row],[Quantity Sold]]*Greenleaf[[#This Row],[Unit Price]]</f>
        <v>12</v>
      </c>
    </row>
    <row r="256" spans="1:17" x14ac:dyDescent="0.25">
      <c r="A256" t="s">
        <v>1682</v>
      </c>
      <c r="B256" s="5">
        <v>45378</v>
      </c>
      <c r="C256" s="5" t="str">
        <f>TEXT(Greenleaf[[#This Row],[Order Date]],"MMM")</f>
        <v>Mar</v>
      </c>
      <c r="D256" s="5" t="str">
        <f>TEXT(Greenleaf[[#This Row],[Order Date]],"YYYY")</f>
        <v>2024</v>
      </c>
      <c r="E256" t="s">
        <v>2461</v>
      </c>
      <c r="F256" s="7" t="s">
        <v>1011</v>
      </c>
      <c r="G256" s="9">
        <v>5</v>
      </c>
      <c r="H256" s="11">
        <v>12</v>
      </c>
      <c r="I256" s="13">
        <v>3.41</v>
      </c>
      <c r="J256" t="s">
        <v>1016</v>
      </c>
      <c r="K256" t="s">
        <v>2478</v>
      </c>
      <c r="L256" s="7" t="s">
        <v>1414</v>
      </c>
      <c r="M256" s="7" t="s">
        <v>1418</v>
      </c>
      <c r="N256" s="14">
        <f>Greenleaf[[#This Row],[Unit Price]]*Greenleaf[[#This Row],[Quantity Sold]]</f>
        <v>60</v>
      </c>
      <c r="O256" s="13">
        <f>Greenleaf[[#This Row],[Unit Cost]]*Greenleaf[[#This Row],[Quantity Sold]]</f>
        <v>17.05</v>
      </c>
      <c r="P256" s="13">
        <f>Greenleaf[[#This Row],[ Unit  price per quantity]]-Greenleaf[[#This Row],[ Unit cost per quantity]]</f>
        <v>42.95</v>
      </c>
      <c r="Q256" s="14">
        <f>Greenleaf[[#This Row],[Quantity Sold]]*Greenleaf[[#This Row],[Unit Price]]</f>
        <v>60</v>
      </c>
    </row>
    <row r="257" spans="1:17" x14ac:dyDescent="0.25">
      <c r="A257" t="s">
        <v>1683</v>
      </c>
      <c r="B257" s="5">
        <v>45378</v>
      </c>
      <c r="C257" s="5" t="str">
        <f>TEXT(Greenleaf[[#This Row],[Order Date]],"MMM")</f>
        <v>Mar</v>
      </c>
      <c r="D257" s="5" t="str">
        <f>TEXT(Greenleaf[[#This Row],[Order Date]],"YYYY")</f>
        <v>2024</v>
      </c>
      <c r="E257" t="s">
        <v>2463</v>
      </c>
      <c r="F257" s="7" t="s">
        <v>1014</v>
      </c>
      <c r="G257" s="9">
        <v>9</v>
      </c>
      <c r="H257" s="11">
        <v>15</v>
      </c>
      <c r="I257" s="13">
        <v>3.88</v>
      </c>
      <c r="J257" t="s">
        <v>1052</v>
      </c>
      <c r="K257" t="s">
        <v>2504</v>
      </c>
      <c r="L257" s="7" t="s">
        <v>1414</v>
      </c>
      <c r="M257" s="7" t="s">
        <v>1425</v>
      </c>
      <c r="N257" s="14">
        <f>Greenleaf[[#This Row],[Unit Price]]*Greenleaf[[#This Row],[Quantity Sold]]</f>
        <v>135</v>
      </c>
      <c r="O257" s="13">
        <f>Greenleaf[[#This Row],[Unit Cost]]*Greenleaf[[#This Row],[Quantity Sold]]</f>
        <v>34.92</v>
      </c>
      <c r="P257" s="13">
        <f>Greenleaf[[#This Row],[ Unit  price per quantity]]-Greenleaf[[#This Row],[ Unit cost per quantity]]</f>
        <v>100.08</v>
      </c>
      <c r="Q257" s="14">
        <f>Greenleaf[[#This Row],[Quantity Sold]]*Greenleaf[[#This Row],[Unit Price]]</f>
        <v>135</v>
      </c>
    </row>
    <row r="258" spans="1:17" x14ac:dyDescent="0.25">
      <c r="A258" t="s">
        <v>1684</v>
      </c>
      <c r="B258" s="5">
        <v>45378</v>
      </c>
      <c r="C258" s="5" t="str">
        <f>TEXT(Greenleaf[[#This Row],[Order Date]],"MMM")</f>
        <v>Mar</v>
      </c>
      <c r="D258" s="5" t="str">
        <f>TEXT(Greenleaf[[#This Row],[Order Date]],"YYYY")</f>
        <v>2024</v>
      </c>
      <c r="E258" t="s">
        <v>2464</v>
      </c>
      <c r="F258" s="7" t="s">
        <v>1012</v>
      </c>
      <c r="G258" s="9">
        <v>10</v>
      </c>
      <c r="H258" s="11">
        <v>40</v>
      </c>
      <c r="I258" s="13">
        <v>11.05</v>
      </c>
      <c r="J258" t="s">
        <v>1109</v>
      </c>
      <c r="K258" t="s">
        <v>2560</v>
      </c>
      <c r="L258" s="7" t="s">
        <v>1414</v>
      </c>
      <c r="M258" s="7" t="s">
        <v>1426</v>
      </c>
      <c r="N258" s="14">
        <f>Greenleaf[[#This Row],[Unit Price]]*Greenleaf[[#This Row],[Quantity Sold]]</f>
        <v>400</v>
      </c>
      <c r="O258" s="13">
        <f>Greenleaf[[#This Row],[Unit Cost]]*Greenleaf[[#This Row],[Quantity Sold]]</f>
        <v>110.5</v>
      </c>
      <c r="P258" s="13">
        <f>Greenleaf[[#This Row],[ Unit  price per quantity]]-Greenleaf[[#This Row],[ Unit cost per quantity]]</f>
        <v>289.5</v>
      </c>
      <c r="Q258" s="14">
        <f>Greenleaf[[#This Row],[Quantity Sold]]*Greenleaf[[#This Row],[Unit Price]]</f>
        <v>400</v>
      </c>
    </row>
    <row r="259" spans="1:17" x14ac:dyDescent="0.25">
      <c r="A259" t="s">
        <v>1685</v>
      </c>
      <c r="B259" s="5">
        <v>45378</v>
      </c>
      <c r="C259" s="5" t="str">
        <f>TEXT(Greenleaf[[#This Row],[Order Date]],"MMM")</f>
        <v>Mar</v>
      </c>
      <c r="D259" s="5" t="str">
        <f>TEXT(Greenleaf[[#This Row],[Order Date]],"YYYY")</f>
        <v>2024</v>
      </c>
      <c r="E259" t="s">
        <v>2460</v>
      </c>
      <c r="F259" s="7" t="s">
        <v>1015</v>
      </c>
      <c r="G259" s="9">
        <v>2</v>
      </c>
      <c r="H259" s="11">
        <v>10</v>
      </c>
      <c r="I259" s="13">
        <v>3.43</v>
      </c>
      <c r="J259" t="s">
        <v>1080</v>
      </c>
      <c r="K259" t="s">
        <v>2470</v>
      </c>
      <c r="L259" s="7" t="s">
        <v>1415</v>
      </c>
      <c r="M259" s="7" t="s">
        <v>1426</v>
      </c>
      <c r="N259" s="14">
        <f>Greenleaf[[#This Row],[Unit Price]]*Greenleaf[[#This Row],[Quantity Sold]]</f>
        <v>20</v>
      </c>
      <c r="O259" s="13">
        <f>Greenleaf[[#This Row],[Unit Cost]]*Greenleaf[[#This Row],[Quantity Sold]]</f>
        <v>6.86</v>
      </c>
      <c r="P259" s="13">
        <f>Greenleaf[[#This Row],[ Unit  price per quantity]]-Greenleaf[[#This Row],[ Unit cost per quantity]]</f>
        <v>13.14</v>
      </c>
      <c r="Q259" s="14">
        <f>Greenleaf[[#This Row],[Quantity Sold]]*Greenleaf[[#This Row],[Unit Price]]</f>
        <v>20</v>
      </c>
    </row>
    <row r="260" spans="1:17" x14ac:dyDescent="0.25">
      <c r="A260" t="s">
        <v>1686</v>
      </c>
      <c r="B260" s="5">
        <v>45379</v>
      </c>
      <c r="C260" s="5" t="str">
        <f>TEXT(Greenleaf[[#This Row],[Order Date]],"MMM")</f>
        <v>Mar</v>
      </c>
      <c r="D260" s="5" t="str">
        <f>TEXT(Greenleaf[[#This Row],[Order Date]],"YYYY")</f>
        <v>2024</v>
      </c>
      <c r="E260" t="s">
        <v>2462</v>
      </c>
      <c r="F260" s="7" t="s">
        <v>1013</v>
      </c>
      <c r="G260" s="9">
        <v>2</v>
      </c>
      <c r="H260" s="11">
        <v>25</v>
      </c>
      <c r="I260" s="13">
        <v>6.89</v>
      </c>
      <c r="J260" t="s">
        <v>1134</v>
      </c>
      <c r="K260" t="s">
        <v>2477</v>
      </c>
      <c r="L260" s="7" t="s">
        <v>1415</v>
      </c>
      <c r="M260" s="7" t="s">
        <v>1427</v>
      </c>
      <c r="N260" s="14">
        <f>Greenleaf[[#This Row],[Unit Price]]*Greenleaf[[#This Row],[Quantity Sold]]</f>
        <v>50</v>
      </c>
      <c r="O260" s="13">
        <f>Greenleaf[[#This Row],[Unit Cost]]*Greenleaf[[#This Row],[Quantity Sold]]</f>
        <v>13.78</v>
      </c>
      <c r="P260" s="13">
        <f>Greenleaf[[#This Row],[ Unit  price per quantity]]-Greenleaf[[#This Row],[ Unit cost per quantity]]</f>
        <v>36.22</v>
      </c>
      <c r="Q260" s="14">
        <f>Greenleaf[[#This Row],[Quantity Sold]]*Greenleaf[[#This Row],[Unit Price]]</f>
        <v>50</v>
      </c>
    </row>
    <row r="261" spans="1:17" x14ac:dyDescent="0.25">
      <c r="A261" t="s">
        <v>1687</v>
      </c>
      <c r="B261" s="5">
        <v>45379</v>
      </c>
      <c r="C261" s="5" t="str">
        <f>TEXT(Greenleaf[[#This Row],[Order Date]],"MMM")</f>
        <v>Mar</v>
      </c>
      <c r="D261" s="5" t="str">
        <f>TEXT(Greenleaf[[#This Row],[Order Date]],"YYYY")</f>
        <v>2024</v>
      </c>
      <c r="E261" t="s">
        <v>2460</v>
      </c>
      <c r="F261" s="7" t="s">
        <v>1015</v>
      </c>
      <c r="G261" s="9">
        <v>7</v>
      </c>
      <c r="H261" s="11">
        <v>10</v>
      </c>
      <c r="I261" s="13">
        <v>2.2000000000000002</v>
      </c>
      <c r="J261" t="s">
        <v>1109</v>
      </c>
      <c r="K261" t="s">
        <v>2560</v>
      </c>
      <c r="L261" s="7" t="s">
        <v>1416</v>
      </c>
      <c r="M261" s="7" t="s">
        <v>1418</v>
      </c>
      <c r="N261" s="14">
        <f>Greenleaf[[#This Row],[Unit Price]]*Greenleaf[[#This Row],[Quantity Sold]]</f>
        <v>70</v>
      </c>
      <c r="O261" s="13">
        <f>Greenleaf[[#This Row],[Unit Cost]]*Greenleaf[[#This Row],[Quantity Sold]]</f>
        <v>15.400000000000002</v>
      </c>
      <c r="P261" s="13">
        <f>Greenleaf[[#This Row],[ Unit  price per quantity]]-Greenleaf[[#This Row],[ Unit cost per quantity]]</f>
        <v>54.599999999999994</v>
      </c>
      <c r="Q261" s="14">
        <f>Greenleaf[[#This Row],[Quantity Sold]]*Greenleaf[[#This Row],[Unit Price]]</f>
        <v>70</v>
      </c>
    </row>
    <row r="262" spans="1:17" x14ac:dyDescent="0.25">
      <c r="A262" t="s">
        <v>1688</v>
      </c>
      <c r="B262" s="5">
        <v>45379</v>
      </c>
      <c r="C262" s="5" t="str">
        <f>TEXT(Greenleaf[[#This Row],[Order Date]],"MMM")</f>
        <v>Mar</v>
      </c>
      <c r="D262" s="5" t="str">
        <f>TEXT(Greenleaf[[#This Row],[Order Date]],"YYYY")</f>
        <v>2024</v>
      </c>
      <c r="E262" t="s">
        <v>2462</v>
      </c>
      <c r="F262" s="7" t="s">
        <v>1013</v>
      </c>
      <c r="G262" s="9">
        <v>7</v>
      </c>
      <c r="H262" s="11">
        <v>25</v>
      </c>
      <c r="I262" s="13">
        <v>5.89</v>
      </c>
      <c r="J262" t="s">
        <v>1153</v>
      </c>
      <c r="K262" t="s">
        <v>2566</v>
      </c>
      <c r="L262" s="7" t="s">
        <v>1414</v>
      </c>
      <c r="M262" s="7" t="s">
        <v>1424</v>
      </c>
      <c r="N262" s="14">
        <f>Greenleaf[[#This Row],[Unit Price]]*Greenleaf[[#This Row],[Quantity Sold]]</f>
        <v>175</v>
      </c>
      <c r="O262" s="13">
        <f>Greenleaf[[#This Row],[Unit Cost]]*Greenleaf[[#This Row],[Quantity Sold]]</f>
        <v>41.23</v>
      </c>
      <c r="P262" s="13">
        <f>Greenleaf[[#This Row],[ Unit  price per quantity]]-Greenleaf[[#This Row],[ Unit cost per quantity]]</f>
        <v>133.77000000000001</v>
      </c>
      <c r="Q262" s="14">
        <f>Greenleaf[[#This Row],[Quantity Sold]]*Greenleaf[[#This Row],[Unit Price]]</f>
        <v>175</v>
      </c>
    </row>
    <row r="263" spans="1:17" x14ac:dyDescent="0.25">
      <c r="A263" t="s">
        <v>1689</v>
      </c>
      <c r="B263" s="5">
        <v>45379</v>
      </c>
      <c r="C263" s="5" t="str">
        <f>TEXT(Greenleaf[[#This Row],[Order Date]],"MMM")</f>
        <v>Mar</v>
      </c>
      <c r="D263" s="5" t="str">
        <f>TEXT(Greenleaf[[#This Row],[Order Date]],"YYYY")</f>
        <v>2024</v>
      </c>
      <c r="E263" t="s">
        <v>2462</v>
      </c>
      <c r="F263" s="7" t="s">
        <v>1013</v>
      </c>
      <c r="G263" s="9">
        <v>8</v>
      </c>
      <c r="H263" s="11">
        <v>25</v>
      </c>
      <c r="I263" s="13">
        <v>8.61</v>
      </c>
      <c r="J263" t="s">
        <v>1197</v>
      </c>
      <c r="K263" t="s">
        <v>2522</v>
      </c>
      <c r="L263" s="7" t="s">
        <v>1414</v>
      </c>
      <c r="M263" s="7" t="s">
        <v>1418</v>
      </c>
      <c r="N263" s="14">
        <f>Greenleaf[[#This Row],[Unit Price]]*Greenleaf[[#This Row],[Quantity Sold]]</f>
        <v>200</v>
      </c>
      <c r="O263" s="13">
        <f>Greenleaf[[#This Row],[Unit Cost]]*Greenleaf[[#This Row],[Quantity Sold]]</f>
        <v>68.88</v>
      </c>
      <c r="P263" s="13">
        <f>Greenleaf[[#This Row],[ Unit  price per quantity]]-Greenleaf[[#This Row],[ Unit cost per quantity]]</f>
        <v>131.12</v>
      </c>
      <c r="Q263" s="14">
        <f>Greenleaf[[#This Row],[Quantity Sold]]*Greenleaf[[#This Row],[Unit Price]]</f>
        <v>200</v>
      </c>
    </row>
    <row r="264" spans="1:17" x14ac:dyDescent="0.25">
      <c r="A264" t="s">
        <v>1690</v>
      </c>
      <c r="B264" s="5">
        <v>45380</v>
      </c>
      <c r="C264" s="5" t="str">
        <f>TEXT(Greenleaf[[#This Row],[Order Date]],"MMM")</f>
        <v>Mar</v>
      </c>
      <c r="D264" s="5" t="str">
        <f>TEXT(Greenleaf[[#This Row],[Order Date]],"YYYY")</f>
        <v>2024</v>
      </c>
      <c r="E264" t="s">
        <v>2460</v>
      </c>
      <c r="F264" s="7" t="s">
        <v>1015</v>
      </c>
      <c r="G264" s="9">
        <v>5</v>
      </c>
      <c r="H264" s="11">
        <v>10</v>
      </c>
      <c r="I264" s="13">
        <v>2.82</v>
      </c>
      <c r="J264" t="s">
        <v>1087</v>
      </c>
      <c r="K264" t="s">
        <v>2521</v>
      </c>
      <c r="L264" s="7" t="s">
        <v>1414</v>
      </c>
      <c r="M264" s="7" t="s">
        <v>1427</v>
      </c>
      <c r="N264" s="14">
        <f>Greenleaf[[#This Row],[Unit Price]]*Greenleaf[[#This Row],[Quantity Sold]]</f>
        <v>50</v>
      </c>
      <c r="O264" s="13">
        <f>Greenleaf[[#This Row],[Unit Cost]]*Greenleaf[[#This Row],[Quantity Sold]]</f>
        <v>14.1</v>
      </c>
      <c r="P264" s="13">
        <f>Greenleaf[[#This Row],[ Unit  price per quantity]]-Greenleaf[[#This Row],[ Unit cost per quantity]]</f>
        <v>35.9</v>
      </c>
      <c r="Q264" s="14">
        <f>Greenleaf[[#This Row],[Quantity Sold]]*Greenleaf[[#This Row],[Unit Price]]</f>
        <v>50</v>
      </c>
    </row>
    <row r="265" spans="1:17" x14ac:dyDescent="0.25">
      <c r="A265" t="s">
        <v>1691</v>
      </c>
      <c r="B265" s="5">
        <v>45380</v>
      </c>
      <c r="C265" s="5" t="str">
        <f>TEXT(Greenleaf[[#This Row],[Order Date]],"MMM")</f>
        <v>Mar</v>
      </c>
      <c r="D265" s="5" t="str">
        <f>TEXT(Greenleaf[[#This Row],[Order Date]],"YYYY")</f>
        <v>2024</v>
      </c>
      <c r="E265" t="s">
        <v>2464</v>
      </c>
      <c r="F265" s="7" t="s">
        <v>1012</v>
      </c>
      <c r="G265" s="9">
        <v>10</v>
      </c>
      <c r="H265" s="11">
        <v>40</v>
      </c>
      <c r="I265" s="13">
        <v>11.87</v>
      </c>
      <c r="J265" t="s">
        <v>1138</v>
      </c>
      <c r="K265" t="s">
        <v>2538</v>
      </c>
      <c r="L265" s="7" t="s">
        <v>1414</v>
      </c>
      <c r="M265" s="7" t="s">
        <v>1425</v>
      </c>
      <c r="N265" s="14">
        <f>Greenleaf[[#This Row],[Unit Price]]*Greenleaf[[#This Row],[Quantity Sold]]</f>
        <v>400</v>
      </c>
      <c r="O265" s="13">
        <f>Greenleaf[[#This Row],[Unit Cost]]*Greenleaf[[#This Row],[Quantity Sold]]</f>
        <v>118.69999999999999</v>
      </c>
      <c r="P265" s="13">
        <f>Greenleaf[[#This Row],[ Unit  price per quantity]]-Greenleaf[[#This Row],[ Unit cost per quantity]]</f>
        <v>281.3</v>
      </c>
      <c r="Q265" s="14">
        <f>Greenleaf[[#This Row],[Quantity Sold]]*Greenleaf[[#This Row],[Unit Price]]</f>
        <v>400</v>
      </c>
    </row>
    <row r="266" spans="1:17" x14ac:dyDescent="0.25">
      <c r="A266" t="s">
        <v>1692</v>
      </c>
      <c r="B266" s="5">
        <v>45381</v>
      </c>
      <c r="C266" s="5" t="str">
        <f>TEXT(Greenleaf[[#This Row],[Order Date]],"MMM")</f>
        <v>Mar</v>
      </c>
      <c r="D266" s="5" t="str">
        <f>TEXT(Greenleaf[[#This Row],[Order Date]],"YYYY")</f>
        <v>2024</v>
      </c>
      <c r="E266" t="s">
        <v>2463</v>
      </c>
      <c r="F266" s="7" t="s">
        <v>1014</v>
      </c>
      <c r="G266" s="9">
        <v>1</v>
      </c>
      <c r="H266" s="11">
        <v>15</v>
      </c>
      <c r="I266" s="13">
        <v>5.3</v>
      </c>
      <c r="J266" t="s">
        <v>1066</v>
      </c>
      <c r="K266" t="s">
        <v>2487</v>
      </c>
      <c r="L266" s="7" t="s">
        <v>1414</v>
      </c>
      <c r="M266" s="7" t="s">
        <v>1420</v>
      </c>
      <c r="N266" s="14">
        <f>Greenleaf[[#This Row],[Unit Price]]*Greenleaf[[#This Row],[Quantity Sold]]</f>
        <v>15</v>
      </c>
      <c r="O266" s="13">
        <f>Greenleaf[[#This Row],[Unit Cost]]*Greenleaf[[#This Row],[Quantity Sold]]</f>
        <v>5.3</v>
      </c>
      <c r="P266" s="13">
        <f>Greenleaf[[#This Row],[ Unit  price per quantity]]-Greenleaf[[#This Row],[ Unit cost per quantity]]</f>
        <v>9.6999999999999993</v>
      </c>
      <c r="Q266" s="14">
        <f>Greenleaf[[#This Row],[Quantity Sold]]*Greenleaf[[#This Row],[Unit Price]]</f>
        <v>15</v>
      </c>
    </row>
    <row r="267" spans="1:17" x14ac:dyDescent="0.25">
      <c r="A267" t="s">
        <v>1693</v>
      </c>
      <c r="B267" s="5">
        <v>45381</v>
      </c>
      <c r="C267" s="5" t="str">
        <f>TEXT(Greenleaf[[#This Row],[Order Date]],"MMM")</f>
        <v>Mar</v>
      </c>
      <c r="D267" s="5" t="str">
        <f>TEXT(Greenleaf[[#This Row],[Order Date]],"YYYY")</f>
        <v>2024</v>
      </c>
      <c r="E267" t="s">
        <v>2462</v>
      </c>
      <c r="F267" s="7" t="s">
        <v>1013</v>
      </c>
      <c r="G267" s="9">
        <v>4</v>
      </c>
      <c r="H267" s="11">
        <v>25</v>
      </c>
      <c r="I267" s="13">
        <v>9.4600000000000009</v>
      </c>
      <c r="J267" t="s">
        <v>1181</v>
      </c>
      <c r="K267" t="s">
        <v>2536</v>
      </c>
      <c r="L267" s="7" t="s">
        <v>1415</v>
      </c>
      <c r="M267" s="7" t="s">
        <v>1426</v>
      </c>
      <c r="N267" s="14">
        <f>Greenleaf[[#This Row],[Unit Price]]*Greenleaf[[#This Row],[Quantity Sold]]</f>
        <v>100</v>
      </c>
      <c r="O267" s="13">
        <f>Greenleaf[[#This Row],[Unit Cost]]*Greenleaf[[#This Row],[Quantity Sold]]</f>
        <v>37.840000000000003</v>
      </c>
      <c r="P267" s="13">
        <f>Greenleaf[[#This Row],[ Unit  price per quantity]]-Greenleaf[[#This Row],[ Unit cost per quantity]]</f>
        <v>62.16</v>
      </c>
      <c r="Q267" s="14">
        <f>Greenleaf[[#This Row],[Quantity Sold]]*Greenleaf[[#This Row],[Unit Price]]</f>
        <v>100</v>
      </c>
    </row>
    <row r="268" spans="1:17" x14ac:dyDescent="0.25">
      <c r="A268" t="s">
        <v>1694</v>
      </c>
      <c r="B268" s="5">
        <v>45382</v>
      </c>
      <c r="C268" s="5" t="str">
        <f>TEXT(Greenleaf[[#This Row],[Order Date]],"MMM")</f>
        <v>Mar</v>
      </c>
      <c r="D268" s="5" t="str">
        <f>TEXT(Greenleaf[[#This Row],[Order Date]],"YYYY")</f>
        <v>2024</v>
      </c>
      <c r="E268" t="s">
        <v>2464</v>
      </c>
      <c r="F268" s="7" t="s">
        <v>1012</v>
      </c>
      <c r="G268" s="9">
        <v>1</v>
      </c>
      <c r="H268" s="11">
        <v>40</v>
      </c>
      <c r="I268" s="13">
        <v>12.13</v>
      </c>
      <c r="J268" t="s">
        <v>1043</v>
      </c>
      <c r="K268" t="s">
        <v>2474</v>
      </c>
      <c r="L268" s="7" t="s">
        <v>1417</v>
      </c>
      <c r="M268" s="7" t="s">
        <v>1419</v>
      </c>
      <c r="N268" s="14">
        <f>Greenleaf[[#This Row],[Unit Price]]*Greenleaf[[#This Row],[Quantity Sold]]</f>
        <v>40</v>
      </c>
      <c r="O268" s="13">
        <f>Greenleaf[[#This Row],[Unit Cost]]*Greenleaf[[#This Row],[Quantity Sold]]</f>
        <v>12.13</v>
      </c>
      <c r="P268" s="13">
        <f>Greenleaf[[#This Row],[ Unit  price per quantity]]-Greenleaf[[#This Row],[ Unit cost per quantity]]</f>
        <v>27.869999999999997</v>
      </c>
      <c r="Q268" s="14">
        <f>Greenleaf[[#This Row],[Quantity Sold]]*Greenleaf[[#This Row],[Unit Price]]</f>
        <v>40</v>
      </c>
    </row>
    <row r="269" spans="1:17" x14ac:dyDescent="0.25">
      <c r="A269" t="s">
        <v>1695</v>
      </c>
      <c r="B269" s="5">
        <v>45382</v>
      </c>
      <c r="C269" s="5" t="str">
        <f>TEXT(Greenleaf[[#This Row],[Order Date]],"MMM")</f>
        <v>Mar</v>
      </c>
      <c r="D269" s="5" t="str">
        <f>TEXT(Greenleaf[[#This Row],[Order Date]],"YYYY")</f>
        <v>2024</v>
      </c>
      <c r="E269" t="s">
        <v>2461</v>
      </c>
      <c r="F269" s="7" t="s">
        <v>1011</v>
      </c>
      <c r="G269" s="9">
        <v>4</v>
      </c>
      <c r="H269" s="11">
        <v>12</v>
      </c>
      <c r="I269" s="13">
        <v>3.9</v>
      </c>
      <c r="J269" t="s">
        <v>1153</v>
      </c>
      <c r="K269" t="s">
        <v>2566</v>
      </c>
      <c r="L269" s="7" t="s">
        <v>1414</v>
      </c>
      <c r="M269" s="7" t="s">
        <v>1427</v>
      </c>
      <c r="N269" s="14">
        <f>Greenleaf[[#This Row],[Unit Price]]*Greenleaf[[#This Row],[Quantity Sold]]</f>
        <v>48</v>
      </c>
      <c r="O269" s="13">
        <f>Greenleaf[[#This Row],[Unit Cost]]*Greenleaf[[#This Row],[Quantity Sold]]</f>
        <v>15.6</v>
      </c>
      <c r="P269" s="13">
        <f>Greenleaf[[#This Row],[ Unit  price per quantity]]-Greenleaf[[#This Row],[ Unit cost per quantity]]</f>
        <v>32.4</v>
      </c>
      <c r="Q269" s="14">
        <f>Greenleaf[[#This Row],[Quantity Sold]]*Greenleaf[[#This Row],[Unit Price]]</f>
        <v>48</v>
      </c>
    </row>
    <row r="270" spans="1:17" x14ac:dyDescent="0.25">
      <c r="A270" t="s">
        <v>1696</v>
      </c>
      <c r="B270" s="5">
        <v>45382</v>
      </c>
      <c r="C270" s="5" t="str">
        <f>TEXT(Greenleaf[[#This Row],[Order Date]],"MMM")</f>
        <v>Mar</v>
      </c>
      <c r="D270" s="5" t="str">
        <f>TEXT(Greenleaf[[#This Row],[Order Date]],"YYYY")</f>
        <v>2024</v>
      </c>
      <c r="E270" t="s">
        <v>2460</v>
      </c>
      <c r="F270" s="7" t="s">
        <v>1015</v>
      </c>
      <c r="G270" s="9">
        <v>3</v>
      </c>
      <c r="H270" s="11">
        <v>10</v>
      </c>
      <c r="I270" s="13">
        <v>2.69</v>
      </c>
      <c r="J270" t="s">
        <v>1183</v>
      </c>
      <c r="K270" t="s">
        <v>2501</v>
      </c>
      <c r="L270" s="7" t="s">
        <v>1417</v>
      </c>
      <c r="M270" s="7" t="s">
        <v>1424</v>
      </c>
      <c r="N270" s="14">
        <f>Greenleaf[[#This Row],[Unit Price]]*Greenleaf[[#This Row],[Quantity Sold]]</f>
        <v>30</v>
      </c>
      <c r="O270" s="13">
        <f>Greenleaf[[#This Row],[Unit Cost]]*Greenleaf[[#This Row],[Quantity Sold]]</f>
        <v>8.07</v>
      </c>
      <c r="P270" s="13">
        <f>Greenleaf[[#This Row],[ Unit  price per quantity]]-Greenleaf[[#This Row],[ Unit cost per quantity]]</f>
        <v>21.93</v>
      </c>
      <c r="Q270" s="14">
        <f>Greenleaf[[#This Row],[Quantity Sold]]*Greenleaf[[#This Row],[Unit Price]]</f>
        <v>30</v>
      </c>
    </row>
    <row r="271" spans="1:17" x14ac:dyDescent="0.25">
      <c r="A271" t="s">
        <v>1697</v>
      </c>
      <c r="B271" s="5">
        <v>45382</v>
      </c>
      <c r="C271" s="5" t="str">
        <f>TEXT(Greenleaf[[#This Row],[Order Date]],"MMM")</f>
        <v>Mar</v>
      </c>
      <c r="D271" s="5" t="str">
        <f>TEXT(Greenleaf[[#This Row],[Order Date]],"YYYY")</f>
        <v>2024</v>
      </c>
      <c r="E271" t="s">
        <v>2464</v>
      </c>
      <c r="F271" s="7" t="s">
        <v>1012</v>
      </c>
      <c r="G271" s="9">
        <v>3</v>
      </c>
      <c r="H271" s="11">
        <v>40</v>
      </c>
      <c r="I271" s="13">
        <v>12.8</v>
      </c>
      <c r="J271" t="s">
        <v>1107</v>
      </c>
      <c r="K271" t="s">
        <v>2487</v>
      </c>
      <c r="L271" s="7" t="s">
        <v>1414</v>
      </c>
      <c r="M271" s="7" t="s">
        <v>1421</v>
      </c>
      <c r="N271" s="14">
        <f>Greenleaf[[#This Row],[Unit Price]]*Greenleaf[[#This Row],[Quantity Sold]]</f>
        <v>120</v>
      </c>
      <c r="O271" s="13">
        <f>Greenleaf[[#This Row],[Unit Cost]]*Greenleaf[[#This Row],[Quantity Sold]]</f>
        <v>38.400000000000006</v>
      </c>
      <c r="P271" s="13">
        <f>Greenleaf[[#This Row],[ Unit  price per quantity]]-Greenleaf[[#This Row],[ Unit cost per quantity]]</f>
        <v>81.599999999999994</v>
      </c>
      <c r="Q271" s="14">
        <f>Greenleaf[[#This Row],[Quantity Sold]]*Greenleaf[[#This Row],[Unit Price]]</f>
        <v>120</v>
      </c>
    </row>
    <row r="272" spans="1:17" x14ac:dyDescent="0.25">
      <c r="A272" t="s">
        <v>1698</v>
      </c>
      <c r="B272" s="5">
        <v>45382</v>
      </c>
      <c r="C272" s="5" t="str">
        <f>TEXT(Greenleaf[[#This Row],[Order Date]],"MMM")</f>
        <v>Mar</v>
      </c>
      <c r="D272" s="5" t="str">
        <f>TEXT(Greenleaf[[#This Row],[Order Date]],"YYYY")</f>
        <v>2024</v>
      </c>
      <c r="E272" t="s">
        <v>2463</v>
      </c>
      <c r="F272" s="7" t="s">
        <v>1014</v>
      </c>
      <c r="G272" s="9">
        <v>8</v>
      </c>
      <c r="H272" s="11">
        <v>15</v>
      </c>
      <c r="I272" s="13">
        <v>3.64</v>
      </c>
      <c r="J272" t="s">
        <v>1077</v>
      </c>
      <c r="K272" t="s">
        <v>2538</v>
      </c>
      <c r="L272" s="7" t="s">
        <v>1414</v>
      </c>
      <c r="M272" s="7" t="s">
        <v>1422</v>
      </c>
      <c r="N272" s="14">
        <f>Greenleaf[[#This Row],[Unit Price]]*Greenleaf[[#This Row],[Quantity Sold]]</f>
        <v>120</v>
      </c>
      <c r="O272" s="13">
        <f>Greenleaf[[#This Row],[Unit Cost]]*Greenleaf[[#This Row],[Quantity Sold]]</f>
        <v>29.12</v>
      </c>
      <c r="P272" s="13">
        <f>Greenleaf[[#This Row],[ Unit  price per quantity]]-Greenleaf[[#This Row],[ Unit cost per quantity]]</f>
        <v>90.88</v>
      </c>
      <c r="Q272" s="14">
        <f>Greenleaf[[#This Row],[Quantity Sold]]*Greenleaf[[#This Row],[Unit Price]]</f>
        <v>120</v>
      </c>
    </row>
    <row r="273" spans="1:17" x14ac:dyDescent="0.25">
      <c r="A273" t="s">
        <v>1699</v>
      </c>
      <c r="B273" s="5">
        <v>45382</v>
      </c>
      <c r="C273" s="5" t="str">
        <f>TEXT(Greenleaf[[#This Row],[Order Date]],"MMM")</f>
        <v>Mar</v>
      </c>
      <c r="D273" s="5" t="str">
        <f>TEXT(Greenleaf[[#This Row],[Order Date]],"YYYY")</f>
        <v>2024</v>
      </c>
      <c r="E273" t="s">
        <v>2460</v>
      </c>
      <c r="F273" s="7" t="s">
        <v>1015</v>
      </c>
      <c r="G273" s="9">
        <v>9</v>
      </c>
      <c r="H273" s="11">
        <v>10</v>
      </c>
      <c r="I273" s="13">
        <v>3.6</v>
      </c>
      <c r="J273" t="s">
        <v>1117</v>
      </c>
      <c r="K273" t="s">
        <v>2568</v>
      </c>
      <c r="L273" s="7" t="s">
        <v>1414</v>
      </c>
      <c r="M273" s="7" t="s">
        <v>1421</v>
      </c>
      <c r="N273" s="14">
        <f>Greenleaf[[#This Row],[Unit Price]]*Greenleaf[[#This Row],[Quantity Sold]]</f>
        <v>90</v>
      </c>
      <c r="O273" s="13">
        <f>Greenleaf[[#This Row],[Unit Cost]]*Greenleaf[[#This Row],[Quantity Sold]]</f>
        <v>32.4</v>
      </c>
      <c r="P273" s="13">
        <f>Greenleaf[[#This Row],[ Unit  price per quantity]]-Greenleaf[[#This Row],[ Unit cost per quantity]]</f>
        <v>57.6</v>
      </c>
      <c r="Q273" s="14">
        <f>Greenleaf[[#This Row],[Quantity Sold]]*Greenleaf[[#This Row],[Unit Price]]</f>
        <v>90</v>
      </c>
    </row>
    <row r="274" spans="1:17" x14ac:dyDescent="0.25">
      <c r="A274" t="s">
        <v>1700</v>
      </c>
      <c r="B274" s="5">
        <v>45383</v>
      </c>
      <c r="C274" s="5" t="str">
        <f>TEXT(Greenleaf[[#This Row],[Order Date]],"MMM")</f>
        <v>Apr</v>
      </c>
      <c r="D274" s="5" t="str">
        <f>TEXT(Greenleaf[[#This Row],[Order Date]],"YYYY")</f>
        <v>2024</v>
      </c>
      <c r="E274" t="s">
        <v>2462</v>
      </c>
      <c r="F274" s="7" t="s">
        <v>1013</v>
      </c>
      <c r="G274" s="9">
        <v>7</v>
      </c>
      <c r="H274" s="11">
        <v>25</v>
      </c>
      <c r="I274" s="13">
        <v>5.07</v>
      </c>
      <c r="J274" t="s">
        <v>1042</v>
      </c>
      <c r="K274" t="s">
        <v>2544</v>
      </c>
      <c r="L274" s="7" t="s">
        <v>1414</v>
      </c>
      <c r="M274" s="7" t="s">
        <v>1423</v>
      </c>
      <c r="N274" s="14">
        <f>Greenleaf[[#This Row],[Unit Price]]*Greenleaf[[#This Row],[Quantity Sold]]</f>
        <v>175</v>
      </c>
      <c r="O274" s="13">
        <f>Greenleaf[[#This Row],[Unit Cost]]*Greenleaf[[#This Row],[Quantity Sold]]</f>
        <v>35.49</v>
      </c>
      <c r="P274" s="13">
        <f>Greenleaf[[#This Row],[ Unit  price per quantity]]-Greenleaf[[#This Row],[ Unit cost per quantity]]</f>
        <v>139.51</v>
      </c>
      <c r="Q274" s="14">
        <f>Greenleaf[[#This Row],[Quantity Sold]]*Greenleaf[[#This Row],[Unit Price]]</f>
        <v>175</v>
      </c>
    </row>
    <row r="275" spans="1:17" x14ac:dyDescent="0.25">
      <c r="A275" t="s">
        <v>1701</v>
      </c>
      <c r="B275" s="5">
        <v>45383</v>
      </c>
      <c r="C275" s="5" t="str">
        <f>TEXT(Greenleaf[[#This Row],[Order Date]],"MMM")</f>
        <v>Apr</v>
      </c>
      <c r="D275" s="5" t="str">
        <f>TEXT(Greenleaf[[#This Row],[Order Date]],"YYYY")</f>
        <v>2024</v>
      </c>
      <c r="E275" t="s">
        <v>2461</v>
      </c>
      <c r="F275" s="7" t="s">
        <v>1011</v>
      </c>
      <c r="G275" s="9">
        <v>3</v>
      </c>
      <c r="H275" s="11">
        <v>12</v>
      </c>
      <c r="I275" s="13">
        <v>3.17</v>
      </c>
      <c r="J275" t="s">
        <v>1197</v>
      </c>
      <c r="K275" t="s">
        <v>2522</v>
      </c>
      <c r="L275" s="7" t="s">
        <v>1414</v>
      </c>
      <c r="M275" s="7" t="s">
        <v>1422</v>
      </c>
      <c r="N275" s="14">
        <f>Greenleaf[[#This Row],[Unit Price]]*Greenleaf[[#This Row],[Quantity Sold]]</f>
        <v>36</v>
      </c>
      <c r="O275" s="13">
        <f>Greenleaf[[#This Row],[Unit Cost]]*Greenleaf[[#This Row],[Quantity Sold]]</f>
        <v>9.51</v>
      </c>
      <c r="P275" s="13">
        <f>Greenleaf[[#This Row],[ Unit  price per quantity]]-Greenleaf[[#This Row],[ Unit cost per quantity]]</f>
        <v>26.490000000000002</v>
      </c>
      <c r="Q275" s="14">
        <f>Greenleaf[[#This Row],[Quantity Sold]]*Greenleaf[[#This Row],[Unit Price]]</f>
        <v>36</v>
      </c>
    </row>
    <row r="276" spans="1:17" x14ac:dyDescent="0.25">
      <c r="A276" t="s">
        <v>1702</v>
      </c>
      <c r="B276" s="5">
        <v>45384</v>
      </c>
      <c r="C276" s="5" t="str">
        <f>TEXT(Greenleaf[[#This Row],[Order Date]],"MMM")</f>
        <v>Apr</v>
      </c>
      <c r="D276" s="5" t="str">
        <f>TEXT(Greenleaf[[#This Row],[Order Date]],"YYYY")</f>
        <v>2024</v>
      </c>
      <c r="E276" t="s">
        <v>2461</v>
      </c>
      <c r="F276" s="7" t="s">
        <v>1011</v>
      </c>
      <c r="G276" s="9">
        <v>10</v>
      </c>
      <c r="H276" s="11">
        <v>12</v>
      </c>
      <c r="I276" s="13">
        <v>3.9</v>
      </c>
      <c r="J276" t="s">
        <v>1111</v>
      </c>
      <c r="K276" t="s">
        <v>2488</v>
      </c>
      <c r="L276" s="7" t="s">
        <v>1414</v>
      </c>
      <c r="M276" s="7" t="s">
        <v>1427</v>
      </c>
      <c r="N276" s="14">
        <f>Greenleaf[[#This Row],[Unit Price]]*Greenleaf[[#This Row],[Quantity Sold]]</f>
        <v>120</v>
      </c>
      <c r="O276" s="13">
        <f>Greenleaf[[#This Row],[Unit Cost]]*Greenleaf[[#This Row],[Quantity Sold]]</f>
        <v>39</v>
      </c>
      <c r="P276" s="13">
        <f>Greenleaf[[#This Row],[ Unit  price per quantity]]-Greenleaf[[#This Row],[ Unit cost per quantity]]</f>
        <v>81</v>
      </c>
      <c r="Q276" s="14">
        <f>Greenleaf[[#This Row],[Quantity Sold]]*Greenleaf[[#This Row],[Unit Price]]</f>
        <v>120</v>
      </c>
    </row>
    <row r="277" spans="1:17" x14ac:dyDescent="0.25">
      <c r="A277" t="s">
        <v>1703</v>
      </c>
      <c r="B277" s="5">
        <v>45384</v>
      </c>
      <c r="C277" s="5" t="str">
        <f>TEXT(Greenleaf[[#This Row],[Order Date]],"MMM")</f>
        <v>Apr</v>
      </c>
      <c r="D277" s="5" t="str">
        <f>TEXT(Greenleaf[[#This Row],[Order Date]],"YYYY")</f>
        <v>2024</v>
      </c>
      <c r="E277" t="s">
        <v>2463</v>
      </c>
      <c r="F277" s="7" t="s">
        <v>1014</v>
      </c>
      <c r="G277" s="9">
        <v>8</v>
      </c>
      <c r="H277" s="11">
        <v>15</v>
      </c>
      <c r="I277" s="13">
        <v>4.9400000000000004</v>
      </c>
      <c r="J277" t="s">
        <v>1091</v>
      </c>
      <c r="K277" t="s">
        <v>2569</v>
      </c>
      <c r="L277" s="7" t="s">
        <v>1414</v>
      </c>
      <c r="M277" s="7" t="s">
        <v>1420</v>
      </c>
      <c r="N277" s="14">
        <f>Greenleaf[[#This Row],[Unit Price]]*Greenleaf[[#This Row],[Quantity Sold]]</f>
        <v>120</v>
      </c>
      <c r="O277" s="13">
        <f>Greenleaf[[#This Row],[Unit Cost]]*Greenleaf[[#This Row],[Quantity Sold]]</f>
        <v>39.520000000000003</v>
      </c>
      <c r="P277" s="13">
        <f>Greenleaf[[#This Row],[ Unit  price per quantity]]-Greenleaf[[#This Row],[ Unit cost per quantity]]</f>
        <v>80.47999999999999</v>
      </c>
      <c r="Q277" s="14">
        <f>Greenleaf[[#This Row],[Quantity Sold]]*Greenleaf[[#This Row],[Unit Price]]</f>
        <v>120</v>
      </c>
    </row>
    <row r="278" spans="1:17" x14ac:dyDescent="0.25">
      <c r="A278" t="s">
        <v>1704</v>
      </c>
      <c r="B278" s="5">
        <v>45384</v>
      </c>
      <c r="C278" s="5" t="str">
        <f>TEXT(Greenleaf[[#This Row],[Order Date]],"MMM")</f>
        <v>Apr</v>
      </c>
      <c r="D278" s="5" t="str">
        <f>TEXT(Greenleaf[[#This Row],[Order Date]],"YYYY")</f>
        <v>2024</v>
      </c>
      <c r="E278" t="s">
        <v>2463</v>
      </c>
      <c r="F278" s="7" t="s">
        <v>1014</v>
      </c>
      <c r="G278" s="9">
        <v>1</v>
      </c>
      <c r="H278" s="11">
        <v>15</v>
      </c>
      <c r="I278" s="13">
        <v>5.04</v>
      </c>
      <c r="J278" t="s">
        <v>1179</v>
      </c>
      <c r="K278" t="s">
        <v>2570</v>
      </c>
      <c r="L278" s="7" t="s">
        <v>1414</v>
      </c>
      <c r="M278" s="7" t="s">
        <v>1423</v>
      </c>
      <c r="N278" s="14">
        <f>Greenleaf[[#This Row],[Unit Price]]*Greenleaf[[#This Row],[Quantity Sold]]</f>
        <v>15</v>
      </c>
      <c r="O278" s="13">
        <f>Greenleaf[[#This Row],[Unit Cost]]*Greenleaf[[#This Row],[Quantity Sold]]</f>
        <v>5.04</v>
      </c>
      <c r="P278" s="13">
        <f>Greenleaf[[#This Row],[ Unit  price per quantity]]-Greenleaf[[#This Row],[ Unit cost per quantity]]</f>
        <v>9.9600000000000009</v>
      </c>
      <c r="Q278" s="14">
        <f>Greenleaf[[#This Row],[Quantity Sold]]*Greenleaf[[#This Row],[Unit Price]]</f>
        <v>15</v>
      </c>
    </row>
    <row r="279" spans="1:17" x14ac:dyDescent="0.25">
      <c r="A279" t="s">
        <v>1705</v>
      </c>
      <c r="B279" s="5">
        <v>45385</v>
      </c>
      <c r="C279" s="5" t="str">
        <f>TEXT(Greenleaf[[#This Row],[Order Date]],"MMM")</f>
        <v>Apr</v>
      </c>
      <c r="D279" s="5" t="str">
        <f>TEXT(Greenleaf[[#This Row],[Order Date]],"YYYY")</f>
        <v>2024</v>
      </c>
      <c r="E279" t="s">
        <v>2464</v>
      </c>
      <c r="F279" s="7" t="s">
        <v>1012</v>
      </c>
      <c r="G279" s="9">
        <v>9</v>
      </c>
      <c r="H279" s="11">
        <v>40</v>
      </c>
      <c r="I279" s="13">
        <v>12.88</v>
      </c>
      <c r="J279" t="s">
        <v>1047</v>
      </c>
      <c r="K279" t="s">
        <v>2476</v>
      </c>
      <c r="L279" s="7" t="s">
        <v>1416</v>
      </c>
      <c r="M279" s="7" t="s">
        <v>1422</v>
      </c>
      <c r="N279" s="14">
        <f>Greenleaf[[#This Row],[Unit Price]]*Greenleaf[[#This Row],[Quantity Sold]]</f>
        <v>360</v>
      </c>
      <c r="O279" s="13">
        <f>Greenleaf[[#This Row],[Unit Cost]]*Greenleaf[[#This Row],[Quantity Sold]]</f>
        <v>115.92</v>
      </c>
      <c r="P279" s="13">
        <f>Greenleaf[[#This Row],[ Unit  price per quantity]]-Greenleaf[[#This Row],[ Unit cost per quantity]]</f>
        <v>244.07999999999998</v>
      </c>
      <c r="Q279" s="14">
        <f>Greenleaf[[#This Row],[Quantity Sold]]*Greenleaf[[#This Row],[Unit Price]]</f>
        <v>360</v>
      </c>
    </row>
    <row r="280" spans="1:17" x14ac:dyDescent="0.25">
      <c r="A280" t="s">
        <v>1706</v>
      </c>
      <c r="B280" s="5">
        <v>45385</v>
      </c>
      <c r="C280" s="5" t="str">
        <f>TEXT(Greenleaf[[#This Row],[Order Date]],"MMM")</f>
        <v>Apr</v>
      </c>
      <c r="D280" s="5" t="str">
        <f>TEXT(Greenleaf[[#This Row],[Order Date]],"YYYY")</f>
        <v>2024</v>
      </c>
      <c r="E280" t="s">
        <v>2463</v>
      </c>
      <c r="F280" s="7" t="s">
        <v>1014</v>
      </c>
      <c r="G280" s="9">
        <v>2</v>
      </c>
      <c r="H280" s="11">
        <v>15</v>
      </c>
      <c r="I280" s="13">
        <v>5.45</v>
      </c>
      <c r="J280" t="s">
        <v>1072</v>
      </c>
      <c r="K280" t="s">
        <v>2571</v>
      </c>
      <c r="L280" s="7" t="s">
        <v>1416</v>
      </c>
      <c r="M280" s="7" t="s">
        <v>1420</v>
      </c>
      <c r="N280" s="14">
        <f>Greenleaf[[#This Row],[Unit Price]]*Greenleaf[[#This Row],[Quantity Sold]]</f>
        <v>30</v>
      </c>
      <c r="O280" s="13">
        <f>Greenleaf[[#This Row],[Unit Cost]]*Greenleaf[[#This Row],[Quantity Sold]]</f>
        <v>10.9</v>
      </c>
      <c r="P280" s="13">
        <f>Greenleaf[[#This Row],[ Unit  price per quantity]]-Greenleaf[[#This Row],[ Unit cost per quantity]]</f>
        <v>19.100000000000001</v>
      </c>
      <c r="Q280" s="14">
        <f>Greenleaf[[#This Row],[Quantity Sold]]*Greenleaf[[#This Row],[Unit Price]]</f>
        <v>30</v>
      </c>
    </row>
    <row r="281" spans="1:17" x14ac:dyDescent="0.25">
      <c r="A281" t="s">
        <v>1707</v>
      </c>
      <c r="B281" s="5">
        <v>45385</v>
      </c>
      <c r="C281" s="5" t="str">
        <f>TEXT(Greenleaf[[#This Row],[Order Date]],"MMM")</f>
        <v>Apr</v>
      </c>
      <c r="D281" s="5" t="str">
        <f>TEXT(Greenleaf[[#This Row],[Order Date]],"YYYY")</f>
        <v>2024</v>
      </c>
      <c r="E281" t="s">
        <v>2461</v>
      </c>
      <c r="F281" s="7" t="s">
        <v>1011</v>
      </c>
      <c r="G281" s="9">
        <v>5</v>
      </c>
      <c r="H281" s="11">
        <v>12</v>
      </c>
      <c r="I281" s="13">
        <v>3.06</v>
      </c>
      <c r="J281" t="s">
        <v>1114</v>
      </c>
      <c r="K281" t="s">
        <v>2520</v>
      </c>
      <c r="L281" s="7" t="s">
        <v>1414</v>
      </c>
      <c r="M281" s="7" t="s">
        <v>1423</v>
      </c>
      <c r="N281" s="14">
        <f>Greenleaf[[#This Row],[Unit Price]]*Greenleaf[[#This Row],[Quantity Sold]]</f>
        <v>60</v>
      </c>
      <c r="O281" s="13">
        <f>Greenleaf[[#This Row],[Unit Cost]]*Greenleaf[[#This Row],[Quantity Sold]]</f>
        <v>15.3</v>
      </c>
      <c r="P281" s="13">
        <f>Greenleaf[[#This Row],[ Unit  price per quantity]]-Greenleaf[[#This Row],[ Unit cost per quantity]]</f>
        <v>44.7</v>
      </c>
      <c r="Q281" s="14">
        <f>Greenleaf[[#This Row],[Quantity Sold]]*Greenleaf[[#This Row],[Unit Price]]</f>
        <v>60</v>
      </c>
    </row>
    <row r="282" spans="1:17" x14ac:dyDescent="0.25">
      <c r="A282" t="s">
        <v>1708</v>
      </c>
      <c r="B282" s="5">
        <v>45386</v>
      </c>
      <c r="C282" s="5" t="str">
        <f>TEXT(Greenleaf[[#This Row],[Order Date]],"MMM")</f>
        <v>Apr</v>
      </c>
      <c r="D282" s="5" t="str">
        <f>TEXT(Greenleaf[[#This Row],[Order Date]],"YYYY")</f>
        <v>2024</v>
      </c>
      <c r="E282" t="s">
        <v>2460</v>
      </c>
      <c r="F282" s="7" t="s">
        <v>1015</v>
      </c>
      <c r="G282" s="9">
        <v>9</v>
      </c>
      <c r="H282" s="11">
        <v>10</v>
      </c>
      <c r="I282" s="13">
        <v>2.23</v>
      </c>
      <c r="J282" t="s">
        <v>1099</v>
      </c>
      <c r="K282" t="s">
        <v>2503</v>
      </c>
      <c r="L282" s="7" t="s">
        <v>1416</v>
      </c>
      <c r="M282" s="7" t="s">
        <v>1423</v>
      </c>
      <c r="N282" s="14">
        <f>Greenleaf[[#This Row],[Unit Price]]*Greenleaf[[#This Row],[Quantity Sold]]</f>
        <v>90</v>
      </c>
      <c r="O282" s="13">
        <f>Greenleaf[[#This Row],[Unit Cost]]*Greenleaf[[#This Row],[Quantity Sold]]</f>
        <v>20.07</v>
      </c>
      <c r="P282" s="13">
        <f>Greenleaf[[#This Row],[ Unit  price per quantity]]-Greenleaf[[#This Row],[ Unit cost per quantity]]</f>
        <v>69.930000000000007</v>
      </c>
      <c r="Q282" s="14">
        <f>Greenleaf[[#This Row],[Quantity Sold]]*Greenleaf[[#This Row],[Unit Price]]</f>
        <v>90</v>
      </c>
    </row>
    <row r="283" spans="1:17" x14ac:dyDescent="0.25">
      <c r="A283" t="s">
        <v>1709</v>
      </c>
      <c r="B283" s="5">
        <v>45386</v>
      </c>
      <c r="C283" s="5" t="str">
        <f>TEXT(Greenleaf[[#This Row],[Order Date]],"MMM")</f>
        <v>Apr</v>
      </c>
      <c r="D283" s="5" t="str">
        <f>TEXT(Greenleaf[[#This Row],[Order Date]],"YYYY")</f>
        <v>2024</v>
      </c>
      <c r="E283" t="s">
        <v>2462</v>
      </c>
      <c r="F283" s="7" t="s">
        <v>1013</v>
      </c>
      <c r="G283" s="9">
        <v>3</v>
      </c>
      <c r="H283" s="11">
        <v>25</v>
      </c>
      <c r="I283" s="13">
        <v>8.42</v>
      </c>
      <c r="J283" t="s">
        <v>1176</v>
      </c>
      <c r="K283" t="s">
        <v>2513</v>
      </c>
      <c r="L283" s="7" t="s">
        <v>1414</v>
      </c>
      <c r="M283" s="7" t="s">
        <v>1420</v>
      </c>
      <c r="N283" s="14">
        <f>Greenleaf[[#This Row],[Unit Price]]*Greenleaf[[#This Row],[Quantity Sold]]</f>
        <v>75</v>
      </c>
      <c r="O283" s="13">
        <f>Greenleaf[[#This Row],[Unit Cost]]*Greenleaf[[#This Row],[Quantity Sold]]</f>
        <v>25.259999999999998</v>
      </c>
      <c r="P283" s="13">
        <f>Greenleaf[[#This Row],[ Unit  price per quantity]]-Greenleaf[[#This Row],[ Unit cost per quantity]]</f>
        <v>49.74</v>
      </c>
      <c r="Q283" s="14">
        <f>Greenleaf[[#This Row],[Quantity Sold]]*Greenleaf[[#This Row],[Unit Price]]</f>
        <v>75</v>
      </c>
    </row>
    <row r="284" spans="1:17" x14ac:dyDescent="0.25">
      <c r="A284" t="s">
        <v>1710</v>
      </c>
      <c r="B284" s="5">
        <v>45386</v>
      </c>
      <c r="C284" s="5" t="str">
        <f>TEXT(Greenleaf[[#This Row],[Order Date]],"MMM")</f>
        <v>Apr</v>
      </c>
      <c r="D284" s="5" t="str">
        <f>TEXT(Greenleaf[[#This Row],[Order Date]],"YYYY")</f>
        <v>2024</v>
      </c>
      <c r="E284" t="s">
        <v>2464</v>
      </c>
      <c r="F284" s="7" t="s">
        <v>1012</v>
      </c>
      <c r="G284" s="9">
        <v>10</v>
      </c>
      <c r="H284" s="11">
        <v>40</v>
      </c>
      <c r="I284" s="13">
        <v>12.79</v>
      </c>
      <c r="J284" t="s">
        <v>1198</v>
      </c>
      <c r="K284" t="s">
        <v>2505</v>
      </c>
      <c r="L284" s="7" t="s">
        <v>1415</v>
      </c>
      <c r="M284" s="7" t="s">
        <v>1426</v>
      </c>
      <c r="N284" s="14">
        <f>Greenleaf[[#This Row],[Unit Price]]*Greenleaf[[#This Row],[Quantity Sold]]</f>
        <v>400</v>
      </c>
      <c r="O284" s="13">
        <f>Greenleaf[[#This Row],[Unit Cost]]*Greenleaf[[#This Row],[Quantity Sold]]</f>
        <v>127.89999999999999</v>
      </c>
      <c r="P284" s="13">
        <f>Greenleaf[[#This Row],[ Unit  price per quantity]]-Greenleaf[[#This Row],[ Unit cost per quantity]]</f>
        <v>272.10000000000002</v>
      </c>
      <c r="Q284" s="14">
        <f>Greenleaf[[#This Row],[Quantity Sold]]*Greenleaf[[#This Row],[Unit Price]]</f>
        <v>400</v>
      </c>
    </row>
    <row r="285" spans="1:17" x14ac:dyDescent="0.25">
      <c r="A285" t="s">
        <v>1711</v>
      </c>
      <c r="B285" s="5">
        <v>45386</v>
      </c>
      <c r="C285" s="5" t="str">
        <f>TEXT(Greenleaf[[#This Row],[Order Date]],"MMM")</f>
        <v>Apr</v>
      </c>
      <c r="D285" s="5" t="str">
        <f>TEXT(Greenleaf[[#This Row],[Order Date]],"YYYY")</f>
        <v>2024</v>
      </c>
      <c r="E285" t="s">
        <v>2460</v>
      </c>
      <c r="F285" s="7" t="s">
        <v>1015</v>
      </c>
      <c r="G285" s="9">
        <v>8</v>
      </c>
      <c r="H285" s="11">
        <v>10</v>
      </c>
      <c r="I285" s="13">
        <v>2.65</v>
      </c>
      <c r="J285" t="s">
        <v>1038</v>
      </c>
      <c r="K285" t="s">
        <v>2572</v>
      </c>
      <c r="L285" s="7" t="s">
        <v>1414</v>
      </c>
      <c r="M285" s="7" t="s">
        <v>1425</v>
      </c>
      <c r="N285" s="14">
        <f>Greenleaf[[#This Row],[Unit Price]]*Greenleaf[[#This Row],[Quantity Sold]]</f>
        <v>80</v>
      </c>
      <c r="O285" s="13">
        <f>Greenleaf[[#This Row],[Unit Cost]]*Greenleaf[[#This Row],[Quantity Sold]]</f>
        <v>21.2</v>
      </c>
      <c r="P285" s="13">
        <f>Greenleaf[[#This Row],[ Unit  price per quantity]]-Greenleaf[[#This Row],[ Unit cost per quantity]]</f>
        <v>58.8</v>
      </c>
      <c r="Q285" s="14">
        <f>Greenleaf[[#This Row],[Quantity Sold]]*Greenleaf[[#This Row],[Unit Price]]</f>
        <v>80</v>
      </c>
    </row>
    <row r="286" spans="1:17" x14ac:dyDescent="0.25">
      <c r="A286" t="s">
        <v>1712</v>
      </c>
      <c r="B286" s="5">
        <v>45387</v>
      </c>
      <c r="C286" s="5" t="str">
        <f>TEXT(Greenleaf[[#This Row],[Order Date]],"MMM")</f>
        <v>Apr</v>
      </c>
      <c r="D286" s="5" t="str">
        <f>TEXT(Greenleaf[[#This Row],[Order Date]],"YYYY")</f>
        <v>2024</v>
      </c>
      <c r="E286" t="s">
        <v>2464</v>
      </c>
      <c r="F286" s="7" t="s">
        <v>1012</v>
      </c>
      <c r="G286" s="9">
        <v>5</v>
      </c>
      <c r="H286" s="11">
        <v>40</v>
      </c>
      <c r="I286" s="13">
        <v>8.31</v>
      </c>
      <c r="J286" t="s">
        <v>1151</v>
      </c>
      <c r="K286" t="s">
        <v>2568</v>
      </c>
      <c r="L286" s="7" t="s">
        <v>1416</v>
      </c>
      <c r="M286" s="7" t="s">
        <v>1423</v>
      </c>
      <c r="N286" s="14">
        <f>Greenleaf[[#This Row],[Unit Price]]*Greenleaf[[#This Row],[Quantity Sold]]</f>
        <v>200</v>
      </c>
      <c r="O286" s="13">
        <f>Greenleaf[[#This Row],[Unit Cost]]*Greenleaf[[#This Row],[Quantity Sold]]</f>
        <v>41.550000000000004</v>
      </c>
      <c r="P286" s="13">
        <f>Greenleaf[[#This Row],[ Unit  price per quantity]]-Greenleaf[[#This Row],[ Unit cost per quantity]]</f>
        <v>158.44999999999999</v>
      </c>
      <c r="Q286" s="14">
        <f>Greenleaf[[#This Row],[Quantity Sold]]*Greenleaf[[#This Row],[Unit Price]]</f>
        <v>200</v>
      </c>
    </row>
    <row r="287" spans="1:17" x14ac:dyDescent="0.25">
      <c r="A287" t="s">
        <v>1713</v>
      </c>
      <c r="B287" s="5">
        <v>45388</v>
      </c>
      <c r="C287" s="5" t="str">
        <f>TEXT(Greenleaf[[#This Row],[Order Date]],"MMM")</f>
        <v>Apr</v>
      </c>
      <c r="D287" s="5" t="str">
        <f>TEXT(Greenleaf[[#This Row],[Order Date]],"YYYY")</f>
        <v>2024</v>
      </c>
      <c r="E287" t="s">
        <v>2464</v>
      </c>
      <c r="F287" s="7" t="s">
        <v>1012</v>
      </c>
      <c r="G287" s="9">
        <v>8</v>
      </c>
      <c r="H287" s="11">
        <v>40</v>
      </c>
      <c r="I287" s="13">
        <v>10.88</v>
      </c>
      <c r="J287" t="s">
        <v>1026</v>
      </c>
      <c r="K287" t="s">
        <v>2486</v>
      </c>
      <c r="L287" s="7" t="s">
        <v>1416</v>
      </c>
      <c r="M287" s="7" t="s">
        <v>1426</v>
      </c>
      <c r="N287" s="14">
        <f>Greenleaf[[#This Row],[Unit Price]]*Greenleaf[[#This Row],[Quantity Sold]]</f>
        <v>320</v>
      </c>
      <c r="O287" s="13">
        <f>Greenleaf[[#This Row],[Unit Cost]]*Greenleaf[[#This Row],[Quantity Sold]]</f>
        <v>87.04</v>
      </c>
      <c r="P287" s="13">
        <f>Greenleaf[[#This Row],[ Unit  price per quantity]]-Greenleaf[[#This Row],[ Unit cost per quantity]]</f>
        <v>232.95999999999998</v>
      </c>
      <c r="Q287" s="14">
        <f>Greenleaf[[#This Row],[Quantity Sold]]*Greenleaf[[#This Row],[Unit Price]]</f>
        <v>320</v>
      </c>
    </row>
    <row r="288" spans="1:17" x14ac:dyDescent="0.25">
      <c r="A288" t="s">
        <v>1714</v>
      </c>
      <c r="B288" s="5">
        <v>45388</v>
      </c>
      <c r="C288" s="5" t="str">
        <f>TEXT(Greenleaf[[#This Row],[Order Date]],"MMM")</f>
        <v>Apr</v>
      </c>
      <c r="D288" s="5" t="str">
        <f>TEXT(Greenleaf[[#This Row],[Order Date]],"YYYY")</f>
        <v>2024</v>
      </c>
      <c r="E288" t="s">
        <v>2461</v>
      </c>
      <c r="F288" s="7" t="s">
        <v>1011</v>
      </c>
      <c r="G288" s="9">
        <v>6</v>
      </c>
      <c r="H288" s="11">
        <v>12</v>
      </c>
      <c r="I288" s="13">
        <v>4.78</v>
      </c>
      <c r="J288" t="s">
        <v>1111</v>
      </c>
      <c r="K288" t="s">
        <v>2488</v>
      </c>
      <c r="L288" s="7" t="s">
        <v>1416</v>
      </c>
      <c r="M288" s="7" t="s">
        <v>1427</v>
      </c>
      <c r="N288" s="14">
        <f>Greenleaf[[#This Row],[Unit Price]]*Greenleaf[[#This Row],[Quantity Sold]]</f>
        <v>72</v>
      </c>
      <c r="O288" s="13">
        <f>Greenleaf[[#This Row],[Unit Cost]]*Greenleaf[[#This Row],[Quantity Sold]]</f>
        <v>28.68</v>
      </c>
      <c r="P288" s="13">
        <f>Greenleaf[[#This Row],[ Unit  price per quantity]]-Greenleaf[[#This Row],[ Unit cost per quantity]]</f>
        <v>43.32</v>
      </c>
      <c r="Q288" s="14">
        <f>Greenleaf[[#This Row],[Quantity Sold]]*Greenleaf[[#This Row],[Unit Price]]</f>
        <v>72</v>
      </c>
    </row>
    <row r="289" spans="1:17" x14ac:dyDescent="0.25">
      <c r="A289" t="s">
        <v>1715</v>
      </c>
      <c r="B289" s="5">
        <v>45388</v>
      </c>
      <c r="C289" s="5" t="str">
        <f>TEXT(Greenleaf[[#This Row],[Order Date]],"MMM")</f>
        <v>Apr</v>
      </c>
      <c r="D289" s="5" t="str">
        <f>TEXT(Greenleaf[[#This Row],[Order Date]],"YYYY")</f>
        <v>2024</v>
      </c>
      <c r="E289" t="s">
        <v>2462</v>
      </c>
      <c r="F289" s="7" t="s">
        <v>1013</v>
      </c>
      <c r="G289" s="9">
        <v>1</v>
      </c>
      <c r="H289" s="11">
        <v>25</v>
      </c>
      <c r="I289" s="13">
        <v>9.26</v>
      </c>
      <c r="J289" t="s">
        <v>1151</v>
      </c>
      <c r="K289" t="s">
        <v>2568</v>
      </c>
      <c r="L289" s="7" t="s">
        <v>1414</v>
      </c>
      <c r="M289" s="7" t="s">
        <v>1427</v>
      </c>
      <c r="N289" s="14">
        <f>Greenleaf[[#This Row],[Unit Price]]*Greenleaf[[#This Row],[Quantity Sold]]</f>
        <v>25</v>
      </c>
      <c r="O289" s="13">
        <f>Greenleaf[[#This Row],[Unit Cost]]*Greenleaf[[#This Row],[Quantity Sold]]</f>
        <v>9.26</v>
      </c>
      <c r="P289" s="13">
        <f>Greenleaf[[#This Row],[ Unit  price per quantity]]-Greenleaf[[#This Row],[ Unit cost per quantity]]</f>
        <v>15.74</v>
      </c>
      <c r="Q289" s="14">
        <f>Greenleaf[[#This Row],[Quantity Sold]]*Greenleaf[[#This Row],[Unit Price]]</f>
        <v>25</v>
      </c>
    </row>
    <row r="290" spans="1:17" x14ac:dyDescent="0.25">
      <c r="A290" t="s">
        <v>1716</v>
      </c>
      <c r="B290" s="5">
        <v>45389</v>
      </c>
      <c r="C290" s="5" t="str">
        <f>TEXT(Greenleaf[[#This Row],[Order Date]],"MMM")</f>
        <v>Apr</v>
      </c>
      <c r="D290" s="5" t="str">
        <f>TEXT(Greenleaf[[#This Row],[Order Date]],"YYYY")</f>
        <v>2024</v>
      </c>
      <c r="E290" t="s">
        <v>2462</v>
      </c>
      <c r="F290" s="7" t="s">
        <v>1013</v>
      </c>
      <c r="G290" s="9">
        <v>9</v>
      </c>
      <c r="H290" s="11">
        <v>25</v>
      </c>
      <c r="I290" s="13">
        <v>8.39</v>
      </c>
      <c r="J290" t="s">
        <v>1086</v>
      </c>
      <c r="K290" t="s">
        <v>2520</v>
      </c>
      <c r="L290" s="7" t="s">
        <v>1416</v>
      </c>
      <c r="M290" s="7" t="s">
        <v>1420</v>
      </c>
      <c r="N290" s="14">
        <f>Greenleaf[[#This Row],[Unit Price]]*Greenleaf[[#This Row],[Quantity Sold]]</f>
        <v>225</v>
      </c>
      <c r="O290" s="13">
        <f>Greenleaf[[#This Row],[Unit Cost]]*Greenleaf[[#This Row],[Quantity Sold]]</f>
        <v>75.510000000000005</v>
      </c>
      <c r="P290" s="13">
        <f>Greenleaf[[#This Row],[ Unit  price per quantity]]-Greenleaf[[#This Row],[ Unit cost per quantity]]</f>
        <v>149.49</v>
      </c>
      <c r="Q290" s="14">
        <f>Greenleaf[[#This Row],[Quantity Sold]]*Greenleaf[[#This Row],[Unit Price]]</f>
        <v>225</v>
      </c>
    </row>
    <row r="291" spans="1:17" x14ac:dyDescent="0.25">
      <c r="A291" t="s">
        <v>1717</v>
      </c>
      <c r="B291" s="5">
        <v>45389</v>
      </c>
      <c r="C291" s="5" t="str">
        <f>TEXT(Greenleaf[[#This Row],[Order Date]],"MMM")</f>
        <v>Apr</v>
      </c>
      <c r="D291" s="5" t="str">
        <f>TEXT(Greenleaf[[#This Row],[Order Date]],"YYYY")</f>
        <v>2024</v>
      </c>
      <c r="E291" t="s">
        <v>2462</v>
      </c>
      <c r="F291" s="7" t="s">
        <v>1013</v>
      </c>
      <c r="G291" s="9">
        <v>4</v>
      </c>
      <c r="H291" s="11">
        <v>25</v>
      </c>
      <c r="I291" s="13">
        <v>6.45</v>
      </c>
      <c r="J291" t="s">
        <v>1103</v>
      </c>
      <c r="K291" t="s">
        <v>2518</v>
      </c>
      <c r="L291" s="7" t="s">
        <v>1414</v>
      </c>
      <c r="M291" s="7" t="s">
        <v>1421</v>
      </c>
      <c r="N291" s="14">
        <f>Greenleaf[[#This Row],[Unit Price]]*Greenleaf[[#This Row],[Quantity Sold]]</f>
        <v>100</v>
      </c>
      <c r="O291" s="13">
        <f>Greenleaf[[#This Row],[Unit Cost]]*Greenleaf[[#This Row],[Quantity Sold]]</f>
        <v>25.8</v>
      </c>
      <c r="P291" s="13">
        <f>Greenleaf[[#This Row],[ Unit  price per quantity]]-Greenleaf[[#This Row],[ Unit cost per quantity]]</f>
        <v>74.2</v>
      </c>
      <c r="Q291" s="14">
        <f>Greenleaf[[#This Row],[Quantity Sold]]*Greenleaf[[#This Row],[Unit Price]]</f>
        <v>100</v>
      </c>
    </row>
    <row r="292" spans="1:17" x14ac:dyDescent="0.25">
      <c r="A292" t="s">
        <v>1718</v>
      </c>
      <c r="B292" s="5">
        <v>45389</v>
      </c>
      <c r="C292" s="5" t="str">
        <f>TEXT(Greenleaf[[#This Row],[Order Date]],"MMM")</f>
        <v>Apr</v>
      </c>
      <c r="D292" s="5" t="str">
        <f>TEXT(Greenleaf[[#This Row],[Order Date]],"YYYY")</f>
        <v>2024</v>
      </c>
      <c r="E292" t="s">
        <v>2462</v>
      </c>
      <c r="F292" s="7" t="s">
        <v>1013</v>
      </c>
      <c r="G292" s="9">
        <v>4</v>
      </c>
      <c r="H292" s="11">
        <v>25</v>
      </c>
      <c r="I292" s="13">
        <v>8.35</v>
      </c>
      <c r="J292" t="s">
        <v>1126</v>
      </c>
      <c r="K292" t="s">
        <v>2499</v>
      </c>
      <c r="L292" s="7" t="s">
        <v>1414</v>
      </c>
      <c r="M292" s="7" t="s">
        <v>1425</v>
      </c>
      <c r="N292" s="14">
        <f>Greenleaf[[#This Row],[Unit Price]]*Greenleaf[[#This Row],[Quantity Sold]]</f>
        <v>100</v>
      </c>
      <c r="O292" s="13">
        <f>Greenleaf[[#This Row],[Unit Cost]]*Greenleaf[[#This Row],[Quantity Sold]]</f>
        <v>33.4</v>
      </c>
      <c r="P292" s="13">
        <f>Greenleaf[[#This Row],[ Unit  price per quantity]]-Greenleaf[[#This Row],[ Unit cost per quantity]]</f>
        <v>66.599999999999994</v>
      </c>
      <c r="Q292" s="14">
        <f>Greenleaf[[#This Row],[Quantity Sold]]*Greenleaf[[#This Row],[Unit Price]]</f>
        <v>100</v>
      </c>
    </row>
    <row r="293" spans="1:17" x14ac:dyDescent="0.25">
      <c r="A293" t="s">
        <v>1719</v>
      </c>
      <c r="B293" s="5">
        <v>45390</v>
      </c>
      <c r="C293" s="5" t="str">
        <f>TEXT(Greenleaf[[#This Row],[Order Date]],"MMM")</f>
        <v>Apr</v>
      </c>
      <c r="D293" s="5" t="str">
        <f>TEXT(Greenleaf[[#This Row],[Order Date]],"YYYY")</f>
        <v>2024</v>
      </c>
      <c r="E293" t="s">
        <v>2463</v>
      </c>
      <c r="F293" s="7" t="s">
        <v>1014</v>
      </c>
      <c r="G293" s="9">
        <v>7</v>
      </c>
      <c r="H293" s="11">
        <v>15</v>
      </c>
      <c r="I293" s="13">
        <v>5.75</v>
      </c>
      <c r="J293" t="s">
        <v>1026</v>
      </c>
      <c r="K293" t="s">
        <v>2486</v>
      </c>
      <c r="L293" s="7" t="s">
        <v>1416</v>
      </c>
      <c r="M293" s="7" t="s">
        <v>1425</v>
      </c>
      <c r="N293" s="14">
        <f>Greenleaf[[#This Row],[Unit Price]]*Greenleaf[[#This Row],[Quantity Sold]]</f>
        <v>105</v>
      </c>
      <c r="O293" s="13">
        <f>Greenleaf[[#This Row],[Unit Cost]]*Greenleaf[[#This Row],[Quantity Sold]]</f>
        <v>40.25</v>
      </c>
      <c r="P293" s="13">
        <f>Greenleaf[[#This Row],[ Unit  price per quantity]]-Greenleaf[[#This Row],[ Unit cost per quantity]]</f>
        <v>64.75</v>
      </c>
      <c r="Q293" s="14">
        <f>Greenleaf[[#This Row],[Quantity Sold]]*Greenleaf[[#This Row],[Unit Price]]</f>
        <v>105</v>
      </c>
    </row>
    <row r="294" spans="1:17" x14ac:dyDescent="0.25">
      <c r="A294" t="s">
        <v>1720</v>
      </c>
      <c r="B294" s="5">
        <v>45390</v>
      </c>
      <c r="C294" s="5" t="str">
        <f>TEXT(Greenleaf[[#This Row],[Order Date]],"MMM")</f>
        <v>Apr</v>
      </c>
      <c r="D294" s="5" t="str">
        <f>TEXT(Greenleaf[[#This Row],[Order Date]],"YYYY")</f>
        <v>2024</v>
      </c>
      <c r="E294" t="s">
        <v>2461</v>
      </c>
      <c r="F294" s="7" t="s">
        <v>1011</v>
      </c>
      <c r="G294" s="9">
        <v>7</v>
      </c>
      <c r="H294" s="11">
        <v>12</v>
      </c>
      <c r="I294" s="13">
        <v>3.53</v>
      </c>
      <c r="J294" t="s">
        <v>1136</v>
      </c>
      <c r="K294" t="s">
        <v>2522</v>
      </c>
      <c r="L294" s="7" t="s">
        <v>1415</v>
      </c>
      <c r="M294" s="7" t="s">
        <v>1425</v>
      </c>
      <c r="N294" s="14">
        <f>Greenleaf[[#This Row],[Unit Price]]*Greenleaf[[#This Row],[Quantity Sold]]</f>
        <v>84</v>
      </c>
      <c r="O294" s="13">
        <f>Greenleaf[[#This Row],[Unit Cost]]*Greenleaf[[#This Row],[Quantity Sold]]</f>
        <v>24.709999999999997</v>
      </c>
      <c r="P294" s="13">
        <f>Greenleaf[[#This Row],[ Unit  price per quantity]]-Greenleaf[[#This Row],[ Unit cost per quantity]]</f>
        <v>59.290000000000006</v>
      </c>
      <c r="Q294" s="14">
        <f>Greenleaf[[#This Row],[Quantity Sold]]*Greenleaf[[#This Row],[Unit Price]]</f>
        <v>84</v>
      </c>
    </row>
    <row r="295" spans="1:17" x14ac:dyDescent="0.25">
      <c r="A295" t="s">
        <v>1721</v>
      </c>
      <c r="B295" s="5">
        <v>45390</v>
      </c>
      <c r="C295" s="5" t="str">
        <f>TEXT(Greenleaf[[#This Row],[Order Date]],"MMM")</f>
        <v>Apr</v>
      </c>
      <c r="D295" s="5" t="str">
        <f>TEXT(Greenleaf[[#This Row],[Order Date]],"YYYY")</f>
        <v>2024</v>
      </c>
      <c r="E295" t="s">
        <v>2462</v>
      </c>
      <c r="F295" s="7" t="s">
        <v>1013</v>
      </c>
      <c r="G295" s="9">
        <v>9</v>
      </c>
      <c r="H295" s="11">
        <v>25</v>
      </c>
      <c r="I295" s="13">
        <v>5.36</v>
      </c>
      <c r="J295" t="s">
        <v>1077</v>
      </c>
      <c r="K295" t="s">
        <v>2538</v>
      </c>
      <c r="L295" s="7" t="s">
        <v>1414</v>
      </c>
      <c r="M295" s="7" t="s">
        <v>1419</v>
      </c>
      <c r="N295" s="14">
        <f>Greenleaf[[#This Row],[Unit Price]]*Greenleaf[[#This Row],[Quantity Sold]]</f>
        <v>225</v>
      </c>
      <c r="O295" s="13">
        <f>Greenleaf[[#This Row],[Unit Cost]]*Greenleaf[[#This Row],[Quantity Sold]]</f>
        <v>48.24</v>
      </c>
      <c r="P295" s="13">
        <f>Greenleaf[[#This Row],[ Unit  price per quantity]]-Greenleaf[[#This Row],[ Unit cost per quantity]]</f>
        <v>176.76</v>
      </c>
      <c r="Q295" s="14">
        <f>Greenleaf[[#This Row],[Quantity Sold]]*Greenleaf[[#This Row],[Unit Price]]</f>
        <v>225</v>
      </c>
    </row>
    <row r="296" spans="1:17" x14ac:dyDescent="0.25">
      <c r="A296" t="s">
        <v>1722</v>
      </c>
      <c r="B296" s="5">
        <v>45390</v>
      </c>
      <c r="C296" s="5" t="str">
        <f>TEXT(Greenleaf[[#This Row],[Order Date]],"MMM")</f>
        <v>Apr</v>
      </c>
      <c r="D296" s="5" t="str">
        <f>TEXT(Greenleaf[[#This Row],[Order Date]],"YYYY")</f>
        <v>2024</v>
      </c>
      <c r="E296" t="s">
        <v>2460</v>
      </c>
      <c r="F296" s="7" t="s">
        <v>1015</v>
      </c>
      <c r="G296" s="9">
        <v>8</v>
      </c>
      <c r="H296" s="11">
        <v>10</v>
      </c>
      <c r="I296" s="13">
        <v>3.52</v>
      </c>
      <c r="J296" t="s">
        <v>1157</v>
      </c>
      <c r="K296" t="s">
        <v>2491</v>
      </c>
      <c r="L296" s="7" t="s">
        <v>1414</v>
      </c>
      <c r="M296" s="7" t="s">
        <v>1426</v>
      </c>
      <c r="N296" s="14">
        <f>Greenleaf[[#This Row],[Unit Price]]*Greenleaf[[#This Row],[Quantity Sold]]</f>
        <v>80</v>
      </c>
      <c r="O296" s="13">
        <f>Greenleaf[[#This Row],[Unit Cost]]*Greenleaf[[#This Row],[Quantity Sold]]</f>
        <v>28.16</v>
      </c>
      <c r="P296" s="13">
        <f>Greenleaf[[#This Row],[ Unit  price per quantity]]-Greenleaf[[#This Row],[ Unit cost per quantity]]</f>
        <v>51.84</v>
      </c>
      <c r="Q296" s="14">
        <f>Greenleaf[[#This Row],[Quantity Sold]]*Greenleaf[[#This Row],[Unit Price]]</f>
        <v>80</v>
      </c>
    </row>
    <row r="297" spans="1:17" x14ac:dyDescent="0.25">
      <c r="A297" t="s">
        <v>1723</v>
      </c>
      <c r="B297" s="5">
        <v>45391</v>
      </c>
      <c r="C297" s="5" t="str">
        <f>TEXT(Greenleaf[[#This Row],[Order Date]],"MMM")</f>
        <v>Apr</v>
      </c>
      <c r="D297" s="5" t="str">
        <f>TEXT(Greenleaf[[#This Row],[Order Date]],"YYYY")</f>
        <v>2024</v>
      </c>
      <c r="E297" t="s">
        <v>2460</v>
      </c>
      <c r="F297" s="7" t="s">
        <v>1015</v>
      </c>
      <c r="G297" s="9">
        <v>10</v>
      </c>
      <c r="H297" s="11">
        <v>10</v>
      </c>
      <c r="I297" s="13">
        <v>2.86</v>
      </c>
      <c r="J297" t="s">
        <v>1069</v>
      </c>
      <c r="K297" t="s">
        <v>2471</v>
      </c>
      <c r="L297" s="7" t="s">
        <v>1414</v>
      </c>
      <c r="M297" s="7" t="s">
        <v>1422</v>
      </c>
      <c r="N297" s="14">
        <f>Greenleaf[[#This Row],[Unit Price]]*Greenleaf[[#This Row],[Quantity Sold]]</f>
        <v>100</v>
      </c>
      <c r="O297" s="13">
        <f>Greenleaf[[#This Row],[Unit Cost]]*Greenleaf[[#This Row],[Quantity Sold]]</f>
        <v>28.599999999999998</v>
      </c>
      <c r="P297" s="13">
        <f>Greenleaf[[#This Row],[ Unit  price per quantity]]-Greenleaf[[#This Row],[ Unit cost per quantity]]</f>
        <v>71.400000000000006</v>
      </c>
      <c r="Q297" s="14">
        <f>Greenleaf[[#This Row],[Quantity Sold]]*Greenleaf[[#This Row],[Unit Price]]</f>
        <v>100</v>
      </c>
    </row>
    <row r="298" spans="1:17" x14ac:dyDescent="0.25">
      <c r="A298" t="s">
        <v>1724</v>
      </c>
      <c r="B298" s="5">
        <v>45391</v>
      </c>
      <c r="C298" s="5" t="str">
        <f>TEXT(Greenleaf[[#This Row],[Order Date]],"MMM")</f>
        <v>Apr</v>
      </c>
      <c r="D298" s="5" t="str">
        <f>TEXT(Greenleaf[[#This Row],[Order Date]],"YYYY")</f>
        <v>2024</v>
      </c>
      <c r="E298" t="s">
        <v>2460</v>
      </c>
      <c r="F298" s="7" t="s">
        <v>1015</v>
      </c>
      <c r="G298" s="9">
        <v>3</v>
      </c>
      <c r="H298" s="11">
        <v>10</v>
      </c>
      <c r="I298" s="13">
        <v>2.5299999999999998</v>
      </c>
      <c r="J298" t="s">
        <v>1059</v>
      </c>
      <c r="K298" t="s">
        <v>2550</v>
      </c>
      <c r="L298" s="7" t="s">
        <v>1414</v>
      </c>
      <c r="M298" s="7" t="s">
        <v>1427</v>
      </c>
      <c r="N298" s="14">
        <f>Greenleaf[[#This Row],[Unit Price]]*Greenleaf[[#This Row],[Quantity Sold]]</f>
        <v>30</v>
      </c>
      <c r="O298" s="13">
        <f>Greenleaf[[#This Row],[Unit Cost]]*Greenleaf[[#This Row],[Quantity Sold]]</f>
        <v>7.59</v>
      </c>
      <c r="P298" s="13">
        <f>Greenleaf[[#This Row],[ Unit  price per quantity]]-Greenleaf[[#This Row],[ Unit cost per quantity]]</f>
        <v>22.41</v>
      </c>
      <c r="Q298" s="14">
        <f>Greenleaf[[#This Row],[Quantity Sold]]*Greenleaf[[#This Row],[Unit Price]]</f>
        <v>30</v>
      </c>
    </row>
    <row r="299" spans="1:17" x14ac:dyDescent="0.25">
      <c r="A299" t="s">
        <v>1725</v>
      </c>
      <c r="B299" s="5">
        <v>45391</v>
      </c>
      <c r="C299" s="5" t="str">
        <f>TEXT(Greenleaf[[#This Row],[Order Date]],"MMM")</f>
        <v>Apr</v>
      </c>
      <c r="D299" s="5" t="str">
        <f>TEXT(Greenleaf[[#This Row],[Order Date]],"YYYY")</f>
        <v>2024</v>
      </c>
      <c r="E299" t="s">
        <v>2460</v>
      </c>
      <c r="F299" s="7" t="s">
        <v>1015</v>
      </c>
      <c r="G299" s="9">
        <v>2</v>
      </c>
      <c r="H299" s="11">
        <v>10</v>
      </c>
      <c r="I299" s="13">
        <v>3.58</v>
      </c>
      <c r="J299" t="s">
        <v>1177</v>
      </c>
      <c r="K299" t="s">
        <v>2494</v>
      </c>
      <c r="L299" s="7" t="s">
        <v>1416</v>
      </c>
      <c r="M299" s="7" t="s">
        <v>1421</v>
      </c>
      <c r="N299" s="14">
        <f>Greenleaf[[#This Row],[Unit Price]]*Greenleaf[[#This Row],[Quantity Sold]]</f>
        <v>20</v>
      </c>
      <c r="O299" s="13">
        <f>Greenleaf[[#This Row],[Unit Cost]]*Greenleaf[[#This Row],[Quantity Sold]]</f>
        <v>7.16</v>
      </c>
      <c r="P299" s="13">
        <f>Greenleaf[[#This Row],[ Unit  price per quantity]]-Greenleaf[[#This Row],[ Unit cost per quantity]]</f>
        <v>12.84</v>
      </c>
      <c r="Q299" s="14">
        <f>Greenleaf[[#This Row],[Quantity Sold]]*Greenleaf[[#This Row],[Unit Price]]</f>
        <v>20</v>
      </c>
    </row>
    <row r="300" spans="1:17" x14ac:dyDescent="0.25">
      <c r="A300" t="s">
        <v>1726</v>
      </c>
      <c r="B300" s="5">
        <v>45392</v>
      </c>
      <c r="C300" s="5" t="str">
        <f>TEXT(Greenleaf[[#This Row],[Order Date]],"MMM")</f>
        <v>Apr</v>
      </c>
      <c r="D300" s="5" t="str">
        <f>TEXT(Greenleaf[[#This Row],[Order Date]],"YYYY")</f>
        <v>2024</v>
      </c>
      <c r="E300" t="s">
        <v>2463</v>
      </c>
      <c r="F300" s="7" t="s">
        <v>1014</v>
      </c>
      <c r="G300" s="9">
        <v>10</v>
      </c>
      <c r="H300" s="11">
        <v>15</v>
      </c>
      <c r="I300" s="13">
        <v>5.89</v>
      </c>
      <c r="J300" t="s">
        <v>1194</v>
      </c>
      <c r="K300" t="s">
        <v>2520</v>
      </c>
      <c r="L300" s="7" t="s">
        <v>1416</v>
      </c>
      <c r="M300" s="7" t="s">
        <v>1419</v>
      </c>
      <c r="N300" s="14">
        <f>Greenleaf[[#This Row],[Unit Price]]*Greenleaf[[#This Row],[Quantity Sold]]</f>
        <v>150</v>
      </c>
      <c r="O300" s="13">
        <f>Greenleaf[[#This Row],[Unit Cost]]*Greenleaf[[#This Row],[Quantity Sold]]</f>
        <v>58.9</v>
      </c>
      <c r="P300" s="13">
        <f>Greenleaf[[#This Row],[ Unit  price per quantity]]-Greenleaf[[#This Row],[ Unit cost per quantity]]</f>
        <v>91.1</v>
      </c>
      <c r="Q300" s="14">
        <f>Greenleaf[[#This Row],[Quantity Sold]]*Greenleaf[[#This Row],[Unit Price]]</f>
        <v>150</v>
      </c>
    </row>
    <row r="301" spans="1:17" x14ac:dyDescent="0.25">
      <c r="A301" t="s">
        <v>1727</v>
      </c>
      <c r="B301" s="5">
        <v>45392</v>
      </c>
      <c r="C301" s="5" t="str">
        <f>TEXT(Greenleaf[[#This Row],[Order Date]],"MMM")</f>
        <v>Apr</v>
      </c>
      <c r="D301" s="5" t="str">
        <f>TEXT(Greenleaf[[#This Row],[Order Date]],"YYYY")</f>
        <v>2024</v>
      </c>
      <c r="E301" t="s">
        <v>2462</v>
      </c>
      <c r="F301" s="7" t="s">
        <v>1013</v>
      </c>
      <c r="G301" s="9">
        <v>3</v>
      </c>
      <c r="H301" s="11">
        <v>25</v>
      </c>
      <c r="I301" s="13">
        <v>5.6</v>
      </c>
      <c r="J301" t="s">
        <v>1204</v>
      </c>
      <c r="K301" t="s">
        <v>2531</v>
      </c>
      <c r="L301" s="7" t="s">
        <v>1414</v>
      </c>
      <c r="M301" s="7" t="s">
        <v>1426</v>
      </c>
      <c r="N301" s="14">
        <f>Greenleaf[[#This Row],[Unit Price]]*Greenleaf[[#This Row],[Quantity Sold]]</f>
        <v>75</v>
      </c>
      <c r="O301" s="13">
        <f>Greenleaf[[#This Row],[Unit Cost]]*Greenleaf[[#This Row],[Quantity Sold]]</f>
        <v>16.799999999999997</v>
      </c>
      <c r="P301" s="13">
        <f>Greenleaf[[#This Row],[ Unit  price per quantity]]-Greenleaf[[#This Row],[ Unit cost per quantity]]</f>
        <v>58.2</v>
      </c>
      <c r="Q301" s="14">
        <f>Greenleaf[[#This Row],[Quantity Sold]]*Greenleaf[[#This Row],[Unit Price]]</f>
        <v>75</v>
      </c>
    </row>
    <row r="302" spans="1:17" x14ac:dyDescent="0.25">
      <c r="A302" t="s">
        <v>1728</v>
      </c>
      <c r="B302" s="5">
        <v>45392</v>
      </c>
      <c r="C302" s="5" t="str">
        <f>TEXT(Greenleaf[[#This Row],[Order Date]],"MMM")</f>
        <v>Apr</v>
      </c>
      <c r="D302" s="5" t="str">
        <f>TEXT(Greenleaf[[#This Row],[Order Date]],"YYYY")</f>
        <v>2024</v>
      </c>
      <c r="E302" t="s">
        <v>2460</v>
      </c>
      <c r="F302" s="7" t="s">
        <v>1015</v>
      </c>
      <c r="G302" s="9">
        <v>4</v>
      </c>
      <c r="H302" s="11">
        <v>10</v>
      </c>
      <c r="I302" s="13">
        <v>2.4300000000000002</v>
      </c>
      <c r="J302" t="s">
        <v>1075</v>
      </c>
      <c r="K302" t="s">
        <v>2505</v>
      </c>
      <c r="L302" s="7" t="s">
        <v>1414</v>
      </c>
      <c r="M302" s="7" t="s">
        <v>1419</v>
      </c>
      <c r="N302" s="14">
        <f>Greenleaf[[#This Row],[Unit Price]]*Greenleaf[[#This Row],[Quantity Sold]]</f>
        <v>40</v>
      </c>
      <c r="O302" s="13">
        <f>Greenleaf[[#This Row],[Unit Cost]]*Greenleaf[[#This Row],[Quantity Sold]]</f>
        <v>9.7200000000000006</v>
      </c>
      <c r="P302" s="13">
        <f>Greenleaf[[#This Row],[ Unit  price per quantity]]-Greenleaf[[#This Row],[ Unit cost per quantity]]</f>
        <v>30.28</v>
      </c>
      <c r="Q302" s="14">
        <f>Greenleaf[[#This Row],[Quantity Sold]]*Greenleaf[[#This Row],[Unit Price]]</f>
        <v>40</v>
      </c>
    </row>
    <row r="303" spans="1:17" x14ac:dyDescent="0.25">
      <c r="A303" t="s">
        <v>1729</v>
      </c>
      <c r="B303" s="5">
        <v>45393</v>
      </c>
      <c r="C303" s="5" t="str">
        <f>TEXT(Greenleaf[[#This Row],[Order Date]],"MMM")</f>
        <v>Apr</v>
      </c>
      <c r="D303" s="5" t="str">
        <f>TEXT(Greenleaf[[#This Row],[Order Date]],"YYYY")</f>
        <v>2024</v>
      </c>
      <c r="E303" t="s">
        <v>2464</v>
      </c>
      <c r="F303" s="7" t="s">
        <v>1012</v>
      </c>
      <c r="G303" s="9">
        <v>3</v>
      </c>
      <c r="H303" s="11">
        <v>40</v>
      </c>
      <c r="I303" s="13">
        <v>15.83</v>
      </c>
      <c r="J303" t="s">
        <v>1101</v>
      </c>
      <c r="K303" t="s">
        <v>2559</v>
      </c>
      <c r="L303" s="7" t="s">
        <v>1414</v>
      </c>
      <c r="M303" s="7" t="s">
        <v>1426</v>
      </c>
      <c r="N303" s="14">
        <f>Greenleaf[[#This Row],[Unit Price]]*Greenleaf[[#This Row],[Quantity Sold]]</f>
        <v>120</v>
      </c>
      <c r="O303" s="13">
        <f>Greenleaf[[#This Row],[Unit Cost]]*Greenleaf[[#This Row],[Quantity Sold]]</f>
        <v>47.49</v>
      </c>
      <c r="P303" s="13">
        <f>Greenleaf[[#This Row],[ Unit  price per quantity]]-Greenleaf[[#This Row],[ Unit cost per quantity]]</f>
        <v>72.509999999999991</v>
      </c>
      <c r="Q303" s="14">
        <f>Greenleaf[[#This Row],[Quantity Sold]]*Greenleaf[[#This Row],[Unit Price]]</f>
        <v>120</v>
      </c>
    </row>
    <row r="304" spans="1:17" x14ac:dyDescent="0.25">
      <c r="A304" t="s">
        <v>1730</v>
      </c>
      <c r="B304" s="5">
        <v>45394</v>
      </c>
      <c r="C304" s="5" t="str">
        <f>TEXT(Greenleaf[[#This Row],[Order Date]],"MMM")</f>
        <v>Apr</v>
      </c>
      <c r="D304" s="5" t="str">
        <f>TEXT(Greenleaf[[#This Row],[Order Date]],"YYYY")</f>
        <v>2024</v>
      </c>
      <c r="E304" t="s">
        <v>2464</v>
      </c>
      <c r="F304" s="7" t="s">
        <v>1012</v>
      </c>
      <c r="G304" s="9">
        <v>4</v>
      </c>
      <c r="H304" s="11">
        <v>40</v>
      </c>
      <c r="I304" s="13">
        <v>8.26</v>
      </c>
      <c r="J304" t="s">
        <v>1089</v>
      </c>
      <c r="K304" t="s">
        <v>2528</v>
      </c>
      <c r="L304" s="7" t="s">
        <v>1415</v>
      </c>
      <c r="M304" s="7" t="s">
        <v>1424</v>
      </c>
      <c r="N304" s="14">
        <f>Greenleaf[[#This Row],[Unit Price]]*Greenleaf[[#This Row],[Quantity Sold]]</f>
        <v>160</v>
      </c>
      <c r="O304" s="13">
        <f>Greenleaf[[#This Row],[Unit Cost]]*Greenleaf[[#This Row],[Quantity Sold]]</f>
        <v>33.04</v>
      </c>
      <c r="P304" s="13">
        <f>Greenleaf[[#This Row],[ Unit  price per quantity]]-Greenleaf[[#This Row],[ Unit cost per quantity]]</f>
        <v>126.96000000000001</v>
      </c>
      <c r="Q304" s="14">
        <f>Greenleaf[[#This Row],[Quantity Sold]]*Greenleaf[[#This Row],[Unit Price]]</f>
        <v>160</v>
      </c>
    </row>
    <row r="305" spans="1:17" x14ac:dyDescent="0.25">
      <c r="A305" t="s">
        <v>1731</v>
      </c>
      <c r="B305" s="5">
        <v>45394</v>
      </c>
      <c r="C305" s="5" t="str">
        <f>TEXT(Greenleaf[[#This Row],[Order Date]],"MMM")</f>
        <v>Apr</v>
      </c>
      <c r="D305" s="5" t="str">
        <f>TEXT(Greenleaf[[#This Row],[Order Date]],"YYYY")</f>
        <v>2024</v>
      </c>
      <c r="E305" t="s">
        <v>2464</v>
      </c>
      <c r="F305" s="7" t="s">
        <v>1012</v>
      </c>
      <c r="G305" s="9">
        <v>2</v>
      </c>
      <c r="H305" s="11">
        <v>40</v>
      </c>
      <c r="I305" s="13">
        <v>8.09</v>
      </c>
      <c r="J305" t="s">
        <v>1075</v>
      </c>
      <c r="K305" t="s">
        <v>2505</v>
      </c>
      <c r="L305" s="7" t="s">
        <v>1415</v>
      </c>
      <c r="M305" s="7" t="s">
        <v>1420</v>
      </c>
      <c r="N305" s="14">
        <f>Greenleaf[[#This Row],[Unit Price]]*Greenleaf[[#This Row],[Quantity Sold]]</f>
        <v>80</v>
      </c>
      <c r="O305" s="13">
        <f>Greenleaf[[#This Row],[Unit Cost]]*Greenleaf[[#This Row],[Quantity Sold]]</f>
        <v>16.18</v>
      </c>
      <c r="P305" s="13">
        <f>Greenleaf[[#This Row],[ Unit  price per quantity]]-Greenleaf[[#This Row],[ Unit cost per quantity]]</f>
        <v>63.82</v>
      </c>
      <c r="Q305" s="14">
        <f>Greenleaf[[#This Row],[Quantity Sold]]*Greenleaf[[#This Row],[Unit Price]]</f>
        <v>80</v>
      </c>
    </row>
    <row r="306" spans="1:17" x14ac:dyDescent="0.25">
      <c r="A306" t="s">
        <v>1732</v>
      </c>
      <c r="B306" s="5">
        <v>45394</v>
      </c>
      <c r="C306" s="5" t="str">
        <f>TEXT(Greenleaf[[#This Row],[Order Date]],"MMM")</f>
        <v>Apr</v>
      </c>
      <c r="D306" s="5" t="str">
        <f>TEXT(Greenleaf[[#This Row],[Order Date]],"YYYY")</f>
        <v>2024</v>
      </c>
      <c r="E306" t="s">
        <v>2464</v>
      </c>
      <c r="F306" s="7" t="s">
        <v>1012</v>
      </c>
      <c r="G306" s="9">
        <v>10</v>
      </c>
      <c r="H306" s="11">
        <v>40</v>
      </c>
      <c r="I306" s="13">
        <v>8.0399999999999991</v>
      </c>
      <c r="J306" t="s">
        <v>1051</v>
      </c>
      <c r="K306" t="s">
        <v>2543</v>
      </c>
      <c r="L306" s="7" t="s">
        <v>1414</v>
      </c>
      <c r="M306" s="7" t="s">
        <v>1420</v>
      </c>
      <c r="N306" s="14">
        <f>Greenleaf[[#This Row],[Unit Price]]*Greenleaf[[#This Row],[Quantity Sold]]</f>
        <v>400</v>
      </c>
      <c r="O306" s="13">
        <f>Greenleaf[[#This Row],[Unit Cost]]*Greenleaf[[#This Row],[Quantity Sold]]</f>
        <v>80.399999999999991</v>
      </c>
      <c r="P306" s="13">
        <f>Greenleaf[[#This Row],[ Unit  price per quantity]]-Greenleaf[[#This Row],[ Unit cost per quantity]]</f>
        <v>319.60000000000002</v>
      </c>
      <c r="Q306" s="14">
        <f>Greenleaf[[#This Row],[Quantity Sold]]*Greenleaf[[#This Row],[Unit Price]]</f>
        <v>400</v>
      </c>
    </row>
    <row r="307" spans="1:17" x14ac:dyDescent="0.25">
      <c r="A307" t="s">
        <v>1733</v>
      </c>
      <c r="B307" s="5">
        <v>45395</v>
      </c>
      <c r="C307" s="5" t="str">
        <f>TEXT(Greenleaf[[#This Row],[Order Date]],"MMM")</f>
        <v>Apr</v>
      </c>
      <c r="D307" s="5" t="str">
        <f>TEXT(Greenleaf[[#This Row],[Order Date]],"YYYY")</f>
        <v>2024</v>
      </c>
      <c r="E307" t="s">
        <v>2462</v>
      </c>
      <c r="F307" s="7" t="s">
        <v>1013</v>
      </c>
      <c r="G307" s="9">
        <v>8</v>
      </c>
      <c r="H307" s="11">
        <v>25</v>
      </c>
      <c r="I307" s="13">
        <v>5.87</v>
      </c>
      <c r="J307" t="s">
        <v>1019</v>
      </c>
      <c r="K307" t="s">
        <v>2550</v>
      </c>
      <c r="L307" s="7" t="s">
        <v>1414</v>
      </c>
      <c r="M307" s="7" t="s">
        <v>1420</v>
      </c>
      <c r="N307" s="14">
        <f>Greenleaf[[#This Row],[Unit Price]]*Greenleaf[[#This Row],[Quantity Sold]]</f>
        <v>200</v>
      </c>
      <c r="O307" s="13">
        <f>Greenleaf[[#This Row],[Unit Cost]]*Greenleaf[[#This Row],[Quantity Sold]]</f>
        <v>46.96</v>
      </c>
      <c r="P307" s="13">
        <f>Greenleaf[[#This Row],[ Unit  price per quantity]]-Greenleaf[[#This Row],[ Unit cost per quantity]]</f>
        <v>153.04</v>
      </c>
      <c r="Q307" s="14">
        <f>Greenleaf[[#This Row],[Quantity Sold]]*Greenleaf[[#This Row],[Unit Price]]</f>
        <v>200</v>
      </c>
    </row>
    <row r="308" spans="1:17" x14ac:dyDescent="0.25">
      <c r="A308" t="s">
        <v>1734</v>
      </c>
      <c r="B308" s="5">
        <v>45395</v>
      </c>
      <c r="C308" s="5" t="str">
        <f>TEXT(Greenleaf[[#This Row],[Order Date]],"MMM")</f>
        <v>Apr</v>
      </c>
      <c r="D308" s="5" t="str">
        <f>TEXT(Greenleaf[[#This Row],[Order Date]],"YYYY")</f>
        <v>2024</v>
      </c>
      <c r="E308" t="s">
        <v>2463</v>
      </c>
      <c r="F308" s="7" t="s">
        <v>1014</v>
      </c>
      <c r="G308" s="9">
        <v>1</v>
      </c>
      <c r="H308" s="11">
        <v>15</v>
      </c>
      <c r="I308" s="13">
        <v>5.9</v>
      </c>
      <c r="J308" t="s">
        <v>1157</v>
      </c>
      <c r="K308" t="s">
        <v>2491</v>
      </c>
      <c r="L308" s="7" t="s">
        <v>1414</v>
      </c>
      <c r="M308" s="7" t="s">
        <v>1425</v>
      </c>
      <c r="N308" s="14">
        <f>Greenleaf[[#This Row],[Unit Price]]*Greenleaf[[#This Row],[Quantity Sold]]</f>
        <v>15</v>
      </c>
      <c r="O308" s="13">
        <f>Greenleaf[[#This Row],[Unit Cost]]*Greenleaf[[#This Row],[Quantity Sold]]</f>
        <v>5.9</v>
      </c>
      <c r="P308" s="13">
        <f>Greenleaf[[#This Row],[ Unit  price per quantity]]-Greenleaf[[#This Row],[ Unit cost per quantity]]</f>
        <v>9.1</v>
      </c>
      <c r="Q308" s="14">
        <f>Greenleaf[[#This Row],[Quantity Sold]]*Greenleaf[[#This Row],[Unit Price]]</f>
        <v>15</v>
      </c>
    </row>
    <row r="309" spans="1:17" x14ac:dyDescent="0.25">
      <c r="A309" t="s">
        <v>1735</v>
      </c>
      <c r="B309" s="5">
        <v>45395</v>
      </c>
      <c r="C309" s="5" t="str">
        <f>TEXT(Greenleaf[[#This Row],[Order Date]],"MMM")</f>
        <v>Apr</v>
      </c>
      <c r="D309" s="5" t="str">
        <f>TEXT(Greenleaf[[#This Row],[Order Date]],"YYYY")</f>
        <v>2024</v>
      </c>
      <c r="E309" t="s">
        <v>2464</v>
      </c>
      <c r="F309" s="7" t="s">
        <v>1012</v>
      </c>
      <c r="G309" s="9">
        <v>3</v>
      </c>
      <c r="H309" s="11">
        <v>40</v>
      </c>
      <c r="I309" s="13">
        <v>14.85</v>
      </c>
      <c r="J309" t="s">
        <v>1094</v>
      </c>
      <c r="K309" t="s">
        <v>2548</v>
      </c>
      <c r="L309" s="7" t="s">
        <v>1415</v>
      </c>
      <c r="M309" s="7" t="s">
        <v>1424</v>
      </c>
      <c r="N309" s="14">
        <f>Greenleaf[[#This Row],[Unit Price]]*Greenleaf[[#This Row],[Quantity Sold]]</f>
        <v>120</v>
      </c>
      <c r="O309" s="13">
        <f>Greenleaf[[#This Row],[Unit Cost]]*Greenleaf[[#This Row],[Quantity Sold]]</f>
        <v>44.55</v>
      </c>
      <c r="P309" s="13">
        <f>Greenleaf[[#This Row],[ Unit  price per quantity]]-Greenleaf[[#This Row],[ Unit cost per quantity]]</f>
        <v>75.45</v>
      </c>
      <c r="Q309" s="14">
        <f>Greenleaf[[#This Row],[Quantity Sold]]*Greenleaf[[#This Row],[Unit Price]]</f>
        <v>120</v>
      </c>
    </row>
    <row r="310" spans="1:17" x14ac:dyDescent="0.25">
      <c r="A310" t="s">
        <v>1736</v>
      </c>
      <c r="B310" s="5">
        <v>45396</v>
      </c>
      <c r="C310" s="5" t="str">
        <f>TEXT(Greenleaf[[#This Row],[Order Date]],"MMM")</f>
        <v>Apr</v>
      </c>
      <c r="D310" s="5" t="str">
        <f>TEXT(Greenleaf[[#This Row],[Order Date]],"YYYY")</f>
        <v>2024</v>
      </c>
      <c r="E310" t="s">
        <v>2464</v>
      </c>
      <c r="F310" s="7" t="s">
        <v>1012</v>
      </c>
      <c r="G310" s="9">
        <v>4</v>
      </c>
      <c r="H310" s="11">
        <v>40</v>
      </c>
      <c r="I310" s="13">
        <v>15.39</v>
      </c>
      <c r="J310" t="s">
        <v>1071</v>
      </c>
      <c r="K310" t="s">
        <v>2497</v>
      </c>
      <c r="L310" s="7" t="s">
        <v>1416</v>
      </c>
      <c r="M310" s="7" t="s">
        <v>1425</v>
      </c>
      <c r="N310" s="14">
        <f>Greenleaf[[#This Row],[Unit Price]]*Greenleaf[[#This Row],[Quantity Sold]]</f>
        <v>160</v>
      </c>
      <c r="O310" s="13">
        <f>Greenleaf[[#This Row],[Unit Cost]]*Greenleaf[[#This Row],[Quantity Sold]]</f>
        <v>61.56</v>
      </c>
      <c r="P310" s="13">
        <f>Greenleaf[[#This Row],[ Unit  price per quantity]]-Greenleaf[[#This Row],[ Unit cost per quantity]]</f>
        <v>98.44</v>
      </c>
      <c r="Q310" s="14">
        <f>Greenleaf[[#This Row],[Quantity Sold]]*Greenleaf[[#This Row],[Unit Price]]</f>
        <v>160</v>
      </c>
    </row>
    <row r="311" spans="1:17" x14ac:dyDescent="0.25">
      <c r="A311" t="s">
        <v>1737</v>
      </c>
      <c r="B311" s="5">
        <v>45396</v>
      </c>
      <c r="C311" s="5" t="str">
        <f>TEXT(Greenleaf[[#This Row],[Order Date]],"MMM")</f>
        <v>Apr</v>
      </c>
      <c r="D311" s="5" t="str">
        <f>TEXT(Greenleaf[[#This Row],[Order Date]],"YYYY")</f>
        <v>2024</v>
      </c>
      <c r="E311" t="s">
        <v>2461</v>
      </c>
      <c r="F311" s="7" t="s">
        <v>1011</v>
      </c>
      <c r="G311" s="9">
        <v>2</v>
      </c>
      <c r="H311" s="11">
        <v>12</v>
      </c>
      <c r="I311" s="13">
        <v>3.33</v>
      </c>
      <c r="J311" t="s">
        <v>1113</v>
      </c>
      <c r="K311" t="s">
        <v>2540</v>
      </c>
      <c r="L311" s="7" t="s">
        <v>1414</v>
      </c>
      <c r="M311" s="7" t="s">
        <v>1420</v>
      </c>
      <c r="N311" s="14">
        <f>Greenleaf[[#This Row],[Unit Price]]*Greenleaf[[#This Row],[Quantity Sold]]</f>
        <v>24</v>
      </c>
      <c r="O311" s="13">
        <f>Greenleaf[[#This Row],[Unit Cost]]*Greenleaf[[#This Row],[Quantity Sold]]</f>
        <v>6.66</v>
      </c>
      <c r="P311" s="13">
        <f>Greenleaf[[#This Row],[ Unit  price per quantity]]-Greenleaf[[#This Row],[ Unit cost per quantity]]</f>
        <v>17.34</v>
      </c>
      <c r="Q311" s="14">
        <f>Greenleaf[[#This Row],[Quantity Sold]]*Greenleaf[[#This Row],[Unit Price]]</f>
        <v>24</v>
      </c>
    </row>
    <row r="312" spans="1:17" x14ac:dyDescent="0.25">
      <c r="A312" t="s">
        <v>1738</v>
      </c>
      <c r="B312" s="5">
        <v>45396</v>
      </c>
      <c r="C312" s="5" t="str">
        <f>TEXT(Greenleaf[[#This Row],[Order Date]],"MMM")</f>
        <v>Apr</v>
      </c>
      <c r="D312" s="5" t="str">
        <f>TEXT(Greenleaf[[#This Row],[Order Date]],"YYYY")</f>
        <v>2024</v>
      </c>
      <c r="E312" t="s">
        <v>2464</v>
      </c>
      <c r="F312" s="7" t="s">
        <v>1012</v>
      </c>
      <c r="G312" s="9">
        <v>8</v>
      </c>
      <c r="H312" s="11">
        <v>40</v>
      </c>
      <c r="I312" s="13">
        <v>8.81</v>
      </c>
      <c r="J312" t="s">
        <v>1193</v>
      </c>
      <c r="K312" t="s">
        <v>2478</v>
      </c>
      <c r="L312" s="7" t="s">
        <v>1414</v>
      </c>
      <c r="M312" s="7" t="s">
        <v>1421</v>
      </c>
      <c r="N312" s="14">
        <f>Greenleaf[[#This Row],[Unit Price]]*Greenleaf[[#This Row],[Quantity Sold]]</f>
        <v>320</v>
      </c>
      <c r="O312" s="13">
        <f>Greenleaf[[#This Row],[Unit Cost]]*Greenleaf[[#This Row],[Quantity Sold]]</f>
        <v>70.48</v>
      </c>
      <c r="P312" s="13">
        <f>Greenleaf[[#This Row],[ Unit  price per quantity]]-Greenleaf[[#This Row],[ Unit cost per quantity]]</f>
        <v>249.51999999999998</v>
      </c>
      <c r="Q312" s="14">
        <f>Greenleaf[[#This Row],[Quantity Sold]]*Greenleaf[[#This Row],[Unit Price]]</f>
        <v>320</v>
      </c>
    </row>
    <row r="313" spans="1:17" x14ac:dyDescent="0.25">
      <c r="A313" t="s">
        <v>1739</v>
      </c>
      <c r="B313" s="5">
        <v>45397</v>
      </c>
      <c r="C313" s="5" t="str">
        <f>TEXT(Greenleaf[[#This Row],[Order Date]],"MMM")</f>
        <v>Apr</v>
      </c>
      <c r="D313" s="5" t="str">
        <f>TEXT(Greenleaf[[#This Row],[Order Date]],"YYYY")</f>
        <v>2024</v>
      </c>
      <c r="E313" t="s">
        <v>2464</v>
      </c>
      <c r="F313" s="7" t="s">
        <v>1012</v>
      </c>
      <c r="G313" s="9">
        <v>5</v>
      </c>
      <c r="H313" s="11">
        <v>40</v>
      </c>
      <c r="I313" s="13">
        <v>15.08</v>
      </c>
      <c r="J313" t="s">
        <v>1079</v>
      </c>
      <c r="K313" t="s">
        <v>2525</v>
      </c>
      <c r="L313" s="7" t="s">
        <v>1416</v>
      </c>
      <c r="M313" s="7" t="s">
        <v>1418</v>
      </c>
      <c r="N313" s="14">
        <f>Greenleaf[[#This Row],[Unit Price]]*Greenleaf[[#This Row],[Quantity Sold]]</f>
        <v>200</v>
      </c>
      <c r="O313" s="13">
        <f>Greenleaf[[#This Row],[Unit Cost]]*Greenleaf[[#This Row],[Quantity Sold]]</f>
        <v>75.400000000000006</v>
      </c>
      <c r="P313" s="13">
        <f>Greenleaf[[#This Row],[ Unit  price per quantity]]-Greenleaf[[#This Row],[ Unit cost per quantity]]</f>
        <v>124.6</v>
      </c>
      <c r="Q313" s="14">
        <f>Greenleaf[[#This Row],[Quantity Sold]]*Greenleaf[[#This Row],[Unit Price]]</f>
        <v>200</v>
      </c>
    </row>
    <row r="314" spans="1:17" x14ac:dyDescent="0.25">
      <c r="A314" t="s">
        <v>1740</v>
      </c>
      <c r="B314" s="5">
        <v>45397</v>
      </c>
      <c r="C314" s="5" t="str">
        <f>TEXT(Greenleaf[[#This Row],[Order Date]],"MMM")</f>
        <v>Apr</v>
      </c>
      <c r="D314" s="5" t="str">
        <f>TEXT(Greenleaf[[#This Row],[Order Date]],"YYYY")</f>
        <v>2024</v>
      </c>
      <c r="E314" t="s">
        <v>2464</v>
      </c>
      <c r="F314" s="7" t="s">
        <v>1012</v>
      </c>
      <c r="G314" s="9">
        <v>8</v>
      </c>
      <c r="H314" s="11">
        <v>40</v>
      </c>
      <c r="I314" s="13">
        <v>11.5</v>
      </c>
      <c r="J314" t="s">
        <v>1103</v>
      </c>
      <c r="K314" t="s">
        <v>2518</v>
      </c>
      <c r="L314" s="7" t="s">
        <v>1415</v>
      </c>
      <c r="M314" s="7" t="s">
        <v>1426</v>
      </c>
      <c r="N314" s="14">
        <f>Greenleaf[[#This Row],[Unit Price]]*Greenleaf[[#This Row],[Quantity Sold]]</f>
        <v>320</v>
      </c>
      <c r="O314" s="13">
        <f>Greenleaf[[#This Row],[Unit Cost]]*Greenleaf[[#This Row],[Quantity Sold]]</f>
        <v>92</v>
      </c>
      <c r="P314" s="13">
        <f>Greenleaf[[#This Row],[ Unit  price per quantity]]-Greenleaf[[#This Row],[ Unit cost per quantity]]</f>
        <v>228</v>
      </c>
      <c r="Q314" s="14">
        <f>Greenleaf[[#This Row],[Quantity Sold]]*Greenleaf[[#This Row],[Unit Price]]</f>
        <v>320</v>
      </c>
    </row>
    <row r="315" spans="1:17" x14ac:dyDescent="0.25">
      <c r="A315" t="s">
        <v>1741</v>
      </c>
      <c r="B315" s="5">
        <v>45397</v>
      </c>
      <c r="C315" s="5" t="str">
        <f>TEXT(Greenleaf[[#This Row],[Order Date]],"MMM")</f>
        <v>Apr</v>
      </c>
      <c r="D315" s="5" t="str">
        <f>TEXT(Greenleaf[[#This Row],[Order Date]],"YYYY")</f>
        <v>2024</v>
      </c>
      <c r="E315" t="s">
        <v>2460</v>
      </c>
      <c r="F315" s="7" t="s">
        <v>1015</v>
      </c>
      <c r="G315" s="9">
        <v>9</v>
      </c>
      <c r="H315" s="11">
        <v>10</v>
      </c>
      <c r="I315" s="13">
        <v>2.65</v>
      </c>
      <c r="J315" t="s">
        <v>1034</v>
      </c>
      <c r="K315" t="s">
        <v>2473</v>
      </c>
      <c r="L315" s="7" t="s">
        <v>1414</v>
      </c>
      <c r="M315" s="7" t="s">
        <v>1425</v>
      </c>
      <c r="N315" s="14">
        <f>Greenleaf[[#This Row],[Unit Price]]*Greenleaf[[#This Row],[Quantity Sold]]</f>
        <v>90</v>
      </c>
      <c r="O315" s="13">
        <f>Greenleaf[[#This Row],[Unit Cost]]*Greenleaf[[#This Row],[Quantity Sold]]</f>
        <v>23.849999999999998</v>
      </c>
      <c r="P315" s="13">
        <f>Greenleaf[[#This Row],[ Unit  price per quantity]]-Greenleaf[[#This Row],[ Unit cost per quantity]]</f>
        <v>66.150000000000006</v>
      </c>
      <c r="Q315" s="14">
        <f>Greenleaf[[#This Row],[Quantity Sold]]*Greenleaf[[#This Row],[Unit Price]]</f>
        <v>90</v>
      </c>
    </row>
    <row r="316" spans="1:17" x14ac:dyDescent="0.25">
      <c r="A316" t="s">
        <v>1742</v>
      </c>
      <c r="B316" s="5">
        <v>45398</v>
      </c>
      <c r="C316" s="5" t="str">
        <f>TEXT(Greenleaf[[#This Row],[Order Date]],"MMM")</f>
        <v>Apr</v>
      </c>
      <c r="D316" s="5" t="str">
        <f>TEXT(Greenleaf[[#This Row],[Order Date]],"YYYY")</f>
        <v>2024</v>
      </c>
      <c r="E316" t="s">
        <v>2460</v>
      </c>
      <c r="F316" s="7" t="s">
        <v>1015</v>
      </c>
      <c r="G316" s="9">
        <v>2</v>
      </c>
      <c r="H316" s="11">
        <v>10</v>
      </c>
      <c r="I316" s="13">
        <v>3.22</v>
      </c>
      <c r="J316" t="s">
        <v>1163</v>
      </c>
      <c r="K316" t="s">
        <v>2518</v>
      </c>
      <c r="L316" s="7" t="s">
        <v>1414</v>
      </c>
      <c r="M316" s="7" t="s">
        <v>1421</v>
      </c>
      <c r="N316" s="14">
        <f>Greenleaf[[#This Row],[Unit Price]]*Greenleaf[[#This Row],[Quantity Sold]]</f>
        <v>20</v>
      </c>
      <c r="O316" s="13">
        <f>Greenleaf[[#This Row],[Unit Cost]]*Greenleaf[[#This Row],[Quantity Sold]]</f>
        <v>6.44</v>
      </c>
      <c r="P316" s="13">
        <f>Greenleaf[[#This Row],[ Unit  price per quantity]]-Greenleaf[[#This Row],[ Unit cost per quantity]]</f>
        <v>13.559999999999999</v>
      </c>
      <c r="Q316" s="14">
        <f>Greenleaf[[#This Row],[Quantity Sold]]*Greenleaf[[#This Row],[Unit Price]]</f>
        <v>20</v>
      </c>
    </row>
    <row r="317" spans="1:17" x14ac:dyDescent="0.25">
      <c r="A317" t="s">
        <v>1743</v>
      </c>
      <c r="B317" s="5">
        <v>45398</v>
      </c>
      <c r="C317" s="5" t="str">
        <f>TEXT(Greenleaf[[#This Row],[Order Date]],"MMM")</f>
        <v>Apr</v>
      </c>
      <c r="D317" s="5" t="str">
        <f>TEXT(Greenleaf[[#This Row],[Order Date]],"YYYY")</f>
        <v>2024</v>
      </c>
      <c r="E317" t="s">
        <v>2462</v>
      </c>
      <c r="F317" s="7" t="s">
        <v>1013</v>
      </c>
      <c r="G317" s="9">
        <v>6</v>
      </c>
      <c r="H317" s="11">
        <v>25</v>
      </c>
      <c r="I317" s="13">
        <v>7.37</v>
      </c>
      <c r="J317" t="s">
        <v>1166</v>
      </c>
      <c r="K317" t="s">
        <v>2496</v>
      </c>
      <c r="L317" s="7" t="s">
        <v>1416</v>
      </c>
      <c r="M317" s="7" t="s">
        <v>1420</v>
      </c>
      <c r="N317" s="14">
        <f>Greenleaf[[#This Row],[Unit Price]]*Greenleaf[[#This Row],[Quantity Sold]]</f>
        <v>150</v>
      </c>
      <c r="O317" s="13">
        <f>Greenleaf[[#This Row],[Unit Cost]]*Greenleaf[[#This Row],[Quantity Sold]]</f>
        <v>44.22</v>
      </c>
      <c r="P317" s="13">
        <f>Greenleaf[[#This Row],[ Unit  price per quantity]]-Greenleaf[[#This Row],[ Unit cost per quantity]]</f>
        <v>105.78</v>
      </c>
      <c r="Q317" s="14">
        <f>Greenleaf[[#This Row],[Quantity Sold]]*Greenleaf[[#This Row],[Unit Price]]</f>
        <v>150</v>
      </c>
    </row>
    <row r="318" spans="1:17" x14ac:dyDescent="0.25">
      <c r="A318" t="s">
        <v>1744</v>
      </c>
      <c r="B318" s="5">
        <v>45399</v>
      </c>
      <c r="C318" s="5" t="str">
        <f>TEXT(Greenleaf[[#This Row],[Order Date]],"MMM")</f>
        <v>Apr</v>
      </c>
      <c r="D318" s="5" t="str">
        <f>TEXT(Greenleaf[[#This Row],[Order Date]],"YYYY")</f>
        <v>2024</v>
      </c>
      <c r="E318" t="s">
        <v>2461</v>
      </c>
      <c r="F318" s="7" t="s">
        <v>1011</v>
      </c>
      <c r="G318" s="9">
        <v>5</v>
      </c>
      <c r="H318" s="11">
        <v>12</v>
      </c>
      <c r="I318" s="13">
        <v>2.5499999999999998</v>
      </c>
      <c r="J318" t="s">
        <v>1039</v>
      </c>
      <c r="K318" t="s">
        <v>2472</v>
      </c>
      <c r="L318" s="7" t="s">
        <v>1416</v>
      </c>
      <c r="M318" s="7" t="s">
        <v>1418</v>
      </c>
      <c r="N318" s="14">
        <f>Greenleaf[[#This Row],[Unit Price]]*Greenleaf[[#This Row],[Quantity Sold]]</f>
        <v>60</v>
      </c>
      <c r="O318" s="13">
        <f>Greenleaf[[#This Row],[Unit Cost]]*Greenleaf[[#This Row],[Quantity Sold]]</f>
        <v>12.75</v>
      </c>
      <c r="P318" s="13">
        <f>Greenleaf[[#This Row],[ Unit  price per quantity]]-Greenleaf[[#This Row],[ Unit cost per quantity]]</f>
        <v>47.25</v>
      </c>
      <c r="Q318" s="14">
        <f>Greenleaf[[#This Row],[Quantity Sold]]*Greenleaf[[#This Row],[Unit Price]]</f>
        <v>60</v>
      </c>
    </row>
    <row r="319" spans="1:17" x14ac:dyDescent="0.25">
      <c r="A319" t="s">
        <v>1745</v>
      </c>
      <c r="B319" s="5">
        <v>45399</v>
      </c>
      <c r="C319" s="5" t="str">
        <f>TEXT(Greenleaf[[#This Row],[Order Date]],"MMM")</f>
        <v>Apr</v>
      </c>
      <c r="D319" s="5" t="str">
        <f>TEXT(Greenleaf[[#This Row],[Order Date]],"YYYY")</f>
        <v>2024</v>
      </c>
      <c r="E319" t="s">
        <v>2462</v>
      </c>
      <c r="F319" s="7" t="s">
        <v>1013</v>
      </c>
      <c r="G319" s="9">
        <v>4</v>
      </c>
      <c r="H319" s="11">
        <v>25</v>
      </c>
      <c r="I319" s="13">
        <v>6.2</v>
      </c>
      <c r="J319" t="s">
        <v>1109</v>
      </c>
      <c r="K319" t="s">
        <v>2560</v>
      </c>
      <c r="L319" s="7" t="s">
        <v>1416</v>
      </c>
      <c r="M319" s="7" t="s">
        <v>1420</v>
      </c>
      <c r="N319" s="14">
        <f>Greenleaf[[#This Row],[Unit Price]]*Greenleaf[[#This Row],[Quantity Sold]]</f>
        <v>100</v>
      </c>
      <c r="O319" s="13">
        <f>Greenleaf[[#This Row],[Unit Cost]]*Greenleaf[[#This Row],[Quantity Sold]]</f>
        <v>24.8</v>
      </c>
      <c r="P319" s="13">
        <f>Greenleaf[[#This Row],[ Unit  price per quantity]]-Greenleaf[[#This Row],[ Unit cost per quantity]]</f>
        <v>75.2</v>
      </c>
      <c r="Q319" s="14">
        <f>Greenleaf[[#This Row],[Quantity Sold]]*Greenleaf[[#This Row],[Unit Price]]</f>
        <v>100</v>
      </c>
    </row>
    <row r="320" spans="1:17" x14ac:dyDescent="0.25">
      <c r="A320" t="s">
        <v>1746</v>
      </c>
      <c r="B320" s="5">
        <v>45399</v>
      </c>
      <c r="C320" s="5" t="str">
        <f>TEXT(Greenleaf[[#This Row],[Order Date]],"MMM")</f>
        <v>Apr</v>
      </c>
      <c r="D320" s="5" t="str">
        <f>TEXT(Greenleaf[[#This Row],[Order Date]],"YYYY")</f>
        <v>2024</v>
      </c>
      <c r="E320" t="s">
        <v>2462</v>
      </c>
      <c r="F320" s="7" t="s">
        <v>1013</v>
      </c>
      <c r="G320" s="9">
        <v>4</v>
      </c>
      <c r="H320" s="11">
        <v>25</v>
      </c>
      <c r="I320" s="13">
        <v>7.53</v>
      </c>
      <c r="J320" t="s">
        <v>1137</v>
      </c>
      <c r="K320" t="s">
        <v>2485</v>
      </c>
      <c r="L320" s="7" t="s">
        <v>1414</v>
      </c>
      <c r="M320" s="7" t="s">
        <v>1419</v>
      </c>
      <c r="N320" s="14">
        <f>Greenleaf[[#This Row],[Unit Price]]*Greenleaf[[#This Row],[Quantity Sold]]</f>
        <v>100</v>
      </c>
      <c r="O320" s="13">
        <f>Greenleaf[[#This Row],[Unit Cost]]*Greenleaf[[#This Row],[Quantity Sold]]</f>
        <v>30.12</v>
      </c>
      <c r="P320" s="13">
        <f>Greenleaf[[#This Row],[ Unit  price per quantity]]-Greenleaf[[#This Row],[ Unit cost per quantity]]</f>
        <v>69.88</v>
      </c>
      <c r="Q320" s="14">
        <f>Greenleaf[[#This Row],[Quantity Sold]]*Greenleaf[[#This Row],[Unit Price]]</f>
        <v>100</v>
      </c>
    </row>
    <row r="321" spans="1:17" x14ac:dyDescent="0.25">
      <c r="A321" t="s">
        <v>1747</v>
      </c>
      <c r="B321" s="5">
        <v>45400</v>
      </c>
      <c r="C321" s="5" t="str">
        <f>TEXT(Greenleaf[[#This Row],[Order Date]],"MMM")</f>
        <v>Apr</v>
      </c>
      <c r="D321" s="5" t="str">
        <f>TEXT(Greenleaf[[#This Row],[Order Date]],"YYYY")</f>
        <v>2024</v>
      </c>
      <c r="E321" t="s">
        <v>2462</v>
      </c>
      <c r="F321" s="7" t="s">
        <v>1013</v>
      </c>
      <c r="G321" s="9">
        <v>1</v>
      </c>
      <c r="H321" s="11">
        <v>25</v>
      </c>
      <c r="I321" s="13">
        <v>7.07</v>
      </c>
      <c r="J321" t="s">
        <v>1102</v>
      </c>
      <c r="K321" t="s">
        <v>2564</v>
      </c>
      <c r="L321" s="7" t="s">
        <v>1415</v>
      </c>
      <c r="M321" s="7" t="s">
        <v>1421</v>
      </c>
      <c r="N321" s="14">
        <f>Greenleaf[[#This Row],[Unit Price]]*Greenleaf[[#This Row],[Quantity Sold]]</f>
        <v>25</v>
      </c>
      <c r="O321" s="13">
        <f>Greenleaf[[#This Row],[Unit Cost]]*Greenleaf[[#This Row],[Quantity Sold]]</f>
        <v>7.07</v>
      </c>
      <c r="P321" s="13">
        <f>Greenleaf[[#This Row],[ Unit  price per quantity]]-Greenleaf[[#This Row],[ Unit cost per quantity]]</f>
        <v>17.93</v>
      </c>
      <c r="Q321" s="14">
        <f>Greenleaf[[#This Row],[Quantity Sold]]*Greenleaf[[#This Row],[Unit Price]]</f>
        <v>25</v>
      </c>
    </row>
    <row r="322" spans="1:17" x14ac:dyDescent="0.25">
      <c r="A322" t="s">
        <v>1748</v>
      </c>
      <c r="B322" s="5">
        <v>45401</v>
      </c>
      <c r="C322" s="5" t="str">
        <f>TEXT(Greenleaf[[#This Row],[Order Date]],"MMM")</f>
        <v>Apr</v>
      </c>
      <c r="D322" s="5" t="str">
        <f>TEXT(Greenleaf[[#This Row],[Order Date]],"YYYY")</f>
        <v>2024</v>
      </c>
      <c r="E322" t="s">
        <v>2460</v>
      </c>
      <c r="F322" s="7" t="s">
        <v>1015</v>
      </c>
      <c r="G322" s="9">
        <v>7</v>
      </c>
      <c r="H322" s="11">
        <v>10</v>
      </c>
      <c r="I322" s="13">
        <v>3.53</v>
      </c>
      <c r="J322" t="s">
        <v>1177</v>
      </c>
      <c r="K322" t="s">
        <v>2494</v>
      </c>
      <c r="L322" s="7" t="s">
        <v>1414</v>
      </c>
      <c r="M322" s="7" t="s">
        <v>1421</v>
      </c>
      <c r="N322" s="14">
        <f>Greenleaf[[#This Row],[Unit Price]]*Greenleaf[[#This Row],[Quantity Sold]]</f>
        <v>70</v>
      </c>
      <c r="O322" s="13">
        <f>Greenleaf[[#This Row],[Unit Cost]]*Greenleaf[[#This Row],[Quantity Sold]]</f>
        <v>24.709999999999997</v>
      </c>
      <c r="P322" s="13">
        <f>Greenleaf[[#This Row],[ Unit  price per quantity]]-Greenleaf[[#This Row],[ Unit cost per quantity]]</f>
        <v>45.290000000000006</v>
      </c>
      <c r="Q322" s="14">
        <f>Greenleaf[[#This Row],[Quantity Sold]]*Greenleaf[[#This Row],[Unit Price]]</f>
        <v>70</v>
      </c>
    </row>
    <row r="323" spans="1:17" x14ac:dyDescent="0.25">
      <c r="A323" t="s">
        <v>1749</v>
      </c>
      <c r="B323" s="5">
        <v>45401</v>
      </c>
      <c r="C323" s="5" t="str">
        <f>TEXT(Greenleaf[[#This Row],[Order Date]],"MMM")</f>
        <v>Apr</v>
      </c>
      <c r="D323" s="5" t="str">
        <f>TEXT(Greenleaf[[#This Row],[Order Date]],"YYYY")</f>
        <v>2024</v>
      </c>
      <c r="E323" t="s">
        <v>2464</v>
      </c>
      <c r="F323" s="7" t="s">
        <v>1012</v>
      </c>
      <c r="G323" s="9">
        <v>7</v>
      </c>
      <c r="H323" s="11">
        <v>40</v>
      </c>
      <c r="I323" s="13">
        <v>8.4</v>
      </c>
      <c r="J323" t="s">
        <v>1046</v>
      </c>
      <c r="K323" t="s">
        <v>2500</v>
      </c>
      <c r="L323" s="7" t="s">
        <v>1414</v>
      </c>
      <c r="M323" s="7" t="s">
        <v>1418</v>
      </c>
      <c r="N323" s="14">
        <f>Greenleaf[[#This Row],[Unit Price]]*Greenleaf[[#This Row],[Quantity Sold]]</f>
        <v>280</v>
      </c>
      <c r="O323" s="13">
        <f>Greenleaf[[#This Row],[Unit Cost]]*Greenleaf[[#This Row],[Quantity Sold]]</f>
        <v>58.800000000000004</v>
      </c>
      <c r="P323" s="13">
        <f>Greenleaf[[#This Row],[ Unit  price per quantity]]-Greenleaf[[#This Row],[ Unit cost per quantity]]</f>
        <v>221.2</v>
      </c>
      <c r="Q323" s="14">
        <f>Greenleaf[[#This Row],[Quantity Sold]]*Greenleaf[[#This Row],[Unit Price]]</f>
        <v>280</v>
      </c>
    </row>
    <row r="324" spans="1:17" x14ac:dyDescent="0.25">
      <c r="A324" t="s">
        <v>1750</v>
      </c>
      <c r="B324" s="5">
        <v>45401</v>
      </c>
      <c r="C324" s="5" t="str">
        <f>TEXT(Greenleaf[[#This Row],[Order Date]],"MMM")</f>
        <v>Apr</v>
      </c>
      <c r="D324" s="5" t="str">
        <f>TEXT(Greenleaf[[#This Row],[Order Date]],"YYYY")</f>
        <v>2024</v>
      </c>
      <c r="E324" t="s">
        <v>2461</v>
      </c>
      <c r="F324" s="7" t="s">
        <v>1011</v>
      </c>
      <c r="G324" s="9">
        <v>7</v>
      </c>
      <c r="H324" s="11">
        <v>12</v>
      </c>
      <c r="I324" s="13">
        <v>4.59</v>
      </c>
      <c r="J324" t="s">
        <v>1170</v>
      </c>
      <c r="K324" t="s">
        <v>2493</v>
      </c>
      <c r="L324" s="7" t="s">
        <v>1414</v>
      </c>
      <c r="M324" s="7" t="s">
        <v>1427</v>
      </c>
      <c r="N324" s="14">
        <f>Greenleaf[[#This Row],[Unit Price]]*Greenleaf[[#This Row],[Quantity Sold]]</f>
        <v>84</v>
      </c>
      <c r="O324" s="13">
        <f>Greenleaf[[#This Row],[Unit Cost]]*Greenleaf[[#This Row],[Quantity Sold]]</f>
        <v>32.129999999999995</v>
      </c>
      <c r="P324" s="13">
        <f>Greenleaf[[#This Row],[ Unit  price per quantity]]-Greenleaf[[#This Row],[ Unit cost per quantity]]</f>
        <v>51.870000000000005</v>
      </c>
      <c r="Q324" s="14">
        <f>Greenleaf[[#This Row],[Quantity Sold]]*Greenleaf[[#This Row],[Unit Price]]</f>
        <v>84</v>
      </c>
    </row>
    <row r="325" spans="1:17" x14ac:dyDescent="0.25">
      <c r="A325" t="s">
        <v>1751</v>
      </c>
      <c r="B325" s="5">
        <v>45402</v>
      </c>
      <c r="C325" s="5" t="str">
        <f>TEXT(Greenleaf[[#This Row],[Order Date]],"MMM")</f>
        <v>Apr</v>
      </c>
      <c r="D325" s="5" t="str">
        <f>TEXT(Greenleaf[[#This Row],[Order Date]],"YYYY")</f>
        <v>2024</v>
      </c>
      <c r="E325" t="s">
        <v>2461</v>
      </c>
      <c r="F325" s="7" t="s">
        <v>1011</v>
      </c>
      <c r="G325" s="9">
        <v>9</v>
      </c>
      <c r="H325" s="11">
        <v>12</v>
      </c>
      <c r="I325" s="13">
        <v>3.18</v>
      </c>
      <c r="J325" t="s">
        <v>1054</v>
      </c>
      <c r="K325" t="s">
        <v>2552</v>
      </c>
      <c r="L325" s="7" t="s">
        <v>1414</v>
      </c>
      <c r="M325" s="7" t="s">
        <v>1422</v>
      </c>
      <c r="N325" s="14">
        <f>Greenleaf[[#This Row],[Unit Price]]*Greenleaf[[#This Row],[Quantity Sold]]</f>
        <v>108</v>
      </c>
      <c r="O325" s="13">
        <f>Greenleaf[[#This Row],[Unit Cost]]*Greenleaf[[#This Row],[Quantity Sold]]</f>
        <v>28.62</v>
      </c>
      <c r="P325" s="13">
        <f>Greenleaf[[#This Row],[ Unit  price per quantity]]-Greenleaf[[#This Row],[ Unit cost per quantity]]</f>
        <v>79.38</v>
      </c>
      <c r="Q325" s="14">
        <f>Greenleaf[[#This Row],[Quantity Sold]]*Greenleaf[[#This Row],[Unit Price]]</f>
        <v>108</v>
      </c>
    </row>
    <row r="326" spans="1:17" x14ac:dyDescent="0.25">
      <c r="A326" t="s">
        <v>1752</v>
      </c>
      <c r="B326" s="5">
        <v>45402</v>
      </c>
      <c r="C326" s="5" t="str">
        <f>TEXT(Greenleaf[[#This Row],[Order Date]],"MMM")</f>
        <v>Apr</v>
      </c>
      <c r="D326" s="5" t="str">
        <f>TEXT(Greenleaf[[#This Row],[Order Date]],"YYYY")</f>
        <v>2024</v>
      </c>
      <c r="E326" t="s">
        <v>2460</v>
      </c>
      <c r="F326" s="7" t="s">
        <v>1015</v>
      </c>
      <c r="G326" s="9">
        <v>8</v>
      </c>
      <c r="H326" s="11">
        <v>10</v>
      </c>
      <c r="I326" s="13">
        <v>2.5499999999999998</v>
      </c>
      <c r="J326" t="s">
        <v>1122</v>
      </c>
      <c r="K326" t="s">
        <v>2531</v>
      </c>
      <c r="L326" s="7" t="s">
        <v>1416</v>
      </c>
      <c r="M326" s="7" t="s">
        <v>1424</v>
      </c>
      <c r="N326" s="14">
        <f>Greenleaf[[#This Row],[Unit Price]]*Greenleaf[[#This Row],[Quantity Sold]]</f>
        <v>80</v>
      </c>
      <c r="O326" s="13">
        <f>Greenleaf[[#This Row],[Unit Cost]]*Greenleaf[[#This Row],[Quantity Sold]]</f>
        <v>20.399999999999999</v>
      </c>
      <c r="P326" s="13">
        <f>Greenleaf[[#This Row],[ Unit  price per quantity]]-Greenleaf[[#This Row],[ Unit cost per quantity]]</f>
        <v>59.6</v>
      </c>
      <c r="Q326" s="14">
        <f>Greenleaf[[#This Row],[Quantity Sold]]*Greenleaf[[#This Row],[Unit Price]]</f>
        <v>80</v>
      </c>
    </row>
    <row r="327" spans="1:17" x14ac:dyDescent="0.25">
      <c r="A327" t="s">
        <v>1753</v>
      </c>
      <c r="B327" s="5">
        <v>45402</v>
      </c>
      <c r="C327" s="5" t="str">
        <f>TEXT(Greenleaf[[#This Row],[Order Date]],"MMM")</f>
        <v>Apr</v>
      </c>
      <c r="D327" s="5" t="str">
        <f>TEXT(Greenleaf[[#This Row],[Order Date]],"YYYY")</f>
        <v>2024</v>
      </c>
      <c r="E327" t="s">
        <v>2462</v>
      </c>
      <c r="F327" s="7" t="s">
        <v>1013</v>
      </c>
      <c r="G327" s="9">
        <v>1</v>
      </c>
      <c r="H327" s="11">
        <v>25</v>
      </c>
      <c r="I327" s="13">
        <v>6.87</v>
      </c>
      <c r="J327" t="s">
        <v>1160</v>
      </c>
      <c r="K327" t="s">
        <v>2519</v>
      </c>
      <c r="L327" s="7" t="s">
        <v>1414</v>
      </c>
      <c r="M327" s="7" t="s">
        <v>1422</v>
      </c>
      <c r="N327" s="14">
        <f>Greenleaf[[#This Row],[Unit Price]]*Greenleaf[[#This Row],[Quantity Sold]]</f>
        <v>25</v>
      </c>
      <c r="O327" s="13">
        <f>Greenleaf[[#This Row],[Unit Cost]]*Greenleaf[[#This Row],[Quantity Sold]]</f>
        <v>6.87</v>
      </c>
      <c r="P327" s="13">
        <f>Greenleaf[[#This Row],[ Unit  price per quantity]]-Greenleaf[[#This Row],[ Unit cost per quantity]]</f>
        <v>18.13</v>
      </c>
      <c r="Q327" s="14">
        <f>Greenleaf[[#This Row],[Quantity Sold]]*Greenleaf[[#This Row],[Unit Price]]</f>
        <v>25</v>
      </c>
    </row>
    <row r="328" spans="1:17" x14ac:dyDescent="0.25">
      <c r="A328" t="s">
        <v>1754</v>
      </c>
      <c r="B328" s="5">
        <v>45403</v>
      </c>
      <c r="C328" s="5" t="str">
        <f>TEXT(Greenleaf[[#This Row],[Order Date]],"MMM")</f>
        <v>Apr</v>
      </c>
      <c r="D328" s="5" t="str">
        <f>TEXT(Greenleaf[[#This Row],[Order Date]],"YYYY")</f>
        <v>2024</v>
      </c>
      <c r="E328" t="s">
        <v>2464</v>
      </c>
      <c r="F328" s="7" t="s">
        <v>1012</v>
      </c>
      <c r="G328" s="9">
        <v>2</v>
      </c>
      <c r="H328" s="11">
        <v>40</v>
      </c>
      <c r="I328" s="13">
        <v>14.17</v>
      </c>
      <c r="J328" t="s">
        <v>1135</v>
      </c>
      <c r="K328" t="s">
        <v>2546</v>
      </c>
      <c r="L328" s="7" t="s">
        <v>1414</v>
      </c>
      <c r="M328" s="7" t="s">
        <v>1420</v>
      </c>
      <c r="N328" s="14">
        <f>Greenleaf[[#This Row],[Unit Price]]*Greenleaf[[#This Row],[Quantity Sold]]</f>
        <v>80</v>
      </c>
      <c r="O328" s="13">
        <f>Greenleaf[[#This Row],[Unit Cost]]*Greenleaf[[#This Row],[Quantity Sold]]</f>
        <v>28.34</v>
      </c>
      <c r="P328" s="13">
        <f>Greenleaf[[#This Row],[ Unit  price per quantity]]-Greenleaf[[#This Row],[ Unit cost per quantity]]</f>
        <v>51.66</v>
      </c>
      <c r="Q328" s="14">
        <f>Greenleaf[[#This Row],[Quantity Sold]]*Greenleaf[[#This Row],[Unit Price]]</f>
        <v>80</v>
      </c>
    </row>
    <row r="329" spans="1:17" x14ac:dyDescent="0.25">
      <c r="A329" t="s">
        <v>1755</v>
      </c>
      <c r="B329" s="5">
        <v>45403</v>
      </c>
      <c r="C329" s="5" t="str">
        <f>TEXT(Greenleaf[[#This Row],[Order Date]],"MMM")</f>
        <v>Apr</v>
      </c>
      <c r="D329" s="5" t="str">
        <f>TEXT(Greenleaf[[#This Row],[Order Date]],"YYYY")</f>
        <v>2024</v>
      </c>
      <c r="E329" t="s">
        <v>2462</v>
      </c>
      <c r="F329" s="7" t="s">
        <v>1013</v>
      </c>
      <c r="G329" s="9">
        <v>4</v>
      </c>
      <c r="H329" s="11">
        <v>25</v>
      </c>
      <c r="I329" s="13">
        <v>6.54</v>
      </c>
      <c r="J329" t="s">
        <v>1057</v>
      </c>
      <c r="K329" t="s">
        <v>2528</v>
      </c>
      <c r="L329" s="7" t="s">
        <v>1415</v>
      </c>
      <c r="M329" s="7" t="s">
        <v>1427</v>
      </c>
      <c r="N329" s="14">
        <f>Greenleaf[[#This Row],[Unit Price]]*Greenleaf[[#This Row],[Quantity Sold]]</f>
        <v>100</v>
      </c>
      <c r="O329" s="13">
        <f>Greenleaf[[#This Row],[Unit Cost]]*Greenleaf[[#This Row],[Quantity Sold]]</f>
        <v>26.16</v>
      </c>
      <c r="P329" s="13">
        <f>Greenleaf[[#This Row],[ Unit  price per quantity]]-Greenleaf[[#This Row],[ Unit cost per quantity]]</f>
        <v>73.84</v>
      </c>
      <c r="Q329" s="14">
        <f>Greenleaf[[#This Row],[Quantity Sold]]*Greenleaf[[#This Row],[Unit Price]]</f>
        <v>100</v>
      </c>
    </row>
    <row r="330" spans="1:17" x14ac:dyDescent="0.25">
      <c r="A330" t="s">
        <v>1756</v>
      </c>
      <c r="B330" s="5">
        <v>45403</v>
      </c>
      <c r="C330" s="5" t="str">
        <f>TEXT(Greenleaf[[#This Row],[Order Date]],"MMM")</f>
        <v>Apr</v>
      </c>
      <c r="D330" s="5" t="str">
        <f>TEXT(Greenleaf[[#This Row],[Order Date]],"YYYY")</f>
        <v>2024</v>
      </c>
      <c r="E330" t="s">
        <v>2464</v>
      </c>
      <c r="F330" s="7" t="s">
        <v>1012</v>
      </c>
      <c r="G330" s="9">
        <v>9</v>
      </c>
      <c r="H330" s="11">
        <v>40</v>
      </c>
      <c r="I330" s="13">
        <v>13.64</v>
      </c>
      <c r="J330" t="s">
        <v>1075</v>
      </c>
      <c r="K330" t="s">
        <v>2505</v>
      </c>
      <c r="L330" s="7" t="s">
        <v>1414</v>
      </c>
      <c r="M330" s="7" t="s">
        <v>1419</v>
      </c>
      <c r="N330" s="14">
        <f>Greenleaf[[#This Row],[Unit Price]]*Greenleaf[[#This Row],[Quantity Sold]]</f>
        <v>360</v>
      </c>
      <c r="O330" s="13">
        <f>Greenleaf[[#This Row],[Unit Cost]]*Greenleaf[[#This Row],[Quantity Sold]]</f>
        <v>122.76</v>
      </c>
      <c r="P330" s="13">
        <f>Greenleaf[[#This Row],[ Unit  price per quantity]]-Greenleaf[[#This Row],[ Unit cost per quantity]]</f>
        <v>237.24</v>
      </c>
      <c r="Q330" s="14">
        <f>Greenleaf[[#This Row],[Quantity Sold]]*Greenleaf[[#This Row],[Unit Price]]</f>
        <v>360</v>
      </c>
    </row>
    <row r="331" spans="1:17" x14ac:dyDescent="0.25">
      <c r="A331" t="s">
        <v>1757</v>
      </c>
      <c r="B331" s="5">
        <v>45404</v>
      </c>
      <c r="C331" s="5" t="str">
        <f>TEXT(Greenleaf[[#This Row],[Order Date]],"MMM")</f>
        <v>Apr</v>
      </c>
      <c r="D331" s="5" t="str">
        <f>TEXT(Greenleaf[[#This Row],[Order Date]],"YYYY")</f>
        <v>2024</v>
      </c>
      <c r="E331" t="s">
        <v>2462</v>
      </c>
      <c r="F331" s="7" t="s">
        <v>1013</v>
      </c>
      <c r="G331" s="9">
        <v>3</v>
      </c>
      <c r="H331" s="11">
        <v>25</v>
      </c>
      <c r="I331" s="13">
        <v>9.17</v>
      </c>
      <c r="J331" t="s">
        <v>1042</v>
      </c>
      <c r="K331" t="s">
        <v>2544</v>
      </c>
      <c r="L331" s="7" t="s">
        <v>1416</v>
      </c>
      <c r="M331" s="7" t="s">
        <v>1420</v>
      </c>
      <c r="N331" s="14">
        <f>Greenleaf[[#This Row],[Unit Price]]*Greenleaf[[#This Row],[Quantity Sold]]</f>
        <v>75</v>
      </c>
      <c r="O331" s="13">
        <f>Greenleaf[[#This Row],[Unit Cost]]*Greenleaf[[#This Row],[Quantity Sold]]</f>
        <v>27.509999999999998</v>
      </c>
      <c r="P331" s="13">
        <f>Greenleaf[[#This Row],[ Unit  price per quantity]]-Greenleaf[[#This Row],[ Unit cost per quantity]]</f>
        <v>47.49</v>
      </c>
      <c r="Q331" s="14">
        <f>Greenleaf[[#This Row],[Quantity Sold]]*Greenleaf[[#This Row],[Unit Price]]</f>
        <v>75</v>
      </c>
    </row>
    <row r="332" spans="1:17" x14ac:dyDescent="0.25">
      <c r="A332" t="s">
        <v>1758</v>
      </c>
      <c r="B332" s="5">
        <v>45404</v>
      </c>
      <c r="C332" s="5" t="str">
        <f>TEXT(Greenleaf[[#This Row],[Order Date]],"MMM")</f>
        <v>Apr</v>
      </c>
      <c r="D332" s="5" t="str">
        <f>TEXT(Greenleaf[[#This Row],[Order Date]],"YYYY")</f>
        <v>2024</v>
      </c>
      <c r="E332" t="s">
        <v>2462</v>
      </c>
      <c r="F332" s="7" t="s">
        <v>1013</v>
      </c>
      <c r="G332" s="9">
        <v>9</v>
      </c>
      <c r="H332" s="11">
        <v>25</v>
      </c>
      <c r="I332" s="13">
        <v>7.13</v>
      </c>
      <c r="J332" t="s">
        <v>1076</v>
      </c>
      <c r="K332" t="s">
        <v>2525</v>
      </c>
      <c r="L332" s="7" t="s">
        <v>1414</v>
      </c>
      <c r="M332" s="7" t="s">
        <v>1421</v>
      </c>
      <c r="N332" s="14">
        <f>Greenleaf[[#This Row],[Unit Price]]*Greenleaf[[#This Row],[Quantity Sold]]</f>
        <v>225</v>
      </c>
      <c r="O332" s="13">
        <f>Greenleaf[[#This Row],[Unit Cost]]*Greenleaf[[#This Row],[Quantity Sold]]</f>
        <v>64.17</v>
      </c>
      <c r="P332" s="13">
        <f>Greenleaf[[#This Row],[ Unit  price per quantity]]-Greenleaf[[#This Row],[ Unit cost per quantity]]</f>
        <v>160.82999999999998</v>
      </c>
      <c r="Q332" s="14">
        <f>Greenleaf[[#This Row],[Quantity Sold]]*Greenleaf[[#This Row],[Unit Price]]</f>
        <v>225</v>
      </c>
    </row>
    <row r="333" spans="1:17" x14ac:dyDescent="0.25">
      <c r="A333" t="s">
        <v>1759</v>
      </c>
      <c r="B333" s="5">
        <v>45404</v>
      </c>
      <c r="C333" s="5" t="str">
        <f>TEXT(Greenleaf[[#This Row],[Order Date]],"MMM")</f>
        <v>Apr</v>
      </c>
      <c r="D333" s="5" t="str">
        <f>TEXT(Greenleaf[[#This Row],[Order Date]],"YYYY")</f>
        <v>2024</v>
      </c>
      <c r="E333" t="s">
        <v>2463</v>
      </c>
      <c r="F333" s="7" t="s">
        <v>1014</v>
      </c>
      <c r="G333" s="9">
        <v>5</v>
      </c>
      <c r="H333" s="11">
        <v>15</v>
      </c>
      <c r="I333" s="13">
        <v>4.1100000000000003</v>
      </c>
      <c r="J333" t="s">
        <v>1125</v>
      </c>
      <c r="K333" t="s">
        <v>2532</v>
      </c>
      <c r="L333" s="7" t="s">
        <v>1414</v>
      </c>
      <c r="M333" s="7" t="s">
        <v>1422</v>
      </c>
      <c r="N333" s="14">
        <f>Greenleaf[[#This Row],[Unit Price]]*Greenleaf[[#This Row],[Quantity Sold]]</f>
        <v>75</v>
      </c>
      <c r="O333" s="13">
        <f>Greenleaf[[#This Row],[Unit Cost]]*Greenleaf[[#This Row],[Quantity Sold]]</f>
        <v>20.55</v>
      </c>
      <c r="P333" s="13">
        <f>Greenleaf[[#This Row],[ Unit  price per quantity]]-Greenleaf[[#This Row],[ Unit cost per quantity]]</f>
        <v>54.45</v>
      </c>
      <c r="Q333" s="14">
        <f>Greenleaf[[#This Row],[Quantity Sold]]*Greenleaf[[#This Row],[Unit Price]]</f>
        <v>75</v>
      </c>
    </row>
    <row r="334" spans="1:17" x14ac:dyDescent="0.25">
      <c r="A334" t="s">
        <v>1760</v>
      </c>
      <c r="B334" s="5">
        <v>45404</v>
      </c>
      <c r="C334" s="5" t="str">
        <f>TEXT(Greenleaf[[#This Row],[Order Date]],"MMM")</f>
        <v>Apr</v>
      </c>
      <c r="D334" s="5" t="str">
        <f>TEXT(Greenleaf[[#This Row],[Order Date]],"YYYY")</f>
        <v>2024</v>
      </c>
      <c r="E334" t="s">
        <v>2462</v>
      </c>
      <c r="F334" s="7" t="s">
        <v>1013</v>
      </c>
      <c r="G334" s="9">
        <v>5</v>
      </c>
      <c r="H334" s="11">
        <v>25</v>
      </c>
      <c r="I334" s="13">
        <v>8.42</v>
      </c>
      <c r="J334" t="s">
        <v>1016</v>
      </c>
      <c r="K334" t="s">
        <v>2478</v>
      </c>
      <c r="L334" s="7" t="s">
        <v>1414</v>
      </c>
      <c r="M334" s="7" t="s">
        <v>1425</v>
      </c>
      <c r="N334" s="14">
        <f>Greenleaf[[#This Row],[Unit Price]]*Greenleaf[[#This Row],[Quantity Sold]]</f>
        <v>125</v>
      </c>
      <c r="O334" s="13">
        <f>Greenleaf[[#This Row],[Unit Cost]]*Greenleaf[[#This Row],[Quantity Sold]]</f>
        <v>42.1</v>
      </c>
      <c r="P334" s="13">
        <f>Greenleaf[[#This Row],[ Unit  price per quantity]]-Greenleaf[[#This Row],[ Unit cost per quantity]]</f>
        <v>82.9</v>
      </c>
      <c r="Q334" s="14">
        <f>Greenleaf[[#This Row],[Quantity Sold]]*Greenleaf[[#This Row],[Unit Price]]</f>
        <v>125</v>
      </c>
    </row>
    <row r="335" spans="1:17" x14ac:dyDescent="0.25">
      <c r="A335" t="s">
        <v>1761</v>
      </c>
      <c r="B335" s="5">
        <v>45405</v>
      </c>
      <c r="C335" s="5" t="str">
        <f>TEXT(Greenleaf[[#This Row],[Order Date]],"MMM")</f>
        <v>Apr</v>
      </c>
      <c r="D335" s="5" t="str">
        <f>TEXT(Greenleaf[[#This Row],[Order Date]],"YYYY")</f>
        <v>2024</v>
      </c>
      <c r="E335" t="s">
        <v>2461</v>
      </c>
      <c r="F335" s="7" t="s">
        <v>1011</v>
      </c>
      <c r="G335" s="9">
        <v>5</v>
      </c>
      <c r="H335" s="11">
        <v>12</v>
      </c>
      <c r="I335" s="13">
        <v>3.23</v>
      </c>
      <c r="J335" t="s">
        <v>1205</v>
      </c>
      <c r="K335" t="s">
        <v>2573</v>
      </c>
      <c r="L335" s="7" t="s">
        <v>1414</v>
      </c>
      <c r="M335" s="7" t="s">
        <v>1420</v>
      </c>
      <c r="N335" s="14">
        <f>Greenleaf[[#This Row],[Unit Price]]*Greenleaf[[#This Row],[Quantity Sold]]</f>
        <v>60</v>
      </c>
      <c r="O335" s="13">
        <f>Greenleaf[[#This Row],[Unit Cost]]*Greenleaf[[#This Row],[Quantity Sold]]</f>
        <v>16.149999999999999</v>
      </c>
      <c r="P335" s="13">
        <f>Greenleaf[[#This Row],[ Unit  price per quantity]]-Greenleaf[[#This Row],[ Unit cost per quantity]]</f>
        <v>43.85</v>
      </c>
      <c r="Q335" s="14">
        <f>Greenleaf[[#This Row],[Quantity Sold]]*Greenleaf[[#This Row],[Unit Price]]</f>
        <v>60</v>
      </c>
    </row>
    <row r="336" spans="1:17" x14ac:dyDescent="0.25">
      <c r="A336" t="s">
        <v>1762</v>
      </c>
      <c r="B336" s="5">
        <v>45405</v>
      </c>
      <c r="C336" s="5" t="str">
        <f>TEXT(Greenleaf[[#This Row],[Order Date]],"MMM")</f>
        <v>Apr</v>
      </c>
      <c r="D336" s="5" t="str">
        <f>TEXT(Greenleaf[[#This Row],[Order Date]],"YYYY")</f>
        <v>2024</v>
      </c>
      <c r="E336" t="s">
        <v>2461</v>
      </c>
      <c r="F336" s="7" t="s">
        <v>1011</v>
      </c>
      <c r="G336" s="9">
        <v>3</v>
      </c>
      <c r="H336" s="11">
        <v>12</v>
      </c>
      <c r="I336" s="13">
        <v>2.87</v>
      </c>
      <c r="J336" t="s">
        <v>1171</v>
      </c>
      <c r="K336" t="s">
        <v>2518</v>
      </c>
      <c r="L336" s="7" t="s">
        <v>1414</v>
      </c>
      <c r="M336" s="7" t="s">
        <v>1424</v>
      </c>
      <c r="N336" s="14">
        <f>Greenleaf[[#This Row],[Unit Price]]*Greenleaf[[#This Row],[Quantity Sold]]</f>
        <v>36</v>
      </c>
      <c r="O336" s="13">
        <f>Greenleaf[[#This Row],[Unit Cost]]*Greenleaf[[#This Row],[Quantity Sold]]</f>
        <v>8.61</v>
      </c>
      <c r="P336" s="13">
        <f>Greenleaf[[#This Row],[ Unit  price per quantity]]-Greenleaf[[#This Row],[ Unit cost per quantity]]</f>
        <v>27.39</v>
      </c>
      <c r="Q336" s="14">
        <f>Greenleaf[[#This Row],[Quantity Sold]]*Greenleaf[[#This Row],[Unit Price]]</f>
        <v>36</v>
      </c>
    </row>
    <row r="337" spans="1:17" x14ac:dyDescent="0.25">
      <c r="A337" t="s">
        <v>1763</v>
      </c>
      <c r="B337" s="5">
        <v>45405</v>
      </c>
      <c r="C337" s="5" t="str">
        <f>TEXT(Greenleaf[[#This Row],[Order Date]],"MMM")</f>
        <v>Apr</v>
      </c>
      <c r="D337" s="5" t="str">
        <f>TEXT(Greenleaf[[#This Row],[Order Date]],"YYYY")</f>
        <v>2024</v>
      </c>
      <c r="E337" t="s">
        <v>2464</v>
      </c>
      <c r="F337" s="7" t="s">
        <v>1012</v>
      </c>
      <c r="G337" s="9">
        <v>9</v>
      </c>
      <c r="H337" s="11">
        <v>40</v>
      </c>
      <c r="I337" s="13">
        <v>12.44</v>
      </c>
      <c r="J337" t="s">
        <v>1197</v>
      </c>
      <c r="K337" t="s">
        <v>2522</v>
      </c>
      <c r="L337" s="7" t="s">
        <v>1414</v>
      </c>
      <c r="M337" s="7" t="s">
        <v>1424</v>
      </c>
      <c r="N337" s="14">
        <f>Greenleaf[[#This Row],[Unit Price]]*Greenleaf[[#This Row],[Quantity Sold]]</f>
        <v>360</v>
      </c>
      <c r="O337" s="13">
        <f>Greenleaf[[#This Row],[Unit Cost]]*Greenleaf[[#This Row],[Quantity Sold]]</f>
        <v>111.96</v>
      </c>
      <c r="P337" s="13">
        <f>Greenleaf[[#This Row],[ Unit  price per quantity]]-Greenleaf[[#This Row],[ Unit cost per quantity]]</f>
        <v>248.04000000000002</v>
      </c>
      <c r="Q337" s="14">
        <f>Greenleaf[[#This Row],[Quantity Sold]]*Greenleaf[[#This Row],[Unit Price]]</f>
        <v>360</v>
      </c>
    </row>
    <row r="338" spans="1:17" x14ac:dyDescent="0.25">
      <c r="A338" t="s">
        <v>1764</v>
      </c>
      <c r="B338" s="5">
        <v>45406</v>
      </c>
      <c r="C338" s="5" t="str">
        <f>TEXT(Greenleaf[[#This Row],[Order Date]],"MMM")</f>
        <v>Apr</v>
      </c>
      <c r="D338" s="5" t="str">
        <f>TEXT(Greenleaf[[#This Row],[Order Date]],"YYYY")</f>
        <v>2024</v>
      </c>
      <c r="E338" t="s">
        <v>2461</v>
      </c>
      <c r="F338" s="7" t="s">
        <v>1011</v>
      </c>
      <c r="G338" s="9">
        <v>1</v>
      </c>
      <c r="H338" s="11">
        <v>12</v>
      </c>
      <c r="I338" s="13">
        <v>2.86</v>
      </c>
      <c r="J338" t="s">
        <v>1136</v>
      </c>
      <c r="K338" t="s">
        <v>2522</v>
      </c>
      <c r="L338" s="7" t="s">
        <v>1417</v>
      </c>
      <c r="M338" s="7" t="s">
        <v>1421</v>
      </c>
      <c r="N338" s="14">
        <f>Greenleaf[[#This Row],[Unit Price]]*Greenleaf[[#This Row],[Quantity Sold]]</f>
        <v>12</v>
      </c>
      <c r="O338" s="13">
        <f>Greenleaf[[#This Row],[Unit Cost]]*Greenleaf[[#This Row],[Quantity Sold]]</f>
        <v>2.86</v>
      </c>
      <c r="P338" s="13">
        <f>Greenleaf[[#This Row],[ Unit  price per quantity]]-Greenleaf[[#This Row],[ Unit cost per quantity]]</f>
        <v>9.14</v>
      </c>
      <c r="Q338" s="14">
        <f>Greenleaf[[#This Row],[Quantity Sold]]*Greenleaf[[#This Row],[Unit Price]]</f>
        <v>12</v>
      </c>
    </row>
    <row r="339" spans="1:17" x14ac:dyDescent="0.25">
      <c r="A339" t="s">
        <v>1765</v>
      </c>
      <c r="B339" s="5">
        <v>45407</v>
      </c>
      <c r="C339" s="5" t="str">
        <f>TEXT(Greenleaf[[#This Row],[Order Date]],"MMM")</f>
        <v>Apr</v>
      </c>
      <c r="D339" s="5" t="str">
        <f>TEXT(Greenleaf[[#This Row],[Order Date]],"YYYY")</f>
        <v>2024</v>
      </c>
      <c r="E339" t="s">
        <v>2460</v>
      </c>
      <c r="F339" s="7" t="s">
        <v>1015</v>
      </c>
      <c r="G339" s="9">
        <v>2</v>
      </c>
      <c r="H339" s="11">
        <v>10</v>
      </c>
      <c r="I339" s="13">
        <v>3.23</v>
      </c>
      <c r="J339" t="s">
        <v>1144</v>
      </c>
      <c r="K339" t="s">
        <v>2534</v>
      </c>
      <c r="L339" s="7" t="s">
        <v>1416</v>
      </c>
      <c r="M339" s="7" t="s">
        <v>1427</v>
      </c>
      <c r="N339" s="14">
        <f>Greenleaf[[#This Row],[Unit Price]]*Greenleaf[[#This Row],[Quantity Sold]]</f>
        <v>20</v>
      </c>
      <c r="O339" s="13">
        <f>Greenleaf[[#This Row],[Unit Cost]]*Greenleaf[[#This Row],[Quantity Sold]]</f>
        <v>6.46</v>
      </c>
      <c r="P339" s="13">
        <f>Greenleaf[[#This Row],[ Unit  price per quantity]]-Greenleaf[[#This Row],[ Unit cost per quantity]]</f>
        <v>13.54</v>
      </c>
      <c r="Q339" s="14">
        <f>Greenleaf[[#This Row],[Quantity Sold]]*Greenleaf[[#This Row],[Unit Price]]</f>
        <v>20</v>
      </c>
    </row>
    <row r="340" spans="1:17" x14ac:dyDescent="0.25">
      <c r="A340" t="s">
        <v>1766</v>
      </c>
      <c r="B340" s="5">
        <v>45407</v>
      </c>
      <c r="C340" s="5" t="str">
        <f>TEXT(Greenleaf[[#This Row],[Order Date]],"MMM")</f>
        <v>Apr</v>
      </c>
      <c r="D340" s="5" t="str">
        <f>TEXT(Greenleaf[[#This Row],[Order Date]],"YYYY")</f>
        <v>2024</v>
      </c>
      <c r="E340" t="s">
        <v>2464</v>
      </c>
      <c r="F340" s="7" t="s">
        <v>1012</v>
      </c>
      <c r="G340" s="9">
        <v>6</v>
      </c>
      <c r="H340" s="11">
        <v>40</v>
      </c>
      <c r="I340" s="13">
        <v>13.49</v>
      </c>
      <c r="J340" t="s">
        <v>1090</v>
      </c>
      <c r="K340" t="s">
        <v>2498</v>
      </c>
      <c r="L340" s="7" t="s">
        <v>1414</v>
      </c>
      <c r="M340" s="7" t="s">
        <v>1426</v>
      </c>
      <c r="N340" s="14">
        <f>Greenleaf[[#This Row],[Unit Price]]*Greenleaf[[#This Row],[Quantity Sold]]</f>
        <v>240</v>
      </c>
      <c r="O340" s="13">
        <f>Greenleaf[[#This Row],[Unit Cost]]*Greenleaf[[#This Row],[Quantity Sold]]</f>
        <v>80.94</v>
      </c>
      <c r="P340" s="13">
        <f>Greenleaf[[#This Row],[ Unit  price per quantity]]-Greenleaf[[#This Row],[ Unit cost per quantity]]</f>
        <v>159.06</v>
      </c>
      <c r="Q340" s="14">
        <f>Greenleaf[[#This Row],[Quantity Sold]]*Greenleaf[[#This Row],[Unit Price]]</f>
        <v>240</v>
      </c>
    </row>
    <row r="341" spans="1:17" x14ac:dyDescent="0.25">
      <c r="A341" t="s">
        <v>1767</v>
      </c>
      <c r="B341" s="5">
        <v>45408</v>
      </c>
      <c r="C341" s="5" t="str">
        <f>TEXT(Greenleaf[[#This Row],[Order Date]],"MMM")</f>
        <v>Apr</v>
      </c>
      <c r="D341" s="5" t="str">
        <f>TEXT(Greenleaf[[#This Row],[Order Date]],"YYYY")</f>
        <v>2024</v>
      </c>
      <c r="E341" t="s">
        <v>2463</v>
      </c>
      <c r="F341" s="7" t="s">
        <v>1014</v>
      </c>
      <c r="G341" s="9">
        <v>8</v>
      </c>
      <c r="H341" s="11">
        <v>15</v>
      </c>
      <c r="I341" s="13">
        <v>3.88</v>
      </c>
      <c r="J341" t="s">
        <v>1041</v>
      </c>
      <c r="K341" t="s">
        <v>2538</v>
      </c>
      <c r="L341" s="7" t="s">
        <v>1416</v>
      </c>
      <c r="M341" s="7" t="s">
        <v>1427</v>
      </c>
      <c r="N341" s="14">
        <f>Greenleaf[[#This Row],[Unit Price]]*Greenleaf[[#This Row],[Quantity Sold]]</f>
        <v>120</v>
      </c>
      <c r="O341" s="13">
        <f>Greenleaf[[#This Row],[Unit Cost]]*Greenleaf[[#This Row],[Quantity Sold]]</f>
        <v>31.04</v>
      </c>
      <c r="P341" s="13">
        <f>Greenleaf[[#This Row],[ Unit  price per quantity]]-Greenleaf[[#This Row],[ Unit cost per quantity]]</f>
        <v>88.960000000000008</v>
      </c>
      <c r="Q341" s="14">
        <f>Greenleaf[[#This Row],[Quantity Sold]]*Greenleaf[[#This Row],[Unit Price]]</f>
        <v>120</v>
      </c>
    </row>
    <row r="342" spans="1:17" x14ac:dyDescent="0.25">
      <c r="A342" t="s">
        <v>1768</v>
      </c>
      <c r="B342" s="5">
        <v>45408</v>
      </c>
      <c r="C342" s="5" t="str">
        <f>TEXT(Greenleaf[[#This Row],[Order Date]],"MMM")</f>
        <v>Apr</v>
      </c>
      <c r="D342" s="5" t="str">
        <f>TEXT(Greenleaf[[#This Row],[Order Date]],"YYYY")</f>
        <v>2024</v>
      </c>
      <c r="E342" t="s">
        <v>2462</v>
      </c>
      <c r="F342" s="7" t="s">
        <v>1013</v>
      </c>
      <c r="G342" s="9">
        <v>3</v>
      </c>
      <c r="H342" s="11">
        <v>25</v>
      </c>
      <c r="I342" s="13">
        <v>6.73</v>
      </c>
      <c r="J342" t="s">
        <v>1043</v>
      </c>
      <c r="K342" t="s">
        <v>2474</v>
      </c>
      <c r="L342" s="7" t="s">
        <v>1414</v>
      </c>
      <c r="M342" s="7" t="s">
        <v>1418</v>
      </c>
      <c r="N342" s="14">
        <f>Greenleaf[[#This Row],[Unit Price]]*Greenleaf[[#This Row],[Quantity Sold]]</f>
        <v>75</v>
      </c>
      <c r="O342" s="13">
        <f>Greenleaf[[#This Row],[Unit Cost]]*Greenleaf[[#This Row],[Quantity Sold]]</f>
        <v>20.190000000000001</v>
      </c>
      <c r="P342" s="13">
        <f>Greenleaf[[#This Row],[ Unit  price per quantity]]-Greenleaf[[#This Row],[ Unit cost per quantity]]</f>
        <v>54.81</v>
      </c>
      <c r="Q342" s="14">
        <f>Greenleaf[[#This Row],[Quantity Sold]]*Greenleaf[[#This Row],[Unit Price]]</f>
        <v>75</v>
      </c>
    </row>
    <row r="343" spans="1:17" x14ac:dyDescent="0.25">
      <c r="A343" t="s">
        <v>1769</v>
      </c>
      <c r="B343" s="5">
        <v>45408</v>
      </c>
      <c r="C343" s="5" t="str">
        <f>TEXT(Greenleaf[[#This Row],[Order Date]],"MMM")</f>
        <v>Apr</v>
      </c>
      <c r="D343" s="5" t="str">
        <f>TEXT(Greenleaf[[#This Row],[Order Date]],"YYYY")</f>
        <v>2024</v>
      </c>
      <c r="E343" t="s">
        <v>2461</v>
      </c>
      <c r="F343" s="7" t="s">
        <v>1011</v>
      </c>
      <c r="G343" s="9">
        <v>3</v>
      </c>
      <c r="H343" s="11">
        <v>12</v>
      </c>
      <c r="I343" s="13">
        <v>4.47</v>
      </c>
      <c r="J343" t="s">
        <v>1177</v>
      </c>
      <c r="K343" t="s">
        <v>2494</v>
      </c>
      <c r="L343" s="7" t="s">
        <v>1416</v>
      </c>
      <c r="M343" s="7" t="s">
        <v>1426</v>
      </c>
      <c r="N343" s="14">
        <f>Greenleaf[[#This Row],[Unit Price]]*Greenleaf[[#This Row],[Quantity Sold]]</f>
        <v>36</v>
      </c>
      <c r="O343" s="13">
        <f>Greenleaf[[#This Row],[Unit Cost]]*Greenleaf[[#This Row],[Quantity Sold]]</f>
        <v>13.41</v>
      </c>
      <c r="P343" s="13">
        <f>Greenleaf[[#This Row],[ Unit  price per quantity]]-Greenleaf[[#This Row],[ Unit cost per quantity]]</f>
        <v>22.59</v>
      </c>
      <c r="Q343" s="14">
        <f>Greenleaf[[#This Row],[Quantity Sold]]*Greenleaf[[#This Row],[Unit Price]]</f>
        <v>36</v>
      </c>
    </row>
    <row r="344" spans="1:17" x14ac:dyDescent="0.25">
      <c r="A344" t="s">
        <v>1770</v>
      </c>
      <c r="B344" s="5">
        <v>45409</v>
      </c>
      <c r="C344" s="5" t="str">
        <f>TEXT(Greenleaf[[#This Row],[Order Date]],"MMM")</f>
        <v>Apr</v>
      </c>
      <c r="D344" s="5" t="str">
        <f>TEXT(Greenleaf[[#This Row],[Order Date]],"YYYY")</f>
        <v>2024</v>
      </c>
      <c r="E344" t="s">
        <v>2461</v>
      </c>
      <c r="F344" s="7" t="s">
        <v>1011</v>
      </c>
      <c r="G344" s="9">
        <v>6</v>
      </c>
      <c r="H344" s="11">
        <v>12</v>
      </c>
      <c r="I344" s="13">
        <v>3.76</v>
      </c>
      <c r="J344" t="s">
        <v>1087</v>
      </c>
      <c r="K344" t="s">
        <v>2521</v>
      </c>
      <c r="L344" s="7" t="s">
        <v>1417</v>
      </c>
      <c r="M344" s="7" t="s">
        <v>1423</v>
      </c>
      <c r="N344" s="14">
        <f>Greenleaf[[#This Row],[Unit Price]]*Greenleaf[[#This Row],[Quantity Sold]]</f>
        <v>72</v>
      </c>
      <c r="O344" s="13">
        <f>Greenleaf[[#This Row],[Unit Cost]]*Greenleaf[[#This Row],[Quantity Sold]]</f>
        <v>22.56</v>
      </c>
      <c r="P344" s="13">
        <f>Greenleaf[[#This Row],[ Unit  price per quantity]]-Greenleaf[[#This Row],[ Unit cost per quantity]]</f>
        <v>49.44</v>
      </c>
      <c r="Q344" s="14">
        <f>Greenleaf[[#This Row],[Quantity Sold]]*Greenleaf[[#This Row],[Unit Price]]</f>
        <v>72</v>
      </c>
    </row>
    <row r="345" spans="1:17" x14ac:dyDescent="0.25">
      <c r="A345" t="s">
        <v>1771</v>
      </c>
      <c r="B345" s="5">
        <v>45409</v>
      </c>
      <c r="C345" s="5" t="str">
        <f>TEXT(Greenleaf[[#This Row],[Order Date]],"MMM")</f>
        <v>Apr</v>
      </c>
      <c r="D345" s="5" t="str">
        <f>TEXT(Greenleaf[[#This Row],[Order Date]],"YYYY")</f>
        <v>2024</v>
      </c>
      <c r="E345" t="s">
        <v>2461</v>
      </c>
      <c r="F345" s="7" t="s">
        <v>1011</v>
      </c>
      <c r="G345" s="9">
        <v>10</v>
      </c>
      <c r="H345" s="11">
        <v>12</v>
      </c>
      <c r="I345" s="13">
        <v>4.42</v>
      </c>
      <c r="J345" t="s">
        <v>1132</v>
      </c>
      <c r="K345" t="s">
        <v>2507</v>
      </c>
      <c r="L345" s="7" t="s">
        <v>1414</v>
      </c>
      <c r="M345" s="7" t="s">
        <v>1419</v>
      </c>
      <c r="N345" s="14">
        <f>Greenleaf[[#This Row],[Unit Price]]*Greenleaf[[#This Row],[Quantity Sold]]</f>
        <v>120</v>
      </c>
      <c r="O345" s="13">
        <f>Greenleaf[[#This Row],[Unit Cost]]*Greenleaf[[#This Row],[Quantity Sold]]</f>
        <v>44.2</v>
      </c>
      <c r="P345" s="13">
        <f>Greenleaf[[#This Row],[ Unit  price per quantity]]-Greenleaf[[#This Row],[ Unit cost per quantity]]</f>
        <v>75.8</v>
      </c>
      <c r="Q345" s="14">
        <f>Greenleaf[[#This Row],[Quantity Sold]]*Greenleaf[[#This Row],[Unit Price]]</f>
        <v>120</v>
      </c>
    </row>
    <row r="346" spans="1:17" x14ac:dyDescent="0.25">
      <c r="A346" t="s">
        <v>1772</v>
      </c>
      <c r="B346" s="5">
        <v>45409</v>
      </c>
      <c r="C346" s="5" t="str">
        <f>TEXT(Greenleaf[[#This Row],[Order Date]],"MMM")</f>
        <v>Apr</v>
      </c>
      <c r="D346" s="5" t="str">
        <f>TEXT(Greenleaf[[#This Row],[Order Date]],"YYYY")</f>
        <v>2024</v>
      </c>
      <c r="E346" t="s">
        <v>2460</v>
      </c>
      <c r="F346" s="7" t="s">
        <v>1015</v>
      </c>
      <c r="G346" s="9">
        <v>7</v>
      </c>
      <c r="H346" s="11">
        <v>10</v>
      </c>
      <c r="I346" s="13">
        <v>2.29</v>
      </c>
      <c r="J346" t="s">
        <v>1191</v>
      </c>
      <c r="K346" t="s">
        <v>2574</v>
      </c>
      <c r="L346" s="7" t="s">
        <v>1416</v>
      </c>
      <c r="M346" s="7" t="s">
        <v>1420</v>
      </c>
      <c r="N346" s="14">
        <f>Greenleaf[[#This Row],[Unit Price]]*Greenleaf[[#This Row],[Quantity Sold]]</f>
        <v>70</v>
      </c>
      <c r="O346" s="13">
        <f>Greenleaf[[#This Row],[Unit Cost]]*Greenleaf[[#This Row],[Quantity Sold]]</f>
        <v>16.03</v>
      </c>
      <c r="P346" s="13">
        <f>Greenleaf[[#This Row],[ Unit  price per quantity]]-Greenleaf[[#This Row],[ Unit cost per quantity]]</f>
        <v>53.97</v>
      </c>
      <c r="Q346" s="14">
        <f>Greenleaf[[#This Row],[Quantity Sold]]*Greenleaf[[#This Row],[Unit Price]]</f>
        <v>70</v>
      </c>
    </row>
    <row r="347" spans="1:17" x14ac:dyDescent="0.25">
      <c r="A347" t="s">
        <v>1773</v>
      </c>
      <c r="B347" s="5">
        <v>45410</v>
      </c>
      <c r="C347" s="5" t="str">
        <f>TEXT(Greenleaf[[#This Row],[Order Date]],"MMM")</f>
        <v>Apr</v>
      </c>
      <c r="D347" s="5" t="str">
        <f>TEXT(Greenleaf[[#This Row],[Order Date]],"YYYY")</f>
        <v>2024</v>
      </c>
      <c r="E347" t="s">
        <v>2463</v>
      </c>
      <c r="F347" s="7" t="s">
        <v>1014</v>
      </c>
      <c r="G347" s="9">
        <v>6</v>
      </c>
      <c r="H347" s="11">
        <v>15</v>
      </c>
      <c r="I347" s="13">
        <v>5.4</v>
      </c>
      <c r="J347" t="s">
        <v>1118</v>
      </c>
      <c r="K347" t="s">
        <v>2541</v>
      </c>
      <c r="L347" s="7" t="s">
        <v>1414</v>
      </c>
      <c r="M347" s="7" t="s">
        <v>1425</v>
      </c>
      <c r="N347" s="14">
        <f>Greenleaf[[#This Row],[Unit Price]]*Greenleaf[[#This Row],[Quantity Sold]]</f>
        <v>90</v>
      </c>
      <c r="O347" s="13">
        <f>Greenleaf[[#This Row],[Unit Cost]]*Greenleaf[[#This Row],[Quantity Sold]]</f>
        <v>32.400000000000006</v>
      </c>
      <c r="P347" s="13">
        <f>Greenleaf[[#This Row],[ Unit  price per quantity]]-Greenleaf[[#This Row],[ Unit cost per quantity]]</f>
        <v>57.599999999999994</v>
      </c>
      <c r="Q347" s="14">
        <f>Greenleaf[[#This Row],[Quantity Sold]]*Greenleaf[[#This Row],[Unit Price]]</f>
        <v>90</v>
      </c>
    </row>
    <row r="348" spans="1:17" x14ac:dyDescent="0.25">
      <c r="A348" t="s">
        <v>1774</v>
      </c>
      <c r="B348" s="5">
        <v>45410</v>
      </c>
      <c r="C348" s="5" t="str">
        <f>TEXT(Greenleaf[[#This Row],[Order Date]],"MMM")</f>
        <v>Apr</v>
      </c>
      <c r="D348" s="5" t="str">
        <f>TEXT(Greenleaf[[#This Row],[Order Date]],"YYYY")</f>
        <v>2024</v>
      </c>
      <c r="E348" t="s">
        <v>2464</v>
      </c>
      <c r="F348" s="7" t="s">
        <v>1012</v>
      </c>
      <c r="G348" s="9">
        <v>7</v>
      </c>
      <c r="H348" s="11">
        <v>40</v>
      </c>
      <c r="I348" s="13">
        <v>9.5</v>
      </c>
      <c r="J348" t="s">
        <v>1144</v>
      </c>
      <c r="K348" t="s">
        <v>2534</v>
      </c>
      <c r="L348" s="7" t="s">
        <v>1415</v>
      </c>
      <c r="M348" s="7" t="s">
        <v>1419</v>
      </c>
      <c r="N348" s="14">
        <f>Greenleaf[[#This Row],[Unit Price]]*Greenleaf[[#This Row],[Quantity Sold]]</f>
        <v>280</v>
      </c>
      <c r="O348" s="13">
        <f>Greenleaf[[#This Row],[Unit Cost]]*Greenleaf[[#This Row],[Quantity Sold]]</f>
        <v>66.5</v>
      </c>
      <c r="P348" s="13">
        <f>Greenleaf[[#This Row],[ Unit  price per quantity]]-Greenleaf[[#This Row],[ Unit cost per quantity]]</f>
        <v>213.5</v>
      </c>
      <c r="Q348" s="14">
        <f>Greenleaf[[#This Row],[Quantity Sold]]*Greenleaf[[#This Row],[Unit Price]]</f>
        <v>280</v>
      </c>
    </row>
    <row r="349" spans="1:17" x14ac:dyDescent="0.25">
      <c r="A349" t="s">
        <v>1775</v>
      </c>
      <c r="B349" s="5">
        <v>45410</v>
      </c>
      <c r="C349" s="5" t="str">
        <f>TEXT(Greenleaf[[#This Row],[Order Date]],"MMM")</f>
        <v>Apr</v>
      </c>
      <c r="D349" s="5" t="str">
        <f>TEXT(Greenleaf[[#This Row],[Order Date]],"YYYY")</f>
        <v>2024</v>
      </c>
      <c r="E349" t="s">
        <v>2464</v>
      </c>
      <c r="F349" s="7" t="s">
        <v>1012</v>
      </c>
      <c r="G349" s="9">
        <v>7</v>
      </c>
      <c r="H349" s="11">
        <v>40</v>
      </c>
      <c r="I349" s="13">
        <v>13.33</v>
      </c>
      <c r="J349" t="s">
        <v>1133</v>
      </c>
      <c r="K349" t="s">
        <v>2488</v>
      </c>
      <c r="L349" s="7" t="s">
        <v>1416</v>
      </c>
      <c r="M349" s="7" t="s">
        <v>1425</v>
      </c>
      <c r="N349" s="14">
        <f>Greenleaf[[#This Row],[Unit Price]]*Greenleaf[[#This Row],[Quantity Sold]]</f>
        <v>280</v>
      </c>
      <c r="O349" s="13">
        <f>Greenleaf[[#This Row],[Unit Cost]]*Greenleaf[[#This Row],[Quantity Sold]]</f>
        <v>93.31</v>
      </c>
      <c r="P349" s="13">
        <f>Greenleaf[[#This Row],[ Unit  price per quantity]]-Greenleaf[[#This Row],[ Unit cost per quantity]]</f>
        <v>186.69</v>
      </c>
      <c r="Q349" s="14">
        <f>Greenleaf[[#This Row],[Quantity Sold]]*Greenleaf[[#This Row],[Unit Price]]</f>
        <v>280</v>
      </c>
    </row>
    <row r="350" spans="1:17" x14ac:dyDescent="0.25">
      <c r="A350" t="s">
        <v>1776</v>
      </c>
      <c r="B350" s="5">
        <v>45410</v>
      </c>
      <c r="C350" s="5" t="str">
        <f>TEXT(Greenleaf[[#This Row],[Order Date]],"MMM")</f>
        <v>Apr</v>
      </c>
      <c r="D350" s="5" t="str">
        <f>TEXT(Greenleaf[[#This Row],[Order Date]],"YYYY")</f>
        <v>2024</v>
      </c>
      <c r="E350" t="s">
        <v>2464</v>
      </c>
      <c r="F350" s="7" t="s">
        <v>1012</v>
      </c>
      <c r="G350" s="9">
        <v>9</v>
      </c>
      <c r="H350" s="11">
        <v>40</v>
      </c>
      <c r="I350" s="13">
        <v>15.98</v>
      </c>
      <c r="J350" t="s">
        <v>1101</v>
      </c>
      <c r="K350" t="s">
        <v>2559</v>
      </c>
      <c r="L350" s="7" t="s">
        <v>1417</v>
      </c>
      <c r="M350" s="7" t="s">
        <v>1421</v>
      </c>
      <c r="N350" s="14">
        <f>Greenleaf[[#This Row],[Unit Price]]*Greenleaf[[#This Row],[Quantity Sold]]</f>
        <v>360</v>
      </c>
      <c r="O350" s="13">
        <f>Greenleaf[[#This Row],[Unit Cost]]*Greenleaf[[#This Row],[Quantity Sold]]</f>
        <v>143.82</v>
      </c>
      <c r="P350" s="13">
        <f>Greenleaf[[#This Row],[ Unit  price per quantity]]-Greenleaf[[#This Row],[ Unit cost per quantity]]</f>
        <v>216.18</v>
      </c>
      <c r="Q350" s="14">
        <f>Greenleaf[[#This Row],[Quantity Sold]]*Greenleaf[[#This Row],[Unit Price]]</f>
        <v>360</v>
      </c>
    </row>
    <row r="351" spans="1:17" x14ac:dyDescent="0.25">
      <c r="A351" t="s">
        <v>1777</v>
      </c>
      <c r="B351" s="5">
        <v>45410</v>
      </c>
      <c r="C351" s="5" t="str">
        <f>TEXT(Greenleaf[[#This Row],[Order Date]],"MMM")</f>
        <v>Apr</v>
      </c>
      <c r="D351" s="5" t="str">
        <f>TEXT(Greenleaf[[#This Row],[Order Date]],"YYYY")</f>
        <v>2024</v>
      </c>
      <c r="E351" t="s">
        <v>2462</v>
      </c>
      <c r="F351" s="7" t="s">
        <v>1013</v>
      </c>
      <c r="G351" s="9">
        <v>3</v>
      </c>
      <c r="H351" s="11">
        <v>25</v>
      </c>
      <c r="I351" s="13">
        <v>8.76</v>
      </c>
      <c r="J351" t="s">
        <v>1176</v>
      </c>
      <c r="K351" t="s">
        <v>2513</v>
      </c>
      <c r="L351" s="7" t="s">
        <v>1416</v>
      </c>
      <c r="M351" s="7" t="s">
        <v>1422</v>
      </c>
      <c r="N351" s="14">
        <f>Greenleaf[[#This Row],[Unit Price]]*Greenleaf[[#This Row],[Quantity Sold]]</f>
        <v>75</v>
      </c>
      <c r="O351" s="13">
        <f>Greenleaf[[#This Row],[Unit Cost]]*Greenleaf[[#This Row],[Quantity Sold]]</f>
        <v>26.28</v>
      </c>
      <c r="P351" s="13">
        <f>Greenleaf[[#This Row],[ Unit  price per quantity]]-Greenleaf[[#This Row],[ Unit cost per quantity]]</f>
        <v>48.72</v>
      </c>
      <c r="Q351" s="14">
        <f>Greenleaf[[#This Row],[Quantity Sold]]*Greenleaf[[#This Row],[Unit Price]]</f>
        <v>75</v>
      </c>
    </row>
    <row r="352" spans="1:17" x14ac:dyDescent="0.25">
      <c r="A352" t="s">
        <v>1778</v>
      </c>
      <c r="B352" s="5">
        <v>45410</v>
      </c>
      <c r="C352" s="5" t="str">
        <f>TEXT(Greenleaf[[#This Row],[Order Date]],"MMM")</f>
        <v>Apr</v>
      </c>
      <c r="D352" s="5" t="str">
        <f>TEXT(Greenleaf[[#This Row],[Order Date]],"YYYY")</f>
        <v>2024</v>
      </c>
      <c r="E352" t="s">
        <v>2462</v>
      </c>
      <c r="F352" s="7" t="s">
        <v>1013</v>
      </c>
      <c r="G352" s="9">
        <v>2</v>
      </c>
      <c r="H352" s="11">
        <v>25</v>
      </c>
      <c r="I352" s="13">
        <v>7.85</v>
      </c>
      <c r="J352" t="s">
        <v>1183</v>
      </c>
      <c r="K352" t="s">
        <v>2501</v>
      </c>
      <c r="L352" s="7" t="s">
        <v>1414</v>
      </c>
      <c r="M352" s="7" t="s">
        <v>1424</v>
      </c>
      <c r="N352" s="14">
        <f>Greenleaf[[#This Row],[Unit Price]]*Greenleaf[[#This Row],[Quantity Sold]]</f>
        <v>50</v>
      </c>
      <c r="O352" s="13">
        <f>Greenleaf[[#This Row],[Unit Cost]]*Greenleaf[[#This Row],[Quantity Sold]]</f>
        <v>15.7</v>
      </c>
      <c r="P352" s="13">
        <f>Greenleaf[[#This Row],[ Unit  price per quantity]]-Greenleaf[[#This Row],[ Unit cost per quantity]]</f>
        <v>34.299999999999997</v>
      </c>
      <c r="Q352" s="14">
        <f>Greenleaf[[#This Row],[Quantity Sold]]*Greenleaf[[#This Row],[Unit Price]]</f>
        <v>50</v>
      </c>
    </row>
    <row r="353" spans="1:17" x14ac:dyDescent="0.25">
      <c r="A353" t="s">
        <v>1779</v>
      </c>
      <c r="B353" s="5">
        <v>45411</v>
      </c>
      <c r="C353" s="5" t="str">
        <f>TEXT(Greenleaf[[#This Row],[Order Date]],"MMM")</f>
        <v>Apr</v>
      </c>
      <c r="D353" s="5" t="str">
        <f>TEXT(Greenleaf[[#This Row],[Order Date]],"YYYY")</f>
        <v>2024</v>
      </c>
      <c r="E353" t="s">
        <v>2463</v>
      </c>
      <c r="F353" s="7" t="s">
        <v>1014</v>
      </c>
      <c r="G353" s="9">
        <v>10</v>
      </c>
      <c r="H353" s="11">
        <v>15</v>
      </c>
      <c r="I353" s="13">
        <v>3.96</v>
      </c>
      <c r="J353" t="s">
        <v>1027</v>
      </c>
      <c r="K353" t="s">
        <v>2561</v>
      </c>
      <c r="L353" s="7" t="s">
        <v>1414</v>
      </c>
      <c r="M353" s="7" t="s">
        <v>1420</v>
      </c>
      <c r="N353" s="14">
        <f>Greenleaf[[#This Row],[Unit Price]]*Greenleaf[[#This Row],[Quantity Sold]]</f>
        <v>150</v>
      </c>
      <c r="O353" s="13">
        <f>Greenleaf[[#This Row],[Unit Cost]]*Greenleaf[[#This Row],[Quantity Sold]]</f>
        <v>39.6</v>
      </c>
      <c r="P353" s="13">
        <f>Greenleaf[[#This Row],[ Unit  price per quantity]]-Greenleaf[[#This Row],[ Unit cost per quantity]]</f>
        <v>110.4</v>
      </c>
      <c r="Q353" s="14">
        <f>Greenleaf[[#This Row],[Quantity Sold]]*Greenleaf[[#This Row],[Unit Price]]</f>
        <v>150</v>
      </c>
    </row>
    <row r="354" spans="1:17" x14ac:dyDescent="0.25">
      <c r="A354" t="s">
        <v>1780</v>
      </c>
      <c r="B354" s="5">
        <v>45411</v>
      </c>
      <c r="C354" s="5" t="str">
        <f>TEXT(Greenleaf[[#This Row],[Order Date]],"MMM")</f>
        <v>Apr</v>
      </c>
      <c r="D354" s="5" t="str">
        <f>TEXT(Greenleaf[[#This Row],[Order Date]],"YYYY")</f>
        <v>2024</v>
      </c>
      <c r="E354" t="s">
        <v>2464</v>
      </c>
      <c r="F354" s="7" t="s">
        <v>1012</v>
      </c>
      <c r="G354" s="9">
        <v>3</v>
      </c>
      <c r="H354" s="11">
        <v>40</v>
      </c>
      <c r="I354" s="13">
        <v>12.56</v>
      </c>
      <c r="J354" t="s">
        <v>1123</v>
      </c>
      <c r="K354" t="s">
        <v>2501</v>
      </c>
      <c r="L354" s="7" t="s">
        <v>1414</v>
      </c>
      <c r="M354" s="7" t="s">
        <v>1425</v>
      </c>
      <c r="N354" s="14">
        <f>Greenleaf[[#This Row],[Unit Price]]*Greenleaf[[#This Row],[Quantity Sold]]</f>
        <v>120</v>
      </c>
      <c r="O354" s="13">
        <f>Greenleaf[[#This Row],[Unit Cost]]*Greenleaf[[#This Row],[Quantity Sold]]</f>
        <v>37.68</v>
      </c>
      <c r="P354" s="13">
        <f>Greenleaf[[#This Row],[ Unit  price per quantity]]-Greenleaf[[#This Row],[ Unit cost per quantity]]</f>
        <v>82.32</v>
      </c>
      <c r="Q354" s="14">
        <f>Greenleaf[[#This Row],[Quantity Sold]]*Greenleaf[[#This Row],[Unit Price]]</f>
        <v>120</v>
      </c>
    </row>
    <row r="355" spans="1:17" x14ac:dyDescent="0.25">
      <c r="A355" t="s">
        <v>1781</v>
      </c>
      <c r="B355" s="5">
        <v>45411</v>
      </c>
      <c r="C355" s="5" t="str">
        <f>TEXT(Greenleaf[[#This Row],[Order Date]],"MMM")</f>
        <v>Apr</v>
      </c>
      <c r="D355" s="5" t="str">
        <f>TEXT(Greenleaf[[#This Row],[Order Date]],"YYYY")</f>
        <v>2024</v>
      </c>
      <c r="E355" t="s">
        <v>2460</v>
      </c>
      <c r="F355" s="7" t="s">
        <v>1015</v>
      </c>
      <c r="G355" s="9">
        <v>5</v>
      </c>
      <c r="H355" s="11">
        <v>10</v>
      </c>
      <c r="I355" s="13">
        <v>2.34</v>
      </c>
      <c r="J355" t="s">
        <v>1136</v>
      </c>
      <c r="K355" t="s">
        <v>2522</v>
      </c>
      <c r="L355" s="7" t="s">
        <v>1414</v>
      </c>
      <c r="M355" s="7" t="s">
        <v>1423</v>
      </c>
      <c r="N355" s="14">
        <f>Greenleaf[[#This Row],[Unit Price]]*Greenleaf[[#This Row],[Quantity Sold]]</f>
        <v>50</v>
      </c>
      <c r="O355" s="13">
        <f>Greenleaf[[#This Row],[Unit Cost]]*Greenleaf[[#This Row],[Quantity Sold]]</f>
        <v>11.7</v>
      </c>
      <c r="P355" s="13">
        <f>Greenleaf[[#This Row],[ Unit  price per quantity]]-Greenleaf[[#This Row],[ Unit cost per quantity]]</f>
        <v>38.299999999999997</v>
      </c>
      <c r="Q355" s="14">
        <f>Greenleaf[[#This Row],[Quantity Sold]]*Greenleaf[[#This Row],[Unit Price]]</f>
        <v>50</v>
      </c>
    </row>
    <row r="356" spans="1:17" x14ac:dyDescent="0.25">
      <c r="A356" t="s">
        <v>1782</v>
      </c>
      <c r="B356" s="5">
        <v>45412</v>
      </c>
      <c r="C356" s="5" t="str">
        <f>TEXT(Greenleaf[[#This Row],[Order Date]],"MMM")</f>
        <v>Apr</v>
      </c>
      <c r="D356" s="5" t="str">
        <f>TEXT(Greenleaf[[#This Row],[Order Date]],"YYYY")</f>
        <v>2024</v>
      </c>
      <c r="E356" t="s">
        <v>2464</v>
      </c>
      <c r="F356" s="7" t="s">
        <v>1012</v>
      </c>
      <c r="G356" s="9">
        <v>5</v>
      </c>
      <c r="H356" s="11">
        <v>40</v>
      </c>
      <c r="I356" s="13">
        <v>15.01</v>
      </c>
      <c r="J356" t="s">
        <v>1123</v>
      </c>
      <c r="K356" t="s">
        <v>2501</v>
      </c>
      <c r="L356" s="7" t="s">
        <v>1415</v>
      </c>
      <c r="M356" s="7" t="s">
        <v>1427</v>
      </c>
      <c r="N356" s="14">
        <f>Greenleaf[[#This Row],[Unit Price]]*Greenleaf[[#This Row],[Quantity Sold]]</f>
        <v>200</v>
      </c>
      <c r="O356" s="13">
        <f>Greenleaf[[#This Row],[Unit Cost]]*Greenleaf[[#This Row],[Quantity Sold]]</f>
        <v>75.05</v>
      </c>
      <c r="P356" s="13">
        <f>Greenleaf[[#This Row],[ Unit  price per quantity]]-Greenleaf[[#This Row],[ Unit cost per quantity]]</f>
        <v>124.95</v>
      </c>
      <c r="Q356" s="14">
        <f>Greenleaf[[#This Row],[Quantity Sold]]*Greenleaf[[#This Row],[Unit Price]]</f>
        <v>200</v>
      </c>
    </row>
    <row r="357" spans="1:17" x14ac:dyDescent="0.25">
      <c r="A357" t="s">
        <v>1783</v>
      </c>
      <c r="B357" s="5">
        <v>45412</v>
      </c>
      <c r="C357" s="5" t="str">
        <f>TEXT(Greenleaf[[#This Row],[Order Date]],"MMM")</f>
        <v>Apr</v>
      </c>
      <c r="D357" s="5" t="str">
        <f>TEXT(Greenleaf[[#This Row],[Order Date]],"YYYY")</f>
        <v>2024</v>
      </c>
      <c r="E357" t="s">
        <v>2462</v>
      </c>
      <c r="F357" s="7" t="s">
        <v>1013</v>
      </c>
      <c r="G357" s="9">
        <v>3</v>
      </c>
      <c r="H357" s="11">
        <v>25</v>
      </c>
      <c r="I357" s="13">
        <v>5.86</v>
      </c>
      <c r="J357" t="s">
        <v>1121</v>
      </c>
      <c r="K357" t="s">
        <v>2509</v>
      </c>
      <c r="L357" s="7" t="s">
        <v>1414</v>
      </c>
      <c r="M357" s="7" t="s">
        <v>1422</v>
      </c>
      <c r="N357" s="14">
        <f>Greenleaf[[#This Row],[Unit Price]]*Greenleaf[[#This Row],[Quantity Sold]]</f>
        <v>75</v>
      </c>
      <c r="O357" s="13">
        <f>Greenleaf[[#This Row],[Unit Cost]]*Greenleaf[[#This Row],[Quantity Sold]]</f>
        <v>17.580000000000002</v>
      </c>
      <c r="P357" s="13">
        <f>Greenleaf[[#This Row],[ Unit  price per quantity]]-Greenleaf[[#This Row],[ Unit cost per quantity]]</f>
        <v>57.42</v>
      </c>
      <c r="Q357" s="14">
        <f>Greenleaf[[#This Row],[Quantity Sold]]*Greenleaf[[#This Row],[Unit Price]]</f>
        <v>75</v>
      </c>
    </row>
    <row r="358" spans="1:17" x14ac:dyDescent="0.25">
      <c r="A358" t="s">
        <v>1784</v>
      </c>
      <c r="B358" s="5">
        <v>45412</v>
      </c>
      <c r="C358" s="5" t="str">
        <f>TEXT(Greenleaf[[#This Row],[Order Date]],"MMM")</f>
        <v>Apr</v>
      </c>
      <c r="D358" s="5" t="str">
        <f>TEXT(Greenleaf[[#This Row],[Order Date]],"YYYY")</f>
        <v>2024</v>
      </c>
      <c r="E358" t="s">
        <v>2464</v>
      </c>
      <c r="F358" s="7" t="s">
        <v>1012</v>
      </c>
      <c r="G358" s="9">
        <v>10</v>
      </c>
      <c r="H358" s="11">
        <v>40</v>
      </c>
      <c r="I358" s="13">
        <v>12.59</v>
      </c>
      <c r="J358" t="s">
        <v>1026</v>
      </c>
      <c r="K358" t="s">
        <v>2486</v>
      </c>
      <c r="L358" s="7" t="s">
        <v>1414</v>
      </c>
      <c r="M358" s="7" t="s">
        <v>1419</v>
      </c>
      <c r="N358" s="14">
        <f>Greenleaf[[#This Row],[Unit Price]]*Greenleaf[[#This Row],[Quantity Sold]]</f>
        <v>400</v>
      </c>
      <c r="O358" s="13">
        <f>Greenleaf[[#This Row],[Unit Cost]]*Greenleaf[[#This Row],[Quantity Sold]]</f>
        <v>125.9</v>
      </c>
      <c r="P358" s="13">
        <f>Greenleaf[[#This Row],[ Unit  price per quantity]]-Greenleaf[[#This Row],[ Unit cost per quantity]]</f>
        <v>274.10000000000002</v>
      </c>
      <c r="Q358" s="14">
        <f>Greenleaf[[#This Row],[Quantity Sold]]*Greenleaf[[#This Row],[Unit Price]]</f>
        <v>400</v>
      </c>
    </row>
    <row r="359" spans="1:17" x14ac:dyDescent="0.25">
      <c r="A359" t="s">
        <v>1785</v>
      </c>
      <c r="B359" s="5">
        <v>45414</v>
      </c>
      <c r="C359" s="5" t="str">
        <f>TEXT(Greenleaf[[#This Row],[Order Date]],"MMM")</f>
        <v>May</v>
      </c>
      <c r="D359" s="5" t="str">
        <f>TEXT(Greenleaf[[#This Row],[Order Date]],"YYYY")</f>
        <v>2024</v>
      </c>
      <c r="E359" t="s">
        <v>2462</v>
      </c>
      <c r="F359" s="7" t="s">
        <v>1013</v>
      </c>
      <c r="G359" s="9">
        <v>2</v>
      </c>
      <c r="H359" s="11">
        <v>25</v>
      </c>
      <c r="I359" s="13">
        <v>8.5500000000000007</v>
      </c>
      <c r="J359" t="s">
        <v>1146</v>
      </c>
      <c r="K359" t="s">
        <v>2575</v>
      </c>
      <c r="L359" s="7" t="s">
        <v>1416</v>
      </c>
      <c r="M359" s="7" t="s">
        <v>1426</v>
      </c>
      <c r="N359" s="14">
        <f>Greenleaf[[#This Row],[Unit Price]]*Greenleaf[[#This Row],[Quantity Sold]]</f>
        <v>50</v>
      </c>
      <c r="O359" s="13">
        <f>Greenleaf[[#This Row],[Unit Cost]]*Greenleaf[[#This Row],[Quantity Sold]]</f>
        <v>17.100000000000001</v>
      </c>
      <c r="P359" s="13">
        <f>Greenleaf[[#This Row],[ Unit  price per quantity]]-Greenleaf[[#This Row],[ Unit cost per quantity]]</f>
        <v>32.9</v>
      </c>
      <c r="Q359" s="14">
        <f>Greenleaf[[#This Row],[Quantity Sold]]*Greenleaf[[#This Row],[Unit Price]]</f>
        <v>50</v>
      </c>
    </row>
    <row r="360" spans="1:17" x14ac:dyDescent="0.25">
      <c r="A360" t="s">
        <v>1786</v>
      </c>
      <c r="B360" s="5">
        <v>45414</v>
      </c>
      <c r="C360" s="5" t="str">
        <f>TEXT(Greenleaf[[#This Row],[Order Date]],"MMM")</f>
        <v>May</v>
      </c>
      <c r="D360" s="5" t="str">
        <f>TEXT(Greenleaf[[#This Row],[Order Date]],"YYYY")</f>
        <v>2024</v>
      </c>
      <c r="E360" t="s">
        <v>2461</v>
      </c>
      <c r="F360" s="7" t="s">
        <v>1011</v>
      </c>
      <c r="G360" s="9">
        <v>1</v>
      </c>
      <c r="H360" s="11">
        <v>12</v>
      </c>
      <c r="I360" s="13">
        <v>3</v>
      </c>
      <c r="J360" t="s">
        <v>1209</v>
      </c>
      <c r="K360" t="s">
        <v>2576</v>
      </c>
      <c r="L360" s="7" t="s">
        <v>1414</v>
      </c>
      <c r="M360" s="7" t="s">
        <v>1422</v>
      </c>
      <c r="N360" s="14">
        <f>Greenleaf[[#This Row],[Unit Price]]*Greenleaf[[#This Row],[Quantity Sold]]</f>
        <v>12</v>
      </c>
      <c r="O360" s="13">
        <f>Greenleaf[[#This Row],[Unit Cost]]*Greenleaf[[#This Row],[Quantity Sold]]</f>
        <v>3</v>
      </c>
      <c r="P360" s="13">
        <f>Greenleaf[[#This Row],[ Unit  price per quantity]]-Greenleaf[[#This Row],[ Unit cost per quantity]]</f>
        <v>9</v>
      </c>
      <c r="Q360" s="14">
        <f>Greenleaf[[#This Row],[Quantity Sold]]*Greenleaf[[#This Row],[Unit Price]]</f>
        <v>12</v>
      </c>
    </row>
    <row r="361" spans="1:17" x14ac:dyDescent="0.25">
      <c r="A361" t="s">
        <v>1787</v>
      </c>
      <c r="B361" s="5">
        <v>45414</v>
      </c>
      <c r="C361" s="5" t="str">
        <f>TEXT(Greenleaf[[#This Row],[Order Date]],"MMM")</f>
        <v>May</v>
      </c>
      <c r="D361" s="5" t="str">
        <f>TEXT(Greenleaf[[#This Row],[Order Date]],"YYYY")</f>
        <v>2024</v>
      </c>
      <c r="E361" t="s">
        <v>2460</v>
      </c>
      <c r="F361" s="7" t="s">
        <v>1015</v>
      </c>
      <c r="G361" s="9">
        <v>7</v>
      </c>
      <c r="H361" s="11">
        <v>10</v>
      </c>
      <c r="I361" s="13">
        <v>3.06</v>
      </c>
      <c r="J361" t="s">
        <v>1210</v>
      </c>
      <c r="K361" t="s">
        <v>2577</v>
      </c>
      <c r="L361" s="7" t="s">
        <v>1414</v>
      </c>
      <c r="M361" s="7" t="s">
        <v>1426</v>
      </c>
      <c r="N361" s="14">
        <f>Greenleaf[[#This Row],[Unit Price]]*Greenleaf[[#This Row],[Quantity Sold]]</f>
        <v>70</v>
      </c>
      <c r="O361" s="13">
        <f>Greenleaf[[#This Row],[Unit Cost]]*Greenleaf[[#This Row],[Quantity Sold]]</f>
        <v>21.42</v>
      </c>
      <c r="P361" s="13">
        <f>Greenleaf[[#This Row],[ Unit  price per quantity]]-Greenleaf[[#This Row],[ Unit cost per quantity]]</f>
        <v>48.58</v>
      </c>
      <c r="Q361" s="14">
        <f>Greenleaf[[#This Row],[Quantity Sold]]*Greenleaf[[#This Row],[Unit Price]]</f>
        <v>70</v>
      </c>
    </row>
    <row r="362" spans="1:17" x14ac:dyDescent="0.25">
      <c r="A362" t="s">
        <v>1788</v>
      </c>
      <c r="B362" s="5">
        <v>45414</v>
      </c>
      <c r="C362" s="5" t="str">
        <f>TEXT(Greenleaf[[#This Row],[Order Date]],"MMM")</f>
        <v>May</v>
      </c>
      <c r="D362" s="5" t="str">
        <f>TEXT(Greenleaf[[#This Row],[Order Date]],"YYYY")</f>
        <v>2024</v>
      </c>
      <c r="E362" t="s">
        <v>2464</v>
      </c>
      <c r="F362" s="7" t="s">
        <v>1012</v>
      </c>
      <c r="G362" s="9">
        <v>9</v>
      </c>
      <c r="H362" s="11">
        <v>40</v>
      </c>
      <c r="I362" s="13">
        <v>9.19</v>
      </c>
      <c r="J362" t="s">
        <v>1088</v>
      </c>
      <c r="K362" t="s">
        <v>2578</v>
      </c>
      <c r="L362" s="7" t="s">
        <v>1416</v>
      </c>
      <c r="M362" s="7" t="s">
        <v>1418</v>
      </c>
      <c r="N362" s="14">
        <f>Greenleaf[[#This Row],[Unit Price]]*Greenleaf[[#This Row],[Quantity Sold]]</f>
        <v>360</v>
      </c>
      <c r="O362" s="13">
        <f>Greenleaf[[#This Row],[Unit Cost]]*Greenleaf[[#This Row],[Quantity Sold]]</f>
        <v>82.71</v>
      </c>
      <c r="P362" s="13">
        <f>Greenleaf[[#This Row],[ Unit  price per quantity]]-Greenleaf[[#This Row],[ Unit cost per quantity]]</f>
        <v>277.29000000000002</v>
      </c>
      <c r="Q362" s="14">
        <f>Greenleaf[[#This Row],[Quantity Sold]]*Greenleaf[[#This Row],[Unit Price]]</f>
        <v>360</v>
      </c>
    </row>
    <row r="363" spans="1:17" x14ac:dyDescent="0.25">
      <c r="A363" t="s">
        <v>1789</v>
      </c>
      <c r="B363" s="5">
        <v>45415</v>
      </c>
      <c r="C363" s="5" t="str">
        <f>TEXT(Greenleaf[[#This Row],[Order Date]],"MMM")</f>
        <v>May</v>
      </c>
      <c r="D363" s="5" t="str">
        <f>TEXT(Greenleaf[[#This Row],[Order Date]],"YYYY")</f>
        <v>2024</v>
      </c>
      <c r="E363" t="s">
        <v>2464</v>
      </c>
      <c r="F363" s="7" t="s">
        <v>1012</v>
      </c>
      <c r="G363" s="9">
        <v>4</v>
      </c>
      <c r="H363" s="11">
        <v>40</v>
      </c>
      <c r="I363" s="13">
        <v>13.33</v>
      </c>
      <c r="J363" t="s">
        <v>1173</v>
      </c>
      <c r="K363" t="s">
        <v>2543</v>
      </c>
      <c r="L363" s="7" t="s">
        <v>1417</v>
      </c>
      <c r="M363" s="7" t="s">
        <v>1426</v>
      </c>
      <c r="N363" s="14">
        <f>Greenleaf[[#This Row],[Unit Price]]*Greenleaf[[#This Row],[Quantity Sold]]</f>
        <v>160</v>
      </c>
      <c r="O363" s="13">
        <f>Greenleaf[[#This Row],[Unit Cost]]*Greenleaf[[#This Row],[Quantity Sold]]</f>
        <v>53.32</v>
      </c>
      <c r="P363" s="13">
        <f>Greenleaf[[#This Row],[ Unit  price per quantity]]-Greenleaf[[#This Row],[ Unit cost per quantity]]</f>
        <v>106.68</v>
      </c>
      <c r="Q363" s="14">
        <f>Greenleaf[[#This Row],[Quantity Sold]]*Greenleaf[[#This Row],[Unit Price]]</f>
        <v>160</v>
      </c>
    </row>
    <row r="364" spans="1:17" x14ac:dyDescent="0.25">
      <c r="A364" t="s">
        <v>1790</v>
      </c>
      <c r="B364" s="5">
        <v>45415</v>
      </c>
      <c r="C364" s="5" t="str">
        <f>TEXT(Greenleaf[[#This Row],[Order Date]],"MMM")</f>
        <v>May</v>
      </c>
      <c r="D364" s="5" t="str">
        <f>TEXT(Greenleaf[[#This Row],[Order Date]],"YYYY")</f>
        <v>2024</v>
      </c>
      <c r="E364" t="s">
        <v>2464</v>
      </c>
      <c r="F364" s="7" t="s">
        <v>1012</v>
      </c>
      <c r="G364" s="9">
        <v>1</v>
      </c>
      <c r="H364" s="11">
        <v>40</v>
      </c>
      <c r="I364" s="13">
        <v>9.2200000000000006</v>
      </c>
      <c r="J364" t="s">
        <v>1081</v>
      </c>
      <c r="K364" t="s">
        <v>2541</v>
      </c>
      <c r="L364" s="7" t="s">
        <v>1414</v>
      </c>
      <c r="M364" s="7" t="s">
        <v>1419</v>
      </c>
      <c r="N364" s="14">
        <f>Greenleaf[[#This Row],[Unit Price]]*Greenleaf[[#This Row],[Quantity Sold]]</f>
        <v>40</v>
      </c>
      <c r="O364" s="13">
        <f>Greenleaf[[#This Row],[Unit Cost]]*Greenleaf[[#This Row],[Quantity Sold]]</f>
        <v>9.2200000000000006</v>
      </c>
      <c r="P364" s="13">
        <f>Greenleaf[[#This Row],[ Unit  price per quantity]]-Greenleaf[[#This Row],[ Unit cost per quantity]]</f>
        <v>30.78</v>
      </c>
      <c r="Q364" s="14">
        <f>Greenleaf[[#This Row],[Quantity Sold]]*Greenleaf[[#This Row],[Unit Price]]</f>
        <v>40</v>
      </c>
    </row>
    <row r="365" spans="1:17" x14ac:dyDescent="0.25">
      <c r="A365" t="s">
        <v>1791</v>
      </c>
      <c r="B365" s="5">
        <v>45415</v>
      </c>
      <c r="C365" s="5" t="str">
        <f>TEXT(Greenleaf[[#This Row],[Order Date]],"MMM")</f>
        <v>May</v>
      </c>
      <c r="D365" s="5" t="str">
        <f>TEXT(Greenleaf[[#This Row],[Order Date]],"YYYY")</f>
        <v>2024</v>
      </c>
      <c r="E365" t="s">
        <v>2462</v>
      </c>
      <c r="F365" s="7" t="s">
        <v>1013</v>
      </c>
      <c r="G365" s="9">
        <v>7</v>
      </c>
      <c r="H365" s="11">
        <v>25</v>
      </c>
      <c r="I365" s="13">
        <v>7.3</v>
      </c>
      <c r="J365" t="s">
        <v>1183</v>
      </c>
      <c r="K365" t="s">
        <v>2501</v>
      </c>
      <c r="L365" s="7" t="s">
        <v>1414</v>
      </c>
      <c r="M365" s="7" t="s">
        <v>1419</v>
      </c>
      <c r="N365" s="14">
        <f>Greenleaf[[#This Row],[Unit Price]]*Greenleaf[[#This Row],[Quantity Sold]]</f>
        <v>175</v>
      </c>
      <c r="O365" s="13">
        <f>Greenleaf[[#This Row],[Unit Cost]]*Greenleaf[[#This Row],[Quantity Sold]]</f>
        <v>51.1</v>
      </c>
      <c r="P365" s="13">
        <f>Greenleaf[[#This Row],[ Unit  price per quantity]]-Greenleaf[[#This Row],[ Unit cost per quantity]]</f>
        <v>123.9</v>
      </c>
      <c r="Q365" s="14">
        <f>Greenleaf[[#This Row],[Quantity Sold]]*Greenleaf[[#This Row],[Unit Price]]</f>
        <v>175</v>
      </c>
    </row>
    <row r="366" spans="1:17" x14ac:dyDescent="0.25">
      <c r="A366" t="s">
        <v>1792</v>
      </c>
      <c r="B366" s="5">
        <v>45415</v>
      </c>
      <c r="C366" s="5" t="str">
        <f>TEXT(Greenleaf[[#This Row],[Order Date]],"MMM")</f>
        <v>May</v>
      </c>
      <c r="D366" s="5" t="str">
        <f>TEXT(Greenleaf[[#This Row],[Order Date]],"YYYY")</f>
        <v>2024</v>
      </c>
      <c r="E366" t="s">
        <v>2463</v>
      </c>
      <c r="F366" s="7" t="s">
        <v>1014</v>
      </c>
      <c r="G366" s="9">
        <v>4</v>
      </c>
      <c r="H366" s="11">
        <v>15</v>
      </c>
      <c r="I366" s="13">
        <v>3.43</v>
      </c>
      <c r="J366" t="s">
        <v>1183</v>
      </c>
      <c r="K366" t="s">
        <v>2501</v>
      </c>
      <c r="L366" s="7" t="s">
        <v>1414</v>
      </c>
      <c r="M366" s="7" t="s">
        <v>1421</v>
      </c>
      <c r="N366" s="14">
        <f>Greenleaf[[#This Row],[Unit Price]]*Greenleaf[[#This Row],[Quantity Sold]]</f>
        <v>60</v>
      </c>
      <c r="O366" s="13">
        <f>Greenleaf[[#This Row],[Unit Cost]]*Greenleaf[[#This Row],[Quantity Sold]]</f>
        <v>13.72</v>
      </c>
      <c r="P366" s="13">
        <f>Greenleaf[[#This Row],[ Unit  price per quantity]]-Greenleaf[[#This Row],[ Unit cost per quantity]]</f>
        <v>46.28</v>
      </c>
      <c r="Q366" s="14">
        <f>Greenleaf[[#This Row],[Quantity Sold]]*Greenleaf[[#This Row],[Unit Price]]</f>
        <v>60</v>
      </c>
    </row>
    <row r="367" spans="1:17" x14ac:dyDescent="0.25">
      <c r="A367" t="s">
        <v>1793</v>
      </c>
      <c r="B367" s="5">
        <v>45415</v>
      </c>
      <c r="C367" s="5" t="str">
        <f>TEXT(Greenleaf[[#This Row],[Order Date]],"MMM")</f>
        <v>May</v>
      </c>
      <c r="D367" s="5" t="str">
        <f>TEXT(Greenleaf[[#This Row],[Order Date]],"YYYY")</f>
        <v>2024</v>
      </c>
      <c r="E367" t="s">
        <v>2461</v>
      </c>
      <c r="F367" s="7" t="s">
        <v>1011</v>
      </c>
      <c r="G367" s="9">
        <v>5</v>
      </c>
      <c r="H367" s="11">
        <v>12</v>
      </c>
      <c r="I367" s="13">
        <v>3.51</v>
      </c>
      <c r="J367" t="s">
        <v>1034</v>
      </c>
      <c r="K367" t="s">
        <v>2473</v>
      </c>
      <c r="L367" s="7" t="s">
        <v>1415</v>
      </c>
      <c r="M367" s="7" t="s">
        <v>1421</v>
      </c>
      <c r="N367" s="14">
        <f>Greenleaf[[#This Row],[Unit Price]]*Greenleaf[[#This Row],[Quantity Sold]]</f>
        <v>60</v>
      </c>
      <c r="O367" s="13">
        <f>Greenleaf[[#This Row],[Unit Cost]]*Greenleaf[[#This Row],[Quantity Sold]]</f>
        <v>17.549999999999997</v>
      </c>
      <c r="P367" s="13">
        <f>Greenleaf[[#This Row],[ Unit  price per quantity]]-Greenleaf[[#This Row],[ Unit cost per quantity]]</f>
        <v>42.45</v>
      </c>
      <c r="Q367" s="14">
        <f>Greenleaf[[#This Row],[Quantity Sold]]*Greenleaf[[#This Row],[Unit Price]]</f>
        <v>60</v>
      </c>
    </row>
    <row r="368" spans="1:17" x14ac:dyDescent="0.25">
      <c r="A368" t="s">
        <v>1794</v>
      </c>
      <c r="B368" s="5">
        <v>45415</v>
      </c>
      <c r="C368" s="5" t="str">
        <f>TEXT(Greenleaf[[#This Row],[Order Date]],"MMM")</f>
        <v>May</v>
      </c>
      <c r="D368" s="5" t="str">
        <f>TEXT(Greenleaf[[#This Row],[Order Date]],"YYYY")</f>
        <v>2024</v>
      </c>
      <c r="E368" t="s">
        <v>2463</v>
      </c>
      <c r="F368" s="7" t="s">
        <v>1014</v>
      </c>
      <c r="G368" s="9">
        <v>8</v>
      </c>
      <c r="H368" s="11">
        <v>15</v>
      </c>
      <c r="I368" s="13">
        <v>4.95</v>
      </c>
      <c r="J368" t="s">
        <v>1031</v>
      </c>
      <c r="K368" t="s">
        <v>2491</v>
      </c>
      <c r="L368" s="7" t="s">
        <v>1414</v>
      </c>
      <c r="M368" s="7" t="s">
        <v>1427</v>
      </c>
      <c r="N368" s="14">
        <f>Greenleaf[[#This Row],[Unit Price]]*Greenleaf[[#This Row],[Quantity Sold]]</f>
        <v>120</v>
      </c>
      <c r="O368" s="13">
        <f>Greenleaf[[#This Row],[Unit Cost]]*Greenleaf[[#This Row],[Quantity Sold]]</f>
        <v>39.6</v>
      </c>
      <c r="P368" s="13">
        <f>Greenleaf[[#This Row],[ Unit  price per quantity]]-Greenleaf[[#This Row],[ Unit cost per quantity]]</f>
        <v>80.400000000000006</v>
      </c>
      <c r="Q368" s="14">
        <f>Greenleaf[[#This Row],[Quantity Sold]]*Greenleaf[[#This Row],[Unit Price]]</f>
        <v>120</v>
      </c>
    </row>
    <row r="369" spans="1:17" x14ac:dyDescent="0.25">
      <c r="A369" t="s">
        <v>1795</v>
      </c>
      <c r="B369" s="5">
        <v>45416</v>
      </c>
      <c r="C369" s="5" t="str">
        <f>TEXT(Greenleaf[[#This Row],[Order Date]],"MMM")</f>
        <v>May</v>
      </c>
      <c r="D369" s="5" t="str">
        <f>TEXT(Greenleaf[[#This Row],[Order Date]],"YYYY")</f>
        <v>2024</v>
      </c>
      <c r="E369" t="s">
        <v>2463</v>
      </c>
      <c r="F369" s="7" t="s">
        <v>1014</v>
      </c>
      <c r="G369" s="9">
        <v>1</v>
      </c>
      <c r="H369" s="11">
        <v>15</v>
      </c>
      <c r="I369" s="13">
        <v>4</v>
      </c>
      <c r="J369" t="s">
        <v>1020</v>
      </c>
      <c r="K369" t="s">
        <v>2533</v>
      </c>
      <c r="L369" s="7" t="s">
        <v>1415</v>
      </c>
      <c r="M369" s="7" t="s">
        <v>1424</v>
      </c>
      <c r="N369" s="14">
        <f>Greenleaf[[#This Row],[Unit Price]]*Greenleaf[[#This Row],[Quantity Sold]]</f>
        <v>15</v>
      </c>
      <c r="O369" s="13">
        <f>Greenleaf[[#This Row],[Unit Cost]]*Greenleaf[[#This Row],[Quantity Sold]]</f>
        <v>4</v>
      </c>
      <c r="P369" s="13">
        <f>Greenleaf[[#This Row],[ Unit  price per quantity]]-Greenleaf[[#This Row],[ Unit cost per quantity]]</f>
        <v>11</v>
      </c>
      <c r="Q369" s="14">
        <f>Greenleaf[[#This Row],[Quantity Sold]]*Greenleaf[[#This Row],[Unit Price]]</f>
        <v>15</v>
      </c>
    </row>
    <row r="370" spans="1:17" x14ac:dyDescent="0.25">
      <c r="A370" t="s">
        <v>1796</v>
      </c>
      <c r="B370" s="5">
        <v>45416</v>
      </c>
      <c r="C370" s="5" t="str">
        <f>TEXT(Greenleaf[[#This Row],[Order Date]],"MMM")</f>
        <v>May</v>
      </c>
      <c r="D370" s="5" t="str">
        <f>TEXT(Greenleaf[[#This Row],[Order Date]],"YYYY")</f>
        <v>2024</v>
      </c>
      <c r="E370" t="s">
        <v>2462</v>
      </c>
      <c r="F370" s="7" t="s">
        <v>1013</v>
      </c>
      <c r="G370" s="9">
        <v>3</v>
      </c>
      <c r="H370" s="11">
        <v>25</v>
      </c>
      <c r="I370" s="13">
        <v>5.04</v>
      </c>
      <c r="J370" t="s">
        <v>1146</v>
      </c>
      <c r="K370" t="s">
        <v>2575</v>
      </c>
      <c r="L370" s="7" t="s">
        <v>1416</v>
      </c>
      <c r="M370" s="7" t="s">
        <v>1424</v>
      </c>
      <c r="N370" s="14">
        <f>Greenleaf[[#This Row],[Unit Price]]*Greenleaf[[#This Row],[Quantity Sold]]</f>
        <v>75</v>
      </c>
      <c r="O370" s="13">
        <f>Greenleaf[[#This Row],[Unit Cost]]*Greenleaf[[#This Row],[Quantity Sold]]</f>
        <v>15.120000000000001</v>
      </c>
      <c r="P370" s="13">
        <f>Greenleaf[[#This Row],[ Unit  price per quantity]]-Greenleaf[[#This Row],[ Unit cost per quantity]]</f>
        <v>59.879999999999995</v>
      </c>
      <c r="Q370" s="14">
        <f>Greenleaf[[#This Row],[Quantity Sold]]*Greenleaf[[#This Row],[Unit Price]]</f>
        <v>75</v>
      </c>
    </row>
    <row r="371" spans="1:17" x14ac:dyDescent="0.25">
      <c r="A371" t="s">
        <v>1797</v>
      </c>
      <c r="B371" s="5">
        <v>45416</v>
      </c>
      <c r="C371" s="5" t="str">
        <f>TEXT(Greenleaf[[#This Row],[Order Date]],"MMM")</f>
        <v>May</v>
      </c>
      <c r="D371" s="5" t="str">
        <f>TEXT(Greenleaf[[#This Row],[Order Date]],"YYYY")</f>
        <v>2024</v>
      </c>
      <c r="E371" t="s">
        <v>2461</v>
      </c>
      <c r="F371" s="7" t="s">
        <v>1011</v>
      </c>
      <c r="G371" s="9">
        <v>3</v>
      </c>
      <c r="H371" s="11">
        <v>12</v>
      </c>
      <c r="I371" s="13">
        <v>4.1399999999999997</v>
      </c>
      <c r="J371" t="s">
        <v>1038</v>
      </c>
      <c r="K371" t="s">
        <v>2572</v>
      </c>
      <c r="L371" s="7" t="s">
        <v>1416</v>
      </c>
      <c r="M371" s="7" t="s">
        <v>1425</v>
      </c>
      <c r="N371" s="14">
        <f>Greenleaf[[#This Row],[Unit Price]]*Greenleaf[[#This Row],[Quantity Sold]]</f>
        <v>36</v>
      </c>
      <c r="O371" s="13">
        <f>Greenleaf[[#This Row],[Unit Cost]]*Greenleaf[[#This Row],[Quantity Sold]]</f>
        <v>12.419999999999998</v>
      </c>
      <c r="P371" s="13">
        <f>Greenleaf[[#This Row],[ Unit  price per quantity]]-Greenleaf[[#This Row],[ Unit cost per quantity]]</f>
        <v>23.580000000000002</v>
      </c>
      <c r="Q371" s="14">
        <f>Greenleaf[[#This Row],[Quantity Sold]]*Greenleaf[[#This Row],[Unit Price]]</f>
        <v>36</v>
      </c>
    </row>
    <row r="372" spans="1:17" x14ac:dyDescent="0.25">
      <c r="A372" t="s">
        <v>1798</v>
      </c>
      <c r="B372" s="5">
        <v>45417</v>
      </c>
      <c r="C372" s="5" t="str">
        <f>TEXT(Greenleaf[[#This Row],[Order Date]],"MMM")</f>
        <v>May</v>
      </c>
      <c r="D372" s="5" t="str">
        <f>TEXT(Greenleaf[[#This Row],[Order Date]],"YYYY")</f>
        <v>2024</v>
      </c>
      <c r="E372" t="s">
        <v>2462</v>
      </c>
      <c r="F372" s="7" t="s">
        <v>1013</v>
      </c>
      <c r="G372" s="9">
        <v>2</v>
      </c>
      <c r="H372" s="11">
        <v>25</v>
      </c>
      <c r="I372" s="13">
        <v>9.6199999999999992</v>
      </c>
      <c r="J372" t="s">
        <v>1037</v>
      </c>
      <c r="K372" t="s">
        <v>2544</v>
      </c>
      <c r="L372" s="7" t="s">
        <v>1416</v>
      </c>
      <c r="M372" s="7" t="s">
        <v>1422</v>
      </c>
      <c r="N372" s="14">
        <f>Greenleaf[[#This Row],[Unit Price]]*Greenleaf[[#This Row],[Quantity Sold]]</f>
        <v>50</v>
      </c>
      <c r="O372" s="13">
        <f>Greenleaf[[#This Row],[Unit Cost]]*Greenleaf[[#This Row],[Quantity Sold]]</f>
        <v>19.239999999999998</v>
      </c>
      <c r="P372" s="13">
        <f>Greenleaf[[#This Row],[ Unit  price per quantity]]-Greenleaf[[#This Row],[ Unit cost per quantity]]</f>
        <v>30.76</v>
      </c>
      <c r="Q372" s="14">
        <f>Greenleaf[[#This Row],[Quantity Sold]]*Greenleaf[[#This Row],[Unit Price]]</f>
        <v>50</v>
      </c>
    </row>
    <row r="373" spans="1:17" x14ac:dyDescent="0.25">
      <c r="A373" t="s">
        <v>1799</v>
      </c>
      <c r="B373" s="5">
        <v>45417</v>
      </c>
      <c r="C373" s="5" t="str">
        <f>TEXT(Greenleaf[[#This Row],[Order Date]],"MMM")</f>
        <v>May</v>
      </c>
      <c r="D373" s="5" t="str">
        <f>TEXT(Greenleaf[[#This Row],[Order Date]],"YYYY")</f>
        <v>2024</v>
      </c>
      <c r="E373" t="s">
        <v>2464</v>
      </c>
      <c r="F373" s="7" t="s">
        <v>1012</v>
      </c>
      <c r="G373" s="9">
        <v>6</v>
      </c>
      <c r="H373" s="11">
        <v>40</v>
      </c>
      <c r="I373" s="13">
        <v>15.42</v>
      </c>
      <c r="J373" t="s">
        <v>1043</v>
      </c>
      <c r="K373" t="s">
        <v>2474</v>
      </c>
      <c r="L373" s="7" t="s">
        <v>1414</v>
      </c>
      <c r="M373" s="7" t="s">
        <v>1422</v>
      </c>
      <c r="N373" s="14">
        <f>Greenleaf[[#This Row],[Unit Price]]*Greenleaf[[#This Row],[Quantity Sold]]</f>
        <v>240</v>
      </c>
      <c r="O373" s="13">
        <f>Greenleaf[[#This Row],[Unit Cost]]*Greenleaf[[#This Row],[Quantity Sold]]</f>
        <v>92.52</v>
      </c>
      <c r="P373" s="13">
        <f>Greenleaf[[#This Row],[ Unit  price per quantity]]-Greenleaf[[#This Row],[ Unit cost per quantity]]</f>
        <v>147.48000000000002</v>
      </c>
      <c r="Q373" s="14">
        <f>Greenleaf[[#This Row],[Quantity Sold]]*Greenleaf[[#This Row],[Unit Price]]</f>
        <v>240</v>
      </c>
    </row>
    <row r="374" spans="1:17" x14ac:dyDescent="0.25">
      <c r="A374" t="s">
        <v>1800</v>
      </c>
      <c r="B374" s="5">
        <v>45417</v>
      </c>
      <c r="C374" s="5" t="str">
        <f>TEXT(Greenleaf[[#This Row],[Order Date]],"MMM")</f>
        <v>May</v>
      </c>
      <c r="D374" s="5" t="str">
        <f>TEXT(Greenleaf[[#This Row],[Order Date]],"YYYY")</f>
        <v>2024</v>
      </c>
      <c r="E374" t="s">
        <v>2460</v>
      </c>
      <c r="F374" s="7" t="s">
        <v>1015</v>
      </c>
      <c r="G374" s="9">
        <v>9</v>
      </c>
      <c r="H374" s="11">
        <v>10</v>
      </c>
      <c r="I374" s="13">
        <v>3.13</v>
      </c>
      <c r="J374" t="s">
        <v>1121</v>
      </c>
      <c r="K374" t="s">
        <v>2509</v>
      </c>
      <c r="L374" s="7" t="s">
        <v>1414</v>
      </c>
      <c r="M374" s="7" t="s">
        <v>1419</v>
      </c>
      <c r="N374" s="14">
        <f>Greenleaf[[#This Row],[Unit Price]]*Greenleaf[[#This Row],[Quantity Sold]]</f>
        <v>90</v>
      </c>
      <c r="O374" s="13">
        <f>Greenleaf[[#This Row],[Unit Cost]]*Greenleaf[[#This Row],[Quantity Sold]]</f>
        <v>28.169999999999998</v>
      </c>
      <c r="P374" s="13">
        <f>Greenleaf[[#This Row],[ Unit  price per quantity]]-Greenleaf[[#This Row],[ Unit cost per quantity]]</f>
        <v>61.83</v>
      </c>
      <c r="Q374" s="14">
        <f>Greenleaf[[#This Row],[Quantity Sold]]*Greenleaf[[#This Row],[Unit Price]]</f>
        <v>90</v>
      </c>
    </row>
    <row r="375" spans="1:17" x14ac:dyDescent="0.25">
      <c r="A375" t="s">
        <v>1801</v>
      </c>
      <c r="B375" s="5">
        <v>45417</v>
      </c>
      <c r="C375" s="5" t="str">
        <f>TEXT(Greenleaf[[#This Row],[Order Date]],"MMM")</f>
        <v>May</v>
      </c>
      <c r="D375" s="5" t="str">
        <f>TEXT(Greenleaf[[#This Row],[Order Date]],"YYYY")</f>
        <v>2024</v>
      </c>
      <c r="E375" t="s">
        <v>2463</v>
      </c>
      <c r="F375" s="7" t="s">
        <v>1014</v>
      </c>
      <c r="G375" s="9">
        <v>10</v>
      </c>
      <c r="H375" s="11">
        <v>15</v>
      </c>
      <c r="I375" s="13">
        <v>4.9800000000000004</v>
      </c>
      <c r="J375" t="s">
        <v>1034</v>
      </c>
      <c r="K375" t="s">
        <v>2473</v>
      </c>
      <c r="L375" s="7" t="s">
        <v>1414</v>
      </c>
      <c r="M375" s="7" t="s">
        <v>1419</v>
      </c>
      <c r="N375" s="14">
        <f>Greenleaf[[#This Row],[Unit Price]]*Greenleaf[[#This Row],[Quantity Sold]]</f>
        <v>150</v>
      </c>
      <c r="O375" s="13">
        <f>Greenleaf[[#This Row],[Unit Cost]]*Greenleaf[[#This Row],[Quantity Sold]]</f>
        <v>49.800000000000004</v>
      </c>
      <c r="P375" s="13">
        <f>Greenleaf[[#This Row],[ Unit  price per quantity]]-Greenleaf[[#This Row],[ Unit cost per quantity]]</f>
        <v>100.19999999999999</v>
      </c>
      <c r="Q375" s="14">
        <f>Greenleaf[[#This Row],[Quantity Sold]]*Greenleaf[[#This Row],[Unit Price]]</f>
        <v>150</v>
      </c>
    </row>
    <row r="376" spans="1:17" x14ac:dyDescent="0.25">
      <c r="A376" t="s">
        <v>1802</v>
      </c>
      <c r="B376" s="5">
        <v>45418</v>
      </c>
      <c r="C376" s="5" t="str">
        <f>TEXT(Greenleaf[[#This Row],[Order Date]],"MMM")</f>
        <v>May</v>
      </c>
      <c r="D376" s="5" t="str">
        <f>TEXT(Greenleaf[[#This Row],[Order Date]],"YYYY")</f>
        <v>2024</v>
      </c>
      <c r="E376" t="s">
        <v>2462</v>
      </c>
      <c r="F376" s="7" t="s">
        <v>1013</v>
      </c>
      <c r="G376" s="9">
        <v>2</v>
      </c>
      <c r="H376" s="11">
        <v>25</v>
      </c>
      <c r="I376" s="13">
        <v>9.25</v>
      </c>
      <c r="J376" t="s">
        <v>1043</v>
      </c>
      <c r="K376" t="s">
        <v>2474</v>
      </c>
      <c r="L376" s="7" t="s">
        <v>1415</v>
      </c>
      <c r="M376" s="7" t="s">
        <v>1420</v>
      </c>
      <c r="N376" s="14">
        <f>Greenleaf[[#This Row],[Unit Price]]*Greenleaf[[#This Row],[Quantity Sold]]</f>
        <v>50</v>
      </c>
      <c r="O376" s="13">
        <f>Greenleaf[[#This Row],[Unit Cost]]*Greenleaf[[#This Row],[Quantity Sold]]</f>
        <v>18.5</v>
      </c>
      <c r="P376" s="13">
        <f>Greenleaf[[#This Row],[ Unit  price per quantity]]-Greenleaf[[#This Row],[ Unit cost per quantity]]</f>
        <v>31.5</v>
      </c>
      <c r="Q376" s="14">
        <f>Greenleaf[[#This Row],[Quantity Sold]]*Greenleaf[[#This Row],[Unit Price]]</f>
        <v>50</v>
      </c>
    </row>
    <row r="377" spans="1:17" x14ac:dyDescent="0.25">
      <c r="A377" t="s">
        <v>1803</v>
      </c>
      <c r="B377" s="5">
        <v>45419</v>
      </c>
      <c r="C377" s="5" t="str">
        <f>TEXT(Greenleaf[[#This Row],[Order Date]],"MMM")</f>
        <v>May</v>
      </c>
      <c r="D377" s="5" t="str">
        <f>TEXT(Greenleaf[[#This Row],[Order Date]],"YYYY")</f>
        <v>2024</v>
      </c>
      <c r="E377" t="s">
        <v>2461</v>
      </c>
      <c r="F377" s="7" t="s">
        <v>1011</v>
      </c>
      <c r="G377" s="9">
        <v>4</v>
      </c>
      <c r="H377" s="11">
        <v>12</v>
      </c>
      <c r="I377" s="13">
        <v>4.3600000000000003</v>
      </c>
      <c r="J377" t="s">
        <v>1017</v>
      </c>
      <c r="K377" t="s">
        <v>2512</v>
      </c>
      <c r="L377" s="7" t="s">
        <v>1415</v>
      </c>
      <c r="M377" s="7" t="s">
        <v>1419</v>
      </c>
      <c r="N377" s="14">
        <f>Greenleaf[[#This Row],[Unit Price]]*Greenleaf[[#This Row],[Quantity Sold]]</f>
        <v>48</v>
      </c>
      <c r="O377" s="13">
        <f>Greenleaf[[#This Row],[Unit Cost]]*Greenleaf[[#This Row],[Quantity Sold]]</f>
        <v>17.440000000000001</v>
      </c>
      <c r="P377" s="13">
        <f>Greenleaf[[#This Row],[ Unit  price per quantity]]-Greenleaf[[#This Row],[ Unit cost per quantity]]</f>
        <v>30.56</v>
      </c>
      <c r="Q377" s="14">
        <f>Greenleaf[[#This Row],[Quantity Sold]]*Greenleaf[[#This Row],[Unit Price]]</f>
        <v>48</v>
      </c>
    </row>
    <row r="378" spans="1:17" x14ac:dyDescent="0.25">
      <c r="A378" t="s">
        <v>1804</v>
      </c>
      <c r="B378" s="5">
        <v>45419</v>
      </c>
      <c r="C378" s="5" t="str">
        <f>TEXT(Greenleaf[[#This Row],[Order Date]],"MMM")</f>
        <v>May</v>
      </c>
      <c r="D378" s="5" t="str">
        <f>TEXT(Greenleaf[[#This Row],[Order Date]],"YYYY")</f>
        <v>2024</v>
      </c>
      <c r="E378" t="s">
        <v>2462</v>
      </c>
      <c r="F378" s="7" t="s">
        <v>1013</v>
      </c>
      <c r="G378" s="9">
        <v>7</v>
      </c>
      <c r="H378" s="11">
        <v>25</v>
      </c>
      <c r="I378" s="13">
        <v>5.6</v>
      </c>
      <c r="J378" t="s">
        <v>1065</v>
      </c>
      <c r="K378" t="s">
        <v>2579</v>
      </c>
      <c r="L378" s="7" t="s">
        <v>1416</v>
      </c>
      <c r="M378" s="7" t="s">
        <v>1420</v>
      </c>
      <c r="N378" s="14">
        <f>Greenleaf[[#This Row],[Unit Price]]*Greenleaf[[#This Row],[Quantity Sold]]</f>
        <v>175</v>
      </c>
      <c r="O378" s="13">
        <f>Greenleaf[[#This Row],[Unit Cost]]*Greenleaf[[#This Row],[Quantity Sold]]</f>
        <v>39.199999999999996</v>
      </c>
      <c r="P378" s="13">
        <f>Greenleaf[[#This Row],[ Unit  price per quantity]]-Greenleaf[[#This Row],[ Unit cost per quantity]]</f>
        <v>135.80000000000001</v>
      </c>
      <c r="Q378" s="14">
        <f>Greenleaf[[#This Row],[Quantity Sold]]*Greenleaf[[#This Row],[Unit Price]]</f>
        <v>175</v>
      </c>
    </row>
    <row r="379" spans="1:17" x14ac:dyDescent="0.25">
      <c r="A379" t="s">
        <v>1805</v>
      </c>
      <c r="B379" s="5">
        <v>45419</v>
      </c>
      <c r="C379" s="5" t="str">
        <f>TEXT(Greenleaf[[#This Row],[Order Date]],"MMM")</f>
        <v>May</v>
      </c>
      <c r="D379" s="5" t="str">
        <f>TEXT(Greenleaf[[#This Row],[Order Date]],"YYYY")</f>
        <v>2024</v>
      </c>
      <c r="E379" t="s">
        <v>2464</v>
      </c>
      <c r="F379" s="7" t="s">
        <v>1012</v>
      </c>
      <c r="G379" s="9">
        <v>5</v>
      </c>
      <c r="H379" s="11">
        <v>40</v>
      </c>
      <c r="I379" s="13">
        <v>13.32</v>
      </c>
      <c r="J379" t="s">
        <v>1125</v>
      </c>
      <c r="K379" t="s">
        <v>2532</v>
      </c>
      <c r="L379" s="7" t="s">
        <v>1414</v>
      </c>
      <c r="M379" s="7" t="s">
        <v>1421</v>
      </c>
      <c r="N379" s="14">
        <f>Greenleaf[[#This Row],[Unit Price]]*Greenleaf[[#This Row],[Quantity Sold]]</f>
        <v>200</v>
      </c>
      <c r="O379" s="13">
        <f>Greenleaf[[#This Row],[Unit Cost]]*Greenleaf[[#This Row],[Quantity Sold]]</f>
        <v>66.599999999999994</v>
      </c>
      <c r="P379" s="13">
        <f>Greenleaf[[#This Row],[ Unit  price per quantity]]-Greenleaf[[#This Row],[ Unit cost per quantity]]</f>
        <v>133.4</v>
      </c>
      <c r="Q379" s="14">
        <f>Greenleaf[[#This Row],[Quantity Sold]]*Greenleaf[[#This Row],[Unit Price]]</f>
        <v>200</v>
      </c>
    </row>
    <row r="380" spans="1:17" x14ac:dyDescent="0.25">
      <c r="A380" t="s">
        <v>1806</v>
      </c>
      <c r="B380" s="5">
        <v>45419</v>
      </c>
      <c r="C380" s="5" t="str">
        <f>TEXT(Greenleaf[[#This Row],[Order Date]],"MMM")</f>
        <v>May</v>
      </c>
      <c r="D380" s="5" t="str">
        <f>TEXT(Greenleaf[[#This Row],[Order Date]],"YYYY")</f>
        <v>2024</v>
      </c>
      <c r="E380" t="s">
        <v>2461</v>
      </c>
      <c r="F380" s="7" t="s">
        <v>1011</v>
      </c>
      <c r="G380" s="9">
        <v>7</v>
      </c>
      <c r="H380" s="11">
        <v>12</v>
      </c>
      <c r="I380" s="13">
        <v>3.05</v>
      </c>
      <c r="J380" t="s">
        <v>1078</v>
      </c>
      <c r="K380" t="s">
        <v>2539</v>
      </c>
      <c r="L380" s="7" t="s">
        <v>1414</v>
      </c>
      <c r="M380" s="7" t="s">
        <v>1423</v>
      </c>
      <c r="N380" s="14">
        <f>Greenleaf[[#This Row],[Unit Price]]*Greenleaf[[#This Row],[Quantity Sold]]</f>
        <v>84</v>
      </c>
      <c r="O380" s="13">
        <f>Greenleaf[[#This Row],[Unit Cost]]*Greenleaf[[#This Row],[Quantity Sold]]</f>
        <v>21.349999999999998</v>
      </c>
      <c r="P380" s="13">
        <f>Greenleaf[[#This Row],[ Unit  price per quantity]]-Greenleaf[[#This Row],[ Unit cost per quantity]]</f>
        <v>62.650000000000006</v>
      </c>
      <c r="Q380" s="14">
        <f>Greenleaf[[#This Row],[Quantity Sold]]*Greenleaf[[#This Row],[Unit Price]]</f>
        <v>84</v>
      </c>
    </row>
    <row r="381" spans="1:17" x14ac:dyDescent="0.25">
      <c r="A381" t="s">
        <v>1807</v>
      </c>
      <c r="B381" s="5">
        <v>45420</v>
      </c>
      <c r="C381" s="5" t="str">
        <f>TEXT(Greenleaf[[#This Row],[Order Date]],"MMM")</f>
        <v>May</v>
      </c>
      <c r="D381" s="5" t="str">
        <f>TEXT(Greenleaf[[#This Row],[Order Date]],"YYYY")</f>
        <v>2024</v>
      </c>
      <c r="E381" t="s">
        <v>2461</v>
      </c>
      <c r="F381" s="7" t="s">
        <v>1011</v>
      </c>
      <c r="G381" s="9">
        <v>8</v>
      </c>
      <c r="H381" s="11">
        <v>12</v>
      </c>
      <c r="I381" s="13">
        <v>4.37</v>
      </c>
      <c r="J381" t="s">
        <v>1041</v>
      </c>
      <c r="K381" t="s">
        <v>2538</v>
      </c>
      <c r="L381" s="7" t="s">
        <v>1414</v>
      </c>
      <c r="M381" s="7" t="s">
        <v>1418</v>
      </c>
      <c r="N381" s="14">
        <f>Greenleaf[[#This Row],[Unit Price]]*Greenleaf[[#This Row],[Quantity Sold]]</f>
        <v>96</v>
      </c>
      <c r="O381" s="13">
        <f>Greenleaf[[#This Row],[Unit Cost]]*Greenleaf[[#This Row],[Quantity Sold]]</f>
        <v>34.96</v>
      </c>
      <c r="P381" s="13">
        <f>Greenleaf[[#This Row],[ Unit  price per quantity]]-Greenleaf[[#This Row],[ Unit cost per quantity]]</f>
        <v>61.04</v>
      </c>
      <c r="Q381" s="14">
        <f>Greenleaf[[#This Row],[Quantity Sold]]*Greenleaf[[#This Row],[Unit Price]]</f>
        <v>96</v>
      </c>
    </row>
    <row r="382" spans="1:17" x14ac:dyDescent="0.25">
      <c r="A382" t="s">
        <v>1808</v>
      </c>
      <c r="B382" s="5">
        <v>45420</v>
      </c>
      <c r="C382" s="5" t="str">
        <f>TEXT(Greenleaf[[#This Row],[Order Date]],"MMM")</f>
        <v>May</v>
      </c>
      <c r="D382" s="5" t="str">
        <f>TEXT(Greenleaf[[#This Row],[Order Date]],"YYYY")</f>
        <v>2024</v>
      </c>
      <c r="E382" t="s">
        <v>2464</v>
      </c>
      <c r="F382" s="7" t="s">
        <v>1012</v>
      </c>
      <c r="G382" s="9">
        <v>2</v>
      </c>
      <c r="H382" s="11">
        <v>40</v>
      </c>
      <c r="I382" s="13">
        <v>13.53</v>
      </c>
      <c r="J382" t="s">
        <v>1126</v>
      </c>
      <c r="K382" t="s">
        <v>2499</v>
      </c>
      <c r="L382" s="7" t="s">
        <v>1414</v>
      </c>
      <c r="M382" s="7" t="s">
        <v>1421</v>
      </c>
      <c r="N382" s="14">
        <f>Greenleaf[[#This Row],[Unit Price]]*Greenleaf[[#This Row],[Quantity Sold]]</f>
        <v>80</v>
      </c>
      <c r="O382" s="13">
        <f>Greenleaf[[#This Row],[Unit Cost]]*Greenleaf[[#This Row],[Quantity Sold]]</f>
        <v>27.06</v>
      </c>
      <c r="P382" s="13">
        <f>Greenleaf[[#This Row],[ Unit  price per quantity]]-Greenleaf[[#This Row],[ Unit cost per quantity]]</f>
        <v>52.94</v>
      </c>
      <c r="Q382" s="14">
        <f>Greenleaf[[#This Row],[Quantity Sold]]*Greenleaf[[#This Row],[Unit Price]]</f>
        <v>80</v>
      </c>
    </row>
    <row r="383" spans="1:17" x14ac:dyDescent="0.25">
      <c r="A383" t="s">
        <v>1809</v>
      </c>
      <c r="B383" s="5">
        <v>45421</v>
      </c>
      <c r="C383" s="5" t="str">
        <f>TEXT(Greenleaf[[#This Row],[Order Date]],"MMM")</f>
        <v>May</v>
      </c>
      <c r="D383" s="5" t="str">
        <f>TEXT(Greenleaf[[#This Row],[Order Date]],"YYYY")</f>
        <v>2024</v>
      </c>
      <c r="E383" t="s">
        <v>2464</v>
      </c>
      <c r="F383" s="7" t="s">
        <v>1012</v>
      </c>
      <c r="G383" s="9">
        <v>6</v>
      </c>
      <c r="H383" s="11">
        <v>40</v>
      </c>
      <c r="I383" s="13">
        <v>13.84</v>
      </c>
      <c r="J383" t="s">
        <v>1024</v>
      </c>
      <c r="K383" t="s">
        <v>2518</v>
      </c>
      <c r="L383" s="7" t="s">
        <v>1414</v>
      </c>
      <c r="M383" s="7" t="s">
        <v>1426</v>
      </c>
      <c r="N383" s="14">
        <f>Greenleaf[[#This Row],[Unit Price]]*Greenleaf[[#This Row],[Quantity Sold]]</f>
        <v>240</v>
      </c>
      <c r="O383" s="13">
        <f>Greenleaf[[#This Row],[Unit Cost]]*Greenleaf[[#This Row],[Quantity Sold]]</f>
        <v>83.039999999999992</v>
      </c>
      <c r="P383" s="13">
        <f>Greenleaf[[#This Row],[ Unit  price per quantity]]-Greenleaf[[#This Row],[ Unit cost per quantity]]</f>
        <v>156.96</v>
      </c>
      <c r="Q383" s="14">
        <f>Greenleaf[[#This Row],[Quantity Sold]]*Greenleaf[[#This Row],[Unit Price]]</f>
        <v>240</v>
      </c>
    </row>
    <row r="384" spans="1:17" x14ac:dyDescent="0.25">
      <c r="A384" t="s">
        <v>1810</v>
      </c>
      <c r="B384" s="5">
        <v>45421</v>
      </c>
      <c r="C384" s="5" t="str">
        <f>TEXT(Greenleaf[[#This Row],[Order Date]],"MMM")</f>
        <v>May</v>
      </c>
      <c r="D384" s="5" t="str">
        <f>TEXT(Greenleaf[[#This Row],[Order Date]],"YYYY")</f>
        <v>2024</v>
      </c>
      <c r="E384" t="s">
        <v>2460</v>
      </c>
      <c r="F384" s="7" t="s">
        <v>1015</v>
      </c>
      <c r="G384" s="9">
        <v>8</v>
      </c>
      <c r="H384" s="11">
        <v>10</v>
      </c>
      <c r="I384" s="13">
        <v>2.94</v>
      </c>
      <c r="J384" t="s">
        <v>1078</v>
      </c>
      <c r="K384" t="s">
        <v>2539</v>
      </c>
      <c r="L384" s="7" t="s">
        <v>1414</v>
      </c>
      <c r="M384" s="7" t="s">
        <v>1425</v>
      </c>
      <c r="N384" s="14">
        <f>Greenleaf[[#This Row],[Unit Price]]*Greenleaf[[#This Row],[Quantity Sold]]</f>
        <v>80</v>
      </c>
      <c r="O384" s="13">
        <f>Greenleaf[[#This Row],[Unit Cost]]*Greenleaf[[#This Row],[Quantity Sold]]</f>
        <v>23.52</v>
      </c>
      <c r="P384" s="13">
        <f>Greenleaf[[#This Row],[ Unit  price per quantity]]-Greenleaf[[#This Row],[ Unit cost per quantity]]</f>
        <v>56.480000000000004</v>
      </c>
      <c r="Q384" s="14">
        <f>Greenleaf[[#This Row],[Quantity Sold]]*Greenleaf[[#This Row],[Unit Price]]</f>
        <v>80</v>
      </c>
    </row>
    <row r="385" spans="1:17" x14ac:dyDescent="0.25">
      <c r="A385" t="s">
        <v>1811</v>
      </c>
      <c r="B385" s="5">
        <v>45421</v>
      </c>
      <c r="C385" s="5" t="str">
        <f>TEXT(Greenleaf[[#This Row],[Order Date]],"MMM")</f>
        <v>May</v>
      </c>
      <c r="D385" s="5" t="str">
        <f>TEXT(Greenleaf[[#This Row],[Order Date]],"YYYY")</f>
        <v>2024</v>
      </c>
      <c r="E385" t="s">
        <v>2460</v>
      </c>
      <c r="F385" s="7" t="s">
        <v>1015</v>
      </c>
      <c r="G385" s="9">
        <v>9</v>
      </c>
      <c r="H385" s="11">
        <v>10</v>
      </c>
      <c r="I385" s="13">
        <v>2.81</v>
      </c>
      <c r="J385" t="s">
        <v>1037</v>
      </c>
      <c r="K385" t="s">
        <v>2544</v>
      </c>
      <c r="L385" s="7" t="s">
        <v>1416</v>
      </c>
      <c r="M385" s="7" t="s">
        <v>1420</v>
      </c>
      <c r="N385" s="14">
        <f>Greenleaf[[#This Row],[Unit Price]]*Greenleaf[[#This Row],[Quantity Sold]]</f>
        <v>90</v>
      </c>
      <c r="O385" s="13">
        <f>Greenleaf[[#This Row],[Unit Cost]]*Greenleaf[[#This Row],[Quantity Sold]]</f>
        <v>25.29</v>
      </c>
      <c r="P385" s="13">
        <f>Greenleaf[[#This Row],[ Unit  price per quantity]]-Greenleaf[[#This Row],[ Unit cost per quantity]]</f>
        <v>64.710000000000008</v>
      </c>
      <c r="Q385" s="14">
        <f>Greenleaf[[#This Row],[Quantity Sold]]*Greenleaf[[#This Row],[Unit Price]]</f>
        <v>90</v>
      </c>
    </row>
    <row r="386" spans="1:17" x14ac:dyDescent="0.25">
      <c r="A386" t="s">
        <v>1812</v>
      </c>
      <c r="B386" s="5">
        <v>45422</v>
      </c>
      <c r="C386" s="5" t="str">
        <f>TEXT(Greenleaf[[#This Row],[Order Date]],"MMM")</f>
        <v>May</v>
      </c>
      <c r="D386" s="5" t="str">
        <f>TEXT(Greenleaf[[#This Row],[Order Date]],"YYYY")</f>
        <v>2024</v>
      </c>
      <c r="E386" t="s">
        <v>2463</v>
      </c>
      <c r="F386" s="7" t="s">
        <v>1014</v>
      </c>
      <c r="G386" s="9">
        <v>1</v>
      </c>
      <c r="H386" s="11">
        <v>15</v>
      </c>
      <c r="I386" s="13">
        <v>4.66</v>
      </c>
      <c r="J386" t="s">
        <v>1107</v>
      </c>
      <c r="K386" t="s">
        <v>2487</v>
      </c>
      <c r="L386" s="7" t="s">
        <v>1414</v>
      </c>
      <c r="M386" s="7" t="s">
        <v>1422</v>
      </c>
      <c r="N386" s="14">
        <f>Greenleaf[[#This Row],[Unit Price]]*Greenleaf[[#This Row],[Quantity Sold]]</f>
        <v>15</v>
      </c>
      <c r="O386" s="13">
        <f>Greenleaf[[#This Row],[Unit Cost]]*Greenleaf[[#This Row],[Quantity Sold]]</f>
        <v>4.66</v>
      </c>
      <c r="P386" s="13">
        <f>Greenleaf[[#This Row],[ Unit  price per quantity]]-Greenleaf[[#This Row],[ Unit cost per quantity]]</f>
        <v>10.34</v>
      </c>
      <c r="Q386" s="14">
        <f>Greenleaf[[#This Row],[Quantity Sold]]*Greenleaf[[#This Row],[Unit Price]]</f>
        <v>15</v>
      </c>
    </row>
    <row r="387" spans="1:17" x14ac:dyDescent="0.25">
      <c r="A387" t="s">
        <v>1813</v>
      </c>
      <c r="B387" s="5">
        <v>45422</v>
      </c>
      <c r="C387" s="5" t="str">
        <f>TEXT(Greenleaf[[#This Row],[Order Date]],"MMM")</f>
        <v>May</v>
      </c>
      <c r="D387" s="5" t="str">
        <f>TEXT(Greenleaf[[#This Row],[Order Date]],"YYYY")</f>
        <v>2024</v>
      </c>
      <c r="E387" t="s">
        <v>2460</v>
      </c>
      <c r="F387" s="7" t="s">
        <v>1015</v>
      </c>
      <c r="G387" s="9">
        <v>3</v>
      </c>
      <c r="H387" s="11">
        <v>10</v>
      </c>
      <c r="I387" s="13">
        <v>3.02</v>
      </c>
      <c r="J387" t="s">
        <v>1173</v>
      </c>
      <c r="K387" t="s">
        <v>2543</v>
      </c>
      <c r="L387" s="7" t="s">
        <v>1416</v>
      </c>
      <c r="M387" s="7" t="s">
        <v>1425</v>
      </c>
      <c r="N387" s="14">
        <f>Greenleaf[[#This Row],[Unit Price]]*Greenleaf[[#This Row],[Quantity Sold]]</f>
        <v>30</v>
      </c>
      <c r="O387" s="13">
        <f>Greenleaf[[#This Row],[Unit Cost]]*Greenleaf[[#This Row],[Quantity Sold]]</f>
        <v>9.06</v>
      </c>
      <c r="P387" s="13">
        <f>Greenleaf[[#This Row],[ Unit  price per quantity]]-Greenleaf[[#This Row],[ Unit cost per quantity]]</f>
        <v>20.939999999999998</v>
      </c>
      <c r="Q387" s="14">
        <f>Greenleaf[[#This Row],[Quantity Sold]]*Greenleaf[[#This Row],[Unit Price]]</f>
        <v>30</v>
      </c>
    </row>
    <row r="388" spans="1:17" x14ac:dyDescent="0.25">
      <c r="A388" t="s">
        <v>1814</v>
      </c>
      <c r="B388" s="5">
        <v>45422</v>
      </c>
      <c r="C388" s="5" t="str">
        <f>TEXT(Greenleaf[[#This Row],[Order Date]],"MMM")</f>
        <v>May</v>
      </c>
      <c r="D388" s="5" t="str">
        <f>TEXT(Greenleaf[[#This Row],[Order Date]],"YYYY")</f>
        <v>2024</v>
      </c>
      <c r="E388" t="s">
        <v>2463</v>
      </c>
      <c r="F388" s="7" t="s">
        <v>1014</v>
      </c>
      <c r="G388" s="9">
        <v>6</v>
      </c>
      <c r="H388" s="11">
        <v>15</v>
      </c>
      <c r="I388" s="13">
        <v>4.8</v>
      </c>
      <c r="J388" t="s">
        <v>1169</v>
      </c>
      <c r="K388" t="s">
        <v>2514</v>
      </c>
      <c r="L388" s="7" t="s">
        <v>1414</v>
      </c>
      <c r="M388" s="7" t="s">
        <v>1427</v>
      </c>
      <c r="N388" s="14">
        <f>Greenleaf[[#This Row],[Unit Price]]*Greenleaf[[#This Row],[Quantity Sold]]</f>
        <v>90</v>
      </c>
      <c r="O388" s="13">
        <f>Greenleaf[[#This Row],[Unit Cost]]*Greenleaf[[#This Row],[Quantity Sold]]</f>
        <v>28.799999999999997</v>
      </c>
      <c r="P388" s="13">
        <f>Greenleaf[[#This Row],[ Unit  price per quantity]]-Greenleaf[[#This Row],[ Unit cost per quantity]]</f>
        <v>61.2</v>
      </c>
      <c r="Q388" s="14">
        <f>Greenleaf[[#This Row],[Quantity Sold]]*Greenleaf[[#This Row],[Unit Price]]</f>
        <v>90</v>
      </c>
    </row>
    <row r="389" spans="1:17" x14ac:dyDescent="0.25">
      <c r="A389" t="s">
        <v>1815</v>
      </c>
      <c r="B389" s="5">
        <v>45422</v>
      </c>
      <c r="C389" s="5" t="str">
        <f>TEXT(Greenleaf[[#This Row],[Order Date]],"MMM")</f>
        <v>May</v>
      </c>
      <c r="D389" s="5" t="str">
        <f>TEXT(Greenleaf[[#This Row],[Order Date]],"YYYY")</f>
        <v>2024</v>
      </c>
      <c r="E389" t="s">
        <v>2464</v>
      </c>
      <c r="F389" s="7" t="s">
        <v>1012</v>
      </c>
      <c r="G389" s="9">
        <v>9</v>
      </c>
      <c r="H389" s="11">
        <v>40</v>
      </c>
      <c r="I389" s="13">
        <v>14.62</v>
      </c>
      <c r="J389" t="s">
        <v>1142</v>
      </c>
      <c r="K389" t="s">
        <v>2489</v>
      </c>
      <c r="L389" s="7" t="s">
        <v>1417</v>
      </c>
      <c r="M389" s="7" t="s">
        <v>1425</v>
      </c>
      <c r="N389" s="14">
        <f>Greenleaf[[#This Row],[Unit Price]]*Greenleaf[[#This Row],[Quantity Sold]]</f>
        <v>360</v>
      </c>
      <c r="O389" s="13">
        <f>Greenleaf[[#This Row],[Unit Cost]]*Greenleaf[[#This Row],[Quantity Sold]]</f>
        <v>131.57999999999998</v>
      </c>
      <c r="P389" s="13">
        <f>Greenleaf[[#This Row],[ Unit  price per quantity]]-Greenleaf[[#This Row],[ Unit cost per quantity]]</f>
        <v>228.42000000000002</v>
      </c>
      <c r="Q389" s="14">
        <f>Greenleaf[[#This Row],[Quantity Sold]]*Greenleaf[[#This Row],[Unit Price]]</f>
        <v>360</v>
      </c>
    </row>
    <row r="390" spans="1:17" x14ac:dyDescent="0.25">
      <c r="A390" t="s">
        <v>1816</v>
      </c>
      <c r="B390" s="5">
        <v>45423</v>
      </c>
      <c r="C390" s="5" t="str">
        <f>TEXT(Greenleaf[[#This Row],[Order Date]],"MMM")</f>
        <v>May</v>
      </c>
      <c r="D390" s="5" t="str">
        <f>TEXT(Greenleaf[[#This Row],[Order Date]],"YYYY")</f>
        <v>2024</v>
      </c>
      <c r="E390" t="s">
        <v>2463</v>
      </c>
      <c r="F390" s="7" t="s">
        <v>1014</v>
      </c>
      <c r="G390" s="9">
        <v>5</v>
      </c>
      <c r="H390" s="11">
        <v>15</v>
      </c>
      <c r="I390" s="13">
        <v>3.13</v>
      </c>
      <c r="J390" t="s">
        <v>1112</v>
      </c>
      <c r="K390" t="s">
        <v>2495</v>
      </c>
      <c r="L390" s="7" t="s">
        <v>1414</v>
      </c>
      <c r="M390" s="7" t="s">
        <v>1425</v>
      </c>
      <c r="N390" s="14">
        <f>Greenleaf[[#This Row],[Unit Price]]*Greenleaf[[#This Row],[Quantity Sold]]</f>
        <v>75</v>
      </c>
      <c r="O390" s="13">
        <f>Greenleaf[[#This Row],[Unit Cost]]*Greenleaf[[#This Row],[Quantity Sold]]</f>
        <v>15.649999999999999</v>
      </c>
      <c r="P390" s="13">
        <f>Greenleaf[[#This Row],[ Unit  price per quantity]]-Greenleaf[[#This Row],[ Unit cost per quantity]]</f>
        <v>59.35</v>
      </c>
      <c r="Q390" s="14">
        <f>Greenleaf[[#This Row],[Quantity Sold]]*Greenleaf[[#This Row],[Unit Price]]</f>
        <v>75</v>
      </c>
    </row>
    <row r="391" spans="1:17" x14ac:dyDescent="0.25">
      <c r="A391" t="s">
        <v>1817</v>
      </c>
      <c r="B391" s="5">
        <v>45423</v>
      </c>
      <c r="C391" s="5" t="str">
        <f>TEXT(Greenleaf[[#This Row],[Order Date]],"MMM")</f>
        <v>May</v>
      </c>
      <c r="D391" s="5" t="str">
        <f>TEXT(Greenleaf[[#This Row],[Order Date]],"YYYY")</f>
        <v>2024</v>
      </c>
      <c r="E391" t="s">
        <v>2464</v>
      </c>
      <c r="F391" s="7" t="s">
        <v>1012</v>
      </c>
      <c r="G391" s="9">
        <v>1</v>
      </c>
      <c r="H391" s="11">
        <v>40</v>
      </c>
      <c r="I391" s="13">
        <v>13.15</v>
      </c>
      <c r="J391" t="s">
        <v>1121</v>
      </c>
      <c r="K391" t="s">
        <v>2509</v>
      </c>
      <c r="L391" s="7" t="s">
        <v>1414</v>
      </c>
      <c r="M391" s="7" t="s">
        <v>1418</v>
      </c>
      <c r="N391" s="14">
        <f>Greenleaf[[#This Row],[Unit Price]]*Greenleaf[[#This Row],[Quantity Sold]]</f>
        <v>40</v>
      </c>
      <c r="O391" s="13">
        <f>Greenleaf[[#This Row],[Unit Cost]]*Greenleaf[[#This Row],[Quantity Sold]]</f>
        <v>13.15</v>
      </c>
      <c r="P391" s="13">
        <f>Greenleaf[[#This Row],[ Unit  price per quantity]]-Greenleaf[[#This Row],[ Unit cost per quantity]]</f>
        <v>26.85</v>
      </c>
      <c r="Q391" s="14">
        <f>Greenleaf[[#This Row],[Quantity Sold]]*Greenleaf[[#This Row],[Unit Price]]</f>
        <v>40</v>
      </c>
    </row>
    <row r="392" spans="1:17" x14ac:dyDescent="0.25">
      <c r="A392" t="s">
        <v>1818</v>
      </c>
      <c r="B392" s="5">
        <v>45423</v>
      </c>
      <c r="C392" s="5" t="str">
        <f>TEXT(Greenleaf[[#This Row],[Order Date]],"MMM")</f>
        <v>May</v>
      </c>
      <c r="D392" s="5" t="str">
        <f>TEXT(Greenleaf[[#This Row],[Order Date]],"YYYY")</f>
        <v>2024</v>
      </c>
      <c r="E392" t="s">
        <v>2464</v>
      </c>
      <c r="F392" s="7" t="s">
        <v>1012</v>
      </c>
      <c r="G392" s="9">
        <v>9</v>
      </c>
      <c r="H392" s="11">
        <v>40</v>
      </c>
      <c r="I392" s="13">
        <v>13.31</v>
      </c>
      <c r="J392" t="s">
        <v>1081</v>
      </c>
      <c r="K392" t="s">
        <v>2541</v>
      </c>
      <c r="L392" s="7" t="s">
        <v>1414</v>
      </c>
      <c r="M392" s="7" t="s">
        <v>1424</v>
      </c>
      <c r="N392" s="14">
        <f>Greenleaf[[#This Row],[Unit Price]]*Greenleaf[[#This Row],[Quantity Sold]]</f>
        <v>360</v>
      </c>
      <c r="O392" s="13">
        <f>Greenleaf[[#This Row],[Unit Cost]]*Greenleaf[[#This Row],[Quantity Sold]]</f>
        <v>119.79</v>
      </c>
      <c r="P392" s="13">
        <f>Greenleaf[[#This Row],[ Unit  price per quantity]]-Greenleaf[[#This Row],[ Unit cost per quantity]]</f>
        <v>240.20999999999998</v>
      </c>
      <c r="Q392" s="14">
        <f>Greenleaf[[#This Row],[Quantity Sold]]*Greenleaf[[#This Row],[Unit Price]]</f>
        <v>360</v>
      </c>
    </row>
    <row r="393" spans="1:17" x14ac:dyDescent="0.25">
      <c r="A393" t="s">
        <v>1819</v>
      </c>
      <c r="B393" s="5">
        <v>45423</v>
      </c>
      <c r="C393" s="5" t="str">
        <f>TEXT(Greenleaf[[#This Row],[Order Date]],"MMM")</f>
        <v>May</v>
      </c>
      <c r="D393" s="5" t="str">
        <f>TEXT(Greenleaf[[#This Row],[Order Date]],"YYYY")</f>
        <v>2024</v>
      </c>
      <c r="E393" t="s">
        <v>2461</v>
      </c>
      <c r="F393" s="7" t="s">
        <v>1011</v>
      </c>
      <c r="G393" s="9">
        <v>10</v>
      </c>
      <c r="H393" s="11">
        <v>12</v>
      </c>
      <c r="I393" s="13">
        <v>3.7</v>
      </c>
      <c r="J393" t="s">
        <v>1112</v>
      </c>
      <c r="K393" t="s">
        <v>2495</v>
      </c>
      <c r="L393" s="7" t="s">
        <v>1414</v>
      </c>
      <c r="M393" s="7" t="s">
        <v>1422</v>
      </c>
      <c r="N393" s="14">
        <f>Greenleaf[[#This Row],[Unit Price]]*Greenleaf[[#This Row],[Quantity Sold]]</f>
        <v>120</v>
      </c>
      <c r="O393" s="13">
        <f>Greenleaf[[#This Row],[Unit Cost]]*Greenleaf[[#This Row],[Quantity Sold]]</f>
        <v>37</v>
      </c>
      <c r="P393" s="13">
        <f>Greenleaf[[#This Row],[ Unit  price per quantity]]-Greenleaf[[#This Row],[ Unit cost per quantity]]</f>
        <v>83</v>
      </c>
      <c r="Q393" s="14">
        <f>Greenleaf[[#This Row],[Quantity Sold]]*Greenleaf[[#This Row],[Unit Price]]</f>
        <v>120</v>
      </c>
    </row>
    <row r="394" spans="1:17" x14ac:dyDescent="0.25">
      <c r="A394" t="s">
        <v>1820</v>
      </c>
      <c r="B394" s="5">
        <v>45423</v>
      </c>
      <c r="C394" s="5" t="str">
        <f>TEXT(Greenleaf[[#This Row],[Order Date]],"MMM")</f>
        <v>May</v>
      </c>
      <c r="D394" s="5" t="str">
        <f>TEXT(Greenleaf[[#This Row],[Order Date]],"YYYY")</f>
        <v>2024</v>
      </c>
      <c r="E394" t="s">
        <v>2460</v>
      </c>
      <c r="F394" s="7" t="s">
        <v>1015</v>
      </c>
      <c r="G394" s="9">
        <v>3</v>
      </c>
      <c r="H394" s="11">
        <v>10</v>
      </c>
      <c r="I394" s="13">
        <v>3.68</v>
      </c>
      <c r="J394" t="s">
        <v>1076</v>
      </c>
      <c r="K394" t="s">
        <v>2525</v>
      </c>
      <c r="L394" s="7" t="s">
        <v>1415</v>
      </c>
      <c r="M394" s="7" t="s">
        <v>1427</v>
      </c>
      <c r="N394" s="14">
        <f>Greenleaf[[#This Row],[Unit Price]]*Greenleaf[[#This Row],[Quantity Sold]]</f>
        <v>30</v>
      </c>
      <c r="O394" s="13">
        <f>Greenleaf[[#This Row],[Unit Cost]]*Greenleaf[[#This Row],[Quantity Sold]]</f>
        <v>11.040000000000001</v>
      </c>
      <c r="P394" s="13">
        <f>Greenleaf[[#This Row],[ Unit  price per quantity]]-Greenleaf[[#This Row],[ Unit cost per quantity]]</f>
        <v>18.96</v>
      </c>
      <c r="Q394" s="14">
        <f>Greenleaf[[#This Row],[Quantity Sold]]*Greenleaf[[#This Row],[Unit Price]]</f>
        <v>30</v>
      </c>
    </row>
    <row r="395" spans="1:17" x14ac:dyDescent="0.25">
      <c r="A395" t="s">
        <v>1821</v>
      </c>
      <c r="B395" s="5">
        <v>45424</v>
      </c>
      <c r="C395" s="5" t="str">
        <f>TEXT(Greenleaf[[#This Row],[Order Date]],"MMM")</f>
        <v>May</v>
      </c>
      <c r="D395" s="5" t="str">
        <f>TEXT(Greenleaf[[#This Row],[Order Date]],"YYYY")</f>
        <v>2024</v>
      </c>
      <c r="E395" t="s">
        <v>2462</v>
      </c>
      <c r="F395" s="7" t="s">
        <v>1013</v>
      </c>
      <c r="G395" s="9">
        <v>7</v>
      </c>
      <c r="H395" s="11">
        <v>25</v>
      </c>
      <c r="I395" s="13">
        <v>5.54</v>
      </c>
      <c r="J395" t="s">
        <v>1047</v>
      </c>
      <c r="K395" t="s">
        <v>2476</v>
      </c>
      <c r="L395" s="7" t="s">
        <v>1414</v>
      </c>
      <c r="M395" s="7" t="s">
        <v>1418</v>
      </c>
      <c r="N395" s="14">
        <f>Greenleaf[[#This Row],[Unit Price]]*Greenleaf[[#This Row],[Quantity Sold]]</f>
        <v>175</v>
      </c>
      <c r="O395" s="13">
        <f>Greenleaf[[#This Row],[Unit Cost]]*Greenleaf[[#This Row],[Quantity Sold]]</f>
        <v>38.78</v>
      </c>
      <c r="P395" s="13">
        <f>Greenleaf[[#This Row],[ Unit  price per quantity]]-Greenleaf[[#This Row],[ Unit cost per quantity]]</f>
        <v>136.22</v>
      </c>
      <c r="Q395" s="14">
        <f>Greenleaf[[#This Row],[Quantity Sold]]*Greenleaf[[#This Row],[Unit Price]]</f>
        <v>175</v>
      </c>
    </row>
    <row r="396" spans="1:17" x14ac:dyDescent="0.25">
      <c r="A396" t="s">
        <v>1822</v>
      </c>
      <c r="B396" s="5">
        <v>45424</v>
      </c>
      <c r="C396" s="5" t="str">
        <f>TEXT(Greenleaf[[#This Row],[Order Date]],"MMM")</f>
        <v>May</v>
      </c>
      <c r="D396" s="5" t="str">
        <f>TEXT(Greenleaf[[#This Row],[Order Date]],"YYYY")</f>
        <v>2024</v>
      </c>
      <c r="E396" t="s">
        <v>2463</v>
      </c>
      <c r="F396" s="7" t="s">
        <v>1014</v>
      </c>
      <c r="G396" s="9">
        <v>2</v>
      </c>
      <c r="H396" s="11">
        <v>15</v>
      </c>
      <c r="I396" s="13">
        <v>3.17</v>
      </c>
      <c r="J396" t="s">
        <v>1066</v>
      </c>
      <c r="K396" t="s">
        <v>2487</v>
      </c>
      <c r="L396" s="7" t="s">
        <v>1416</v>
      </c>
      <c r="M396" s="7" t="s">
        <v>1426</v>
      </c>
      <c r="N396" s="14">
        <f>Greenleaf[[#This Row],[Unit Price]]*Greenleaf[[#This Row],[Quantity Sold]]</f>
        <v>30</v>
      </c>
      <c r="O396" s="13">
        <f>Greenleaf[[#This Row],[Unit Cost]]*Greenleaf[[#This Row],[Quantity Sold]]</f>
        <v>6.34</v>
      </c>
      <c r="P396" s="13">
        <f>Greenleaf[[#This Row],[ Unit  price per quantity]]-Greenleaf[[#This Row],[ Unit cost per quantity]]</f>
        <v>23.66</v>
      </c>
      <c r="Q396" s="14">
        <f>Greenleaf[[#This Row],[Quantity Sold]]*Greenleaf[[#This Row],[Unit Price]]</f>
        <v>30</v>
      </c>
    </row>
    <row r="397" spans="1:17" x14ac:dyDescent="0.25">
      <c r="A397" t="s">
        <v>1823</v>
      </c>
      <c r="B397" s="5">
        <v>45424</v>
      </c>
      <c r="C397" s="5" t="str">
        <f>TEXT(Greenleaf[[#This Row],[Order Date]],"MMM")</f>
        <v>May</v>
      </c>
      <c r="D397" s="5" t="str">
        <f>TEXT(Greenleaf[[#This Row],[Order Date]],"YYYY")</f>
        <v>2024</v>
      </c>
      <c r="E397" t="s">
        <v>2464</v>
      </c>
      <c r="F397" s="7" t="s">
        <v>1012</v>
      </c>
      <c r="G397" s="9">
        <v>8</v>
      </c>
      <c r="H397" s="11">
        <v>40</v>
      </c>
      <c r="I397" s="13">
        <v>13.61</v>
      </c>
      <c r="J397" t="s">
        <v>1146</v>
      </c>
      <c r="K397" t="s">
        <v>2575</v>
      </c>
      <c r="L397" s="7" t="s">
        <v>1414</v>
      </c>
      <c r="M397" s="7" t="s">
        <v>1427</v>
      </c>
      <c r="N397" s="14">
        <f>Greenleaf[[#This Row],[Unit Price]]*Greenleaf[[#This Row],[Quantity Sold]]</f>
        <v>320</v>
      </c>
      <c r="O397" s="13">
        <f>Greenleaf[[#This Row],[Unit Cost]]*Greenleaf[[#This Row],[Quantity Sold]]</f>
        <v>108.88</v>
      </c>
      <c r="P397" s="13">
        <f>Greenleaf[[#This Row],[ Unit  price per quantity]]-Greenleaf[[#This Row],[ Unit cost per quantity]]</f>
        <v>211.12</v>
      </c>
      <c r="Q397" s="14">
        <f>Greenleaf[[#This Row],[Quantity Sold]]*Greenleaf[[#This Row],[Unit Price]]</f>
        <v>320</v>
      </c>
    </row>
    <row r="398" spans="1:17" x14ac:dyDescent="0.25">
      <c r="A398" t="s">
        <v>1824</v>
      </c>
      <c r="B398" s="5">
        <v>45425</v>
      </c>
      <c r="C398" s="5" t="str">
        <f>TEXT(Greenleaf[[#This Row],[Order Date]],"MMM")</f>
        <v>May</v>
      </c>
      <c r="D398" s="5" t="str">
        <f>TEXT(Greenleaf[[#This Row],[Order Date]],"YYYY")</f>
        <v>2024</v>
      </c>
      <c r="E398" t="s">
        <v>2460</v>
      </c>
      <c r="F398" s="7" t="s">
        <v>1015</v>
      </c>
      <c r="G398" s="9">
        <v>1</v>
      </c>
      <c r="H398" s="11">
        <v>10</v>
      </c>
      <c r="I398" s="13">
        <v>2.72</v>
      </c>
      <c r="J398" t="s">
        <v>1026</v>
      </c>
      <c r="K398" t="s">
        <v>2486</v>
      </c>
      <c r="L398" s="7" t="s">
        <v>1417</v>
      </c>
      <c r="M398" s="7" t="s">
        <v>1418</v>
      </c>
      <c r="N398" s="14">
        <f>Greenleaf[[#This Row],[Unit Price]]*Greenleaf[[#This Row],[Quantity Sold]]</f>
        <v>10</v>
      </c>
      <c r="O398" s="13">
        <f>Greenleaf[[#This Row],[Unit Cost]]*Greenleaf[[#This Row],[Quantity Sold]]</f>
        <v>2.72</v>
      </c>
      <c r="P398" s="13">
        <f>Greenleaf[[#This Row],[ Unit  price per quantity]]-Greenleaf[[#This Row],[ Unit cost per quantity]]</f>
        <v>7.2799999999999994</v>
      </c>
      <c r="Q398" s="14">
        <f>Greenleaf[[#This Row],[Quantity Sold]]*Greenleaf[[#This Row],[Unit Price]]</f>
        <v>10</v>
      </c>
    </row>
    <row r="399" spans="1:17" x14ac:dyDescent="0.25">
      <c r="A399" t="s">
        <v>1825</v>
      </c>
      <c r="B399" s="5">
        <v>45425</v>
      </c>
      <c r="C399" s="5" t="str">
        <f>TEXT(Greenleaf[[#This Row],[Order Date]],"MMM")</f>
        <v>May</v>
      </c>
      <c r="D399" s="5" t="str">
        <f>TEXT(Greenleaf[[#This Row],[Order Date]],"YYYY")</f>
        <v>2024</v>
      </c>
      <c r="E399" t="s">
        <v>2460</v>
      </c>
      <c r="F399" s="7" t="s">
        <v>1015</v>
      </c>
      <c r="G399" s="9">
        <v>3</v>
      </c>
      <c r="H399" s="11">
        <v>10</v>
      </c>
      <c r="I399" s="13">
        <v>2.4700000000000002</v>
      </c>
      <c r="J399" t="s">
        <v>1020</v>
      </c>
      <c r="K399" t="s">
        <v>2533</v>
      </c>
      <c r="L399" s="7" t="s">
        <v>1414</v>
      </c>
      <c r="M399" s="7" t="s">
        <v>1420</v>
      </c>
      <c r="N399" s="14">
        <f>Greenleaf[[#This Row],[Unit Price]]*Greenleaf[[#This Row],[Quantity Sold]]</f>
        <v>30</v>
      </c>
      <c r="O399" s="13">
        <f>Greenleaf[[#This Row],[Unit Cost]]*Greenleaf[[#This Row],[Quantity Sold]]</f>
        <v>7.41</v>
      </c>
      <c r="P399" s="13">
        <f>Greenleaf[[#This Row],[ Unit  price per quantity]]-Greenleaf[[#This Row],[ Unit cost per quantity]]</f>
        <v>22.59</v>
      </c>
      <c r="Q399" s="14">
        <f>Greenleaf[[#This Row],[Quantity Sold]]*Greenleaf[[#This Row],[Unit Price]]</f>
        <v>30</v>
      </c>
    </row>
    <row r="400" spans="1:17" x14ac:dyDescent="0.25">
      <c r="A400" t="s">
        <v>1826</v>
      </c>
      <c r="B400" s="5">
        <v>45426</v>
      </c>
      <c r="C400" s="5" t="str">
        <f>TEXT(Greenleaf[[#This Row],[Order Date]],"MMM")</f>
        <v>May</v>
      </c>
      <c r="D400" s="5" t="str">
        <f>TEXT(Greenleaf[[#This Row],[Order Date]],"YYYY")</f>
        <v>2024</v>
      </c>
      <c r="E400" t="s">
        <v>2463</v>
      </c>
      <c r="F400" s="7" t="s">
        <v>1014</v>
      </c>
      <c r="G400" s="9">
        <v>6</v>
      </c>
      <c r="H400" s="11">
        <v>15</v>
      </c>
      <c r="I400" s="13">
        <v>5.97</v>
      </c>
      <c r="J400" t="s">
        <v>1067</v>
      </c>
      <c r="K400" t="s">
        <v>2475</v>
      </c>
      <c r="L400" s="7" t="s">
        <v>1414</v>
      </c>
      <c r="M400" s="7" t="s">
        <v>1426</v>
      </c>
      <c r="N400" s="14">
        <f>Greenleaf[[#This Row],[Unit Price]]*Greenleaf[[#This Row],[Quantity Sold]]</f>
        <v>90</v>
      </c>
      <c r="O400" s="13">
        <f>Greenleaf[[#This Row],[Unit Cost]]*Greenleaf[[#This Row],[Quantity Sold]]</f>
        <v>35.82</v>
      </c>
      <c r="P400" s="13">
        <f>Greenleaf[[#This Row],[ Unit  price per quantity]]-Greenleaf[[#This Row],[ Unit cost per quantity]]</f>
        <v>54.18</v>
      </c>
      <c r="Q400" s="14">
        <f>Greenleaf[[#This Row],[Quantity Sold]]*Greenleaf[[#This Row],[Unit Price]]</f>
        <v>90</v>
      </c>
    </row>
    <row r="401" spans="1:17" x14ac:dyDescent="0.25">
      <c r="A401" t="s">
        <v>1827</v>
      </c>
      <c r="B401" s="5">
        <v>45426</v>
      </c>
      <c r="C401" s="5" t="str">
        <f>TEXT(Greenleaf[[#This Row],[Order Date]],"MMM")</f>
        <v>May</v>
      </c>
      <c r="D401" s="5" t="str">
        <f>TEXT(Greenleaf[[#This Row],[Order Date]],"YYYY")</f>
        <v>2024</v>
      </c>
      <c r="E401" t="s">
        <v>2460</v>
      </c>
      <c r="F401" s="7" t="s">
        <v>1015</v>
      </c>
      <c r="G401" s="9">
        <v>7</v>
      </c>
      <c r="H401" s="11">
        <v>10</v>
      </c>
      <c r="I401" s="13">
        <v>2.06</v>
      </c>
      <c r="J401" t="s">
        <v>1157</v>
      </c>
      <c r="K401" t="s">
        <v>2491</v>
      </c>
      <c r="L401" s="7" t="s">
        <v>1414</v>
      </c>
      <c r="M401" s="7" t="s">
        <v>1419</v>
      </c>
      <c r="N401" s="14">
        <f>Greenleaf[[#This Row],[Unit Price]]*Greenleaf[[#This Row],[Quantity Sold]]</f>
        <v>70</v>
      </c>
      <c r="O401" s="13">
        <f>Greenleaf[[#This Row],[Unit Cost]]*Greenleaf[[#This Row],[Quantity Sold]]</f>
        <v>14.42</v>
      </c>
      <c r="P401" s="13">
        <f>Greenleaf[[#This Row],[ Unit  price per quantity]]-Greenleaf[[#This Row],[ Unit cost per quantity]]</f>
        <v>55.58</v>
      </c>
      <c r="Q401" s="14">
        <f>Greenleaf[[#This Row],[Quantity Sold]]*Greenleaf[[#This Row],[Unit Price]]</f>
        <v>70</v>
      </c>
    </row>
    <row r="402" spans="1:17" x14ac:dyDescent="0.25">
      <c r="A402" t="s">
        <v>1828</v>
      </c>
      <c r="B402" s="5">
        <v>45426</v>
      </c>
      <c r="C402" s="5" t="str">
        <f>TEXT(Greenleaf[[#This Row],[Order Date]],"MMM")</f>
        <v>May</v>
      </c>
      <c r="D402" s="5" t="str">
        <f>TEXT(Greenleaf[[#This Row],[Order Date]],"YYYY")</f>
        <v>2024</v>
      </c>
      <c r="E402" t="s">
        <v>2464</v>
      </c>
      <c r="F402" s="7" t="s">
        <v>1012</v>
      </c>
      <c r="G402" s="9">
        <v>3</v>
      </c>
      <c r="H402" s="11">
        <v>40</v>
      </c>
      <c r="I402" s="13">
        <v>9.3000000000000007</v>
      </c>
      <c r="J402" t="s">
        <v>1087</v>
      </c>
      <c r="K402" t="s">
        <v>2521</v>
      </c>
      <c r="L402" s="7" t="s">
        <v>1414</v>
      </c>
      <c r="M402" s="7" t="s">
        <v>1422</v>
      </c>
      <c r="N402" s="14">
        <f>Greenleaf[[#This Row],[Unit Price]]*Greenleaf[[#This Row],[Quantity Sold]]</f>
        <v>120</v>
      </c>
      <c r="O402" s="13">
        <f>Greenleaf[[#This Row],[Unit Cost]]*Greenleaf[[#This Row],[Quantity Sold]]</f>
        <v>27.900000000000002</v>
      </c>
      <c r="P402" s="13">
        <f>Greenleaf[[#This Row],[ Unit  price per quantity]]-Greenleaf[[#This Row],[ Unit cost per quantity]]</f>
        <v>92.1</v>
      </c>
      <c r="Q402" s="14">
        <f>Greenleaf[[#This Row],[Quantity Sold]]*Greenleaf[[#This Row],[Unit Price]]</f>
        <v>120</v>
      </c>
    </row>
    <row r="403" spans="1:17" x14ac:dyDescent="0.25">
      <c r="A403" t="s">
        <v>1829</v>
      </c>
      <c r="B403" s="5">
        <v>45426</v>
      </c>
      <c r="C403" s="5" t="str">
        <f>TEXT(Greenleaf[[#This Row],[Order Date]],"MMM")</f>
        <v>May</v>
      </c>
      <c r="D403" s="5" t="str">
        <f>TEXT(Greenleaf[[#This Row],[Order Date]],"YYYY")</f>
        <v>2024</v>
      </c>
      <c r="E403" t="s">
        <v>2462</v>
      </c>
      <c r="F403" s="7" t="s">
        <v>1013</v>
      </c>
      <c r="G403" s="9">
        <v>9</v>
      </c>
      <c r="H403" s="11">
        <v>25</v>
      </c>
      <c r="I403" s="13">
        <v>8.24</v>
      </c>
      <c r="J403" t="s">
        <v>1076</v>
      </c>
      <c r="K403" t="s">
        <v>2525</v>
      </c>
      <c r="L403" s="7" t="s">
        <v>1416</v>
      </c>
      <c r="M403" s="7" t="s">
        <v>1421</v>
      </c>
      <c r="N403" s="14">
        <f>Greenleaf[[#This Row],[Unit Price]]*Greenleaf[[#This Row],[Quantity Sold]]</f>
        <v>225</v>
      </c>
      <c r="O403" s="13">
        <f>Greenleaf[[#This Row],[Unit Cost]]*Greenleaf[[#This Row],[Quantity Sold]]</f>
        <v>74.16</v>
      </c>
      <c r="P403" s="13">
        <f>Greenleaf[[#This Row],[ Unit  price per quantity]]-Greenleaf[[#This Row],[ Unit cost per quantity]]</f>
        <v>150.84</v>
      </c>
      <c r="Q403" s="14">
        <f>Greenleaf[[#This Row],[Quantity Sold]]*Greenleaf[[#This Row],[Unit Price]]</f>
        <v>225</v>
      </c>
    </row>
    <row r="404" spans="1:17" x14ac:dyDescent="0.25">
      <c r="A404" t="s">
        <v>1830</v>
      </c>
      <c r="B404" s="5">
        <v>45426</v>
      </c>
      <c r="C404" s="5" t="str">
        <f>TEXT(Greenleaf[[#This Row],[Order Date]],"MMM")</f>
        <v>May</v>
      </c>
      <c r="D404" s="5" t="str">
        <f>TEXT(Greenleaf[[#This Row],[Order Date]],"YYYY")</f>
        <v>2024</v>
      </c>
      <c r="E404" t="s">
        <v>2461</v>
      </c>
      <c r="F404" s="7" t="s">
        <v>1011</v>
      </c>
      <c r="G404" s="9">
        <v>2</v>
      </c>
      <c r="H404" s="11">
        <v>12</v>
      </c>
      <c r="I404" s="13">
        <v>4.5999999999999996</v>
      </c>
      <c r="J404" t="s">
        <v>1082</v>
      </c>
      <c r="K404" t="s">
        <v>2532</v>
      </c>
      <c r="L404" s="7" t="s">
        <v>1414</v>
      </c>
      <c r="M404" s="7" t="s">
        <v>1420</v>
      </c>
      <c r="N404" s="14">
        <f>Greenleaf[[#This Row],[Unit Price]]*Greenleaf[[#This Row],[Quantity Sold]]</f>
        <v>24</v>
      </c>
      <c r="O404" s="13">
        <f>Greenleaf[[#This Row],[Unit Cost]]*Greenleaf[[#This Row],[Quantity Sold]]</f>
        <v>9.1999999999999993</v>
      </c>
      <c r="P404" s="13">
        <f>Greenleaf[[#This Row],[ Unit  price per quantity]]-Greenleaf[[#This Row],[ Unit cost per quantity]]</f>
        <v>14.8</v>
      </c>
      <c r="Q404" s="14">
        <f>Greenleaf[[#This Row],[Quantity Sold]]*Greenleaf[[#This Row],[Unit Price]]</f>
        <v>24</v>
      </c>
    </row>
    <row r="405" spans="1:17" x14ac:dyDescent="0.25">
      <c r="A405" t="s">
        <v>1831</v>
      </c>
      <c r="B405" s="5">
        <v>45426</v>
      </c>
      <c r="C405" s="5" t="str">
        <f>TEXT(Greenleaf[[#This Row],[Order Date]],"MMM")</f>
        <v>May</v>
      </c>
      <c r="D405" s="5" t="str">
        <f>TEXT(Greenleaf[[#This Row],[Order Date]],"YYYY")</f>
        <v>2024</v>
      </c>
      <c r="E405" t="s">
        <v>2464</v>
      </c>
      <c r="F405" s="7" t="s">
        <v>1012</v>
      </c>
      <c r="G405" s="9">
        <v>4</v>
      </c>
      <c r="H405" s="11">
        <v>40</v>
      </c>
      <c r="I405" s="13">
        <v>14.68</v>
      </c>
      <c r="J405" t="s">
        <v>1140</v>
      </c>
      <c r="K405" t="s">
        <v>2545</v>
      </c>
      <c r="L405" s="7" t="s">
        <v>1414</v>
      </c>
      <c r="M405" s="7" t="s">
        <v>1423</v>
      </c>
      <c r="N405" s="14">
        <f>Greenleaf[[#This Row],[Unit Price]]*Greenleaf[[#This Row],[Quantity Sold]]</f>
        <v>160</v>
      </c>
      <c r="O405" s="13">
        <f>Greenleaf[[#This Row],[Unit Cost]]*Greenleaf[[#This Row],[Quantity Sold]]</f>
        <v>58.72</v>
      </c>
      <c r="P405" s="13">
        <f>Greenleaf[[#This Row],[ Unit  price per quantity]]-Greenleaf[[#This Row],[ Unit cost per quantity]]</f>
        <v>101.28</v>
      </c>
      <c r="Q405" s="14">
        <f>Greenleaf[[#This Row],[Quantity Sold]]*Greenleaf[[#This Row],[Unit Price]]</f>
        <v>160</v>
      </c>
    </row>
    <row r="406" spans="1:17" x14ac:dyDescent="0.25">
      <c r="A406" t="s">
        <v>1832</v>
      </c>
      <c r="B406" s="5">
        <v>45426</v>
      </c>
      <c r="C406" s="5" t="str">
        <f>TEXT(Greenleaf[[#This Row],[Order Date]],"MMM")</f>
        <v>May</v>
      </c>
      <c r="D406" s="5" t="str">
        <f>TEXT(Greenleaf[[#This Row],[Order Date]],"YYYY")</f>
        <v>2024</v>
      </c>
      <c r="E406" t="s">
        <v>2461</v>
      </c>
      <c r="F406" s="7" t="s">
        <v>1011</v>
      </c>
      <c r="G406" s="9">
        <v>6</v>
      </c>
      <c r="H406" s="11">
        <v>12</v>
      </c>
      <c r="I406" s="13">
        <v>3.84</v>
      </c>
      <c r="J406" t="s">
        <v>1154</v>
      </c>
      <c r="K406" t="s">
        <v>2490</v>
      </c>
      <c r="L406" s="7" t="s">
        <v>1417</v>
      </c>
      <c r="M406" s="7" t="s">
        <v>1421</v>
      </c>
      <c r="N406" s="14">
        <f>Greenleaf[[#This Row],[Unit Price]]*Greenleaf[[#This Row],[Quantity Sold]]</f>
        <v>72</v>
      </c>
      <c r="O406" s="13">
        <f>Greenleaf[[#This Row],[Unit Cost]]*Greenleaf[[#This Row],[Quantity Sold]]</f>
        <v>23.04</v>
      </c>
      <c r="P406" s="13">
        <f>Greenleaf[[#This Row],[ Unit  price per quantity]]-Greenleaf[[#This Row],[ Unit cost per quantity]]</f>
        <v>48.96</v>
      </c>
      <c r="Q406" s="14">
        <f>Greenleaf[[#This Row],[Quantity Sold]]*Greenleaf[[#This Row],[Unit Price]]</f>
        <v>72</v>
      </c>
    </row>
    <row r="407" spans="1:17" x14ac:dyDescent="0.25">
      <c r="A407" t="s">
        <v>1833</v>
      </c>
      <c r="B407" s="5">
        <v>45427</v>
      </c>
      <c r="C407" s="5" t="str">
        <f>TEXT(Greenleaf[[#This Row],[Order Date]],"MMM")</f>
        <v>May</v>
      </c>
      <c r="D407" s="5" t="str">
        <f>TEXT(Greenleaf[[#This Row],[Order Date]],"YYYY")</f>
        <v>2024</v>
      </c>
      <c r="E407" t="s">
        <v>2464</v>
      </c>
      <c r="F407" s="7" t="s">
        <v>1012</v>
      </c>
      <c r="G407" s="9">
        <v>7</v>
      </c>
      <c r="H407" s="11">
        <v>40</v>
      </c>
      <c r="I407" s="13">
        <v>11.74</v>
      </c>
      <c r="J407" t="s">
        <v>1154</v>
      </c>
      <c r="K407" t="s">
        <v>2490</v>
      </c>
      <c r="L407" s="7" t="s">
        <v>1414</v>
      </c>
      <c r="M407" s="7" t="s">
        <v>1422</v>
      </c>
      <c r="N407" s="14">
        <f>Greenleaf[[#This Row],[Unit Price]]*Greenleaf[[#This Row],[Quantity Sold]]</f>
        <v>280</v>
      </c>
      <c r="O407" s="13">
        <f>Greenleaf[[#This Row],[Unit Cost]]*Greenleaf[[#This Row],[Quantity Sold]]</f>
        <v>82.18</v>
      </c>
      <c r="P407" s="13">
        <f>Greenleaf[[#This Row],[ Unit  price per quantity]]-Greenleaf[[#This Row],[ Unit cost per quantity]]</f>
        <v>197.82</v>
      </c>
      <c r="Q407" s="14">
        <f>Greenleaf[[#This Row],[Quantity Sold]]*Greenleaf[[#This Row],[Unit Price]]</f>
        <v>280</v>
      </c>
    </row>
    <row r="408" spans="1:17" x14ac:dyDescent="0.25">
      <c r="A408" t="s">
        <v>1834</v>
      </c>
      <c r="B408" s="5">
        <v>45428</v>
      </c>
      <c r="C408" s="5" t="str">
        <f>TEXT(Greenleaf[[#This Row],[Order Date]],"MMM")</f>
        <v>May</v>
      </c>
      <c r="D408" s="5" t="str">
        <f>TEXT(Greenleaf[[#This Row],[Order Date]],"YYYY")</f>
        <v>2024</v>
      </c>
      <c r="E408" t="s">
        <v>2460</v>
      </c>
      <c r="F408" s="7" t="s">
        <v>1015</v>
      </c>
      <c r="G408" s="9">
        <v>2</v>
      </c>
      <c r="H408" s="11">
        <v>10</v>
      </c>
      <c r="I408" s="13">
        <v>2.6</v>
      </c>
      <c r="J408" t="s">
        <v>1107</v>
      </c>
      <c r="K408" t="s">
        <v>2487</v>
      </c>
      <c r="L408" s="7" t="s">
        <v>1414</v>
      </c>
      <c r="M408" s="7" t="s">
        <v>1422</v>
      </c>
      <c r="N408" s="14">
        <f>Greenleaf[[#This Row],[Unit Price]]*Greenleaf[[#This Row],[Quantity Sold]]</f>
        <v>20</v>
      </c>
      <c r="O408" s="13">
        <f>Greenleaf[[#This Row],[Unit Cost]]*Greenleaf[[#This Row],[Quantity Sold]]</f>
        <v>5.2</v>
      </c>
      <c r="P408" s="13">
        <f>Greenleaf[[#This Row],[ Unit  price per quantity]]-Greenleaf[[#This Row],[ Unit cost per quantity]]</f>
        <v>14.8</v>
      </c>
      <c r="Q408" s="14">
        <f>Greenleaf[[#This Row],[Quantity Sold]]*Greenleaf[[#This Row],[Unit Price]]</f>
        <v>20</v>
      </c>
    </row>
    <row r="409" spans="1:17" x14ac:dyDescent="0.25">
      <c r="A409" t="s">
        <v>1835</v>
      </c>
      <c r="B409" s="5">
        <v>45428</v>
      </c>
      <c r="C409" s="5" t="str">
        <f>TEXT(Greenleaf[[#This Row],[Order Date]],"MMM")</f>
        <v>May</v>
      </c>
      <c r="D409" s="5" t="str">
        <f>TEXT(Greenleaf[[#This Row],[Order Date]],"YYYY")</f>
        <v>2024</v>
      </c>
      <c r="E409" t="s">
        <v>2462</v>
      </c>
      <c r="F409" s="7" t="s">
        <v>1013</v>
      </c>
      <c r="G409" s="9">
        <v>6</v>
      </c>
      <c r="H409" s="11">
        <v>25</v>
      </c>
      <c r="I409" s="13">
        <v>5.69</v>
      </c>
      <c r="J409" t="s">
        <v>1047</v>
      </c>
      <c r="K409" t="s">
        <v>2476</v>
      </c>
      <c r="L409" s="7" t="s">
        <v>1414</v>
      </c>
      <c r="M409" s="7" t="s">
        <v>1422</v>
      </c>
      <c r="N409" s="14">
        <f>Greenleaf[[#This Row],[Unit Price]]*Greenleaf[[#This Row],[Quantity Sold]]</f>
        <v>150</v>
      </c>
      <c r="O409" s="13">
        <f>Greenleaf[[#This Row],[Unit Cost]]*Greenleaf[[#This Row],[Quantity Sold]]</f>
        <v>34.14</v>
      </c>
      <c r="P409" s="13">
        <f>Greenleaf[[#This Row],[ Unit  price per quantity]]-Greenleaf[[#This Row],[ Unit cost per quantity]]</f>
        <v>115.86</v>
      </c>
      <c r="Q409" s="14">
        <f>Greenleaf[[#This Row],[Quantity Sold]]*Greenleaf[[#This Row],[Unit Price]]</f>
        <v>150</v>
      </c>
    </row>
    <row r="410" spans="1:17" x14ac:dyDescent="0.25">
      <c r="A410" t="s">
        <v>1836</v>
      </c>
      <c r="B410" s="5">
        <v>45428</v>
      </c>
      <c r="C410" s="5" t="str">
        <f>TEXT(Greenleaf[[#This Row],[Order Date]],"MMM")</f>
        <v>May</v>
      </c>
      <c r="D410" s="5" t="str">
        <f>TEXT(Greenleaf[[#This Row],[Order Date]],"YYYY")</f>
        <v>2024</v>
      </c>
      <c r="E410" t="s">
        <v>2462</v>
      </c>
      <c r="F410" s="7" t="s">
        <v>1013</v>
      </c>
      <c r="G410" s="9">
        <v>10</v>
      </c>
      <c r="H410" s="11">
        <v>25</v>
      </c>
      <c r="I410" s="13">
        <v>9.11</v>
      </c>
      <c r="J410" t="s">
        <v>1017</v>
      </c>
      <c r="K410" t="s">
        <v>2512</v>
      </c>
      <c r="L410" s="7" t="s">
        <v>1414</v>
      </c>
      <c r="M410" s="7" t="s">
        <v>1420</v>
      </c>
      <c r="N410" s="14">
        <f>Greenleaf[[#This Row],[Unit Price]]*Greenleaf[[#This Row],[Quantity Sold]]</f>
        <v>250</v>
      </c>
      <c r="O410" s="13">
        <f>Greenleaf[[#This Row],[Unit Cost]]*Greenleaf[[#This Row],[Quantity Sold]]</f>
        <v>91.1</v>
      </c>
      <c r="P410" s="13">
        <f>Greenleaf[[#This Row],[ Unit  price per quantity]]-Greenleaf[[#This Row],[ Unit cost per quantity]]</f>
        <v>158.9</v>
      </c>
      <c r="Q410" s="14">
        <f>Greenleaf[[#This Row],[Quantity Sold]]*Greenleaf[[#This Row],[Unit Price]]</f>
        <v>250</v>
      </c>
    </row>
    <row r="411" spans="1:17" x14ac:dyDescent="0.25">
      <c r="A411" t="s">
        <v>1837</v>
      </c>
      <c r="B411" s="5">
        <v>45429</v>
      </c>
      <c r="C411" s="5" t="str">
        <f>TEXT(Greenleaf[[#This Row],[Order Date]],"MMM")</f>
        <v>May</v>
      </c>
      <c r="D411" s="5" t="str">
        <f>TEXT(Greenleaf[[#This Row],[Order Date]],"YYYY")</f>
        <v>2024</v>
      </c>
      <c r="E411" t="s">
        <v>2464</v>
      </c>
      <c r="F411" s="7" t="s">
        <v>1012</v>
      </c>
      <c r="G411" s="9">
        <v>8</v>
      </c>
      <c r="H411" s="11">
        <v>40</v>
      </c>
      <c r="I411" s="13">
        <v>14.14</v>
      </c>
      <c r="J411" t="s">
        <v>1092</v>
      </c>
      <c r="K411" t="s">
        <v>2547</v>
      </c>
      <c r="L411" s="7" t="s">
        <v>1416</v>
      </c>
      <c r="M411" s="7" t="s">
        <v>1419</v>
      </c>
      <c r="N411" s="14">
        <f>Greenleaf[[#This Row],[Unit Price]]*Greenleaf[[#This Row],[Quantity Sold]]</f>
        <v>320</v>
      </c>
      <c r="O411" s="13">
        <f>Greenleaf[[#This Row],[Unit Cost]]*Greenleaf[[#This Row],[Quantity Sold]]</f>
        <v>113.12</v>
      </c>
      <c r="P411" s="13">
        <f>Greenleaf[[#This Row],[ Unit  price per quantity]]-Greenleaf[[#This Row],[ Unit cost per quantity]]</f>
        <v>206.88</v>
      </c>
      <c r="Q411" s="14">
        <f>Greenleaf[[#This Row],[Quantity Sold]]*Greenleaf[[#This Row],[Unit Price]]</f>
        <v>320</v>
      </c>
    </row>
    <row r="412" spans="1:17" x14ac:dyDescent="0.25">
      <c r="A412" t="s">
        <v>1838</v>
      </c>
      <c r="B412" s="5">
        <v>45430</v>
      </c>
      <c r="C412" s="5" t="str">
        <f>TEXT(Greenleaf[[#This Row],[Order Date]],"MMM")</f>
        <v>May</v>
      </c>
      <c r="D412" s="5" t="str">
        <f>TEXT(Greenleaf[[#This Row],[Order Date]],"YYYY")</f>
        <v>2024</v>
      </c>
      <c r="E412" t="s">
        <v>2460</v>
      </c>
      <c r="F412" s="7" t="s">
        <v>1015</v>
      </c>
      <c r="G412" s="9">
        <v>8</v>
      </c>
      <c r="H412" s="11">
        <v>10</v>
      </c>
      <c r="I412" s="13">
        <v>3.2</v>
      </c>
      <c r="J412" t="s">
        <v>1100</v>
      </c>
      <c r="K412" t="s">
        <v>2512</v>
      </c>
      <c r="L412" s="7" t="s">
        <v>1417</v>
      </c>
      <c r="M412" s="7" t="s">
        <v>1424</v>
      </c>
      <c r="N412" s="14">
        <f>Greenleaf[[#This Row],[Unit Price]]*Greenleaf[[#This Row],[Quantity Sold]]</f>
        <v>80</v>
      </c>
      <c r="O412" s="13">
        <f>Greenleaf[[#This Row],[Unit Cost]]*Greenleaf[[#This Row],[Quantity Sold]]</f>
        <v>25.6</v>
      </c>
      <c r="P412" s="13">
        <f>Greenleaf[[#This Row],[ Unit  price per quantity]]-Greenleaf[[#This Row],[ Unit cost per quantity]]</f>
        <v>54.4</v>
      </c>
      <c r="Q412" s="14">
        <f>Greenleaf[[#This Row],[Quantity Sold]]*Greenleaf[[#This Row],[Unit Price]]</f>
        <v>80</v>
      </c>
    </row>
    <row r="413" spans="1:17" x14ac:dyDescent="0.25">
      <c r="A413" t="s">
        <v>1839</v>
      </c>
      <c r="B413" s="5">
        <v>45430</v>
      </c>
      <c r="C413" s="5" t="str">
        <f>TEXT(Greenleaf[[#This Row],[Order Date]],"MMM")</f>
        <v>May</v>
      </c>
      <c r="D413" s="5" t="str">
        <f>TEXT(Greenleaf[[#This Row],[Order Date]],"YYYY")</f>
        <v>2024</v>
      </c>
      <c r="E413" t="s">
        <v>2463</v>
      </c>
      <c r="F413" s="7" t="s">
        <v>1014</v>
      </c>
      <c r="G413" s="9">
        <v>8</v>
      </c>
      <c r="H413" s="11">
        <v>15</v>
      </c>
      <c r="I413" s="13">
        <v>5.1100000000000003</v>
      </c>
      <c r="J413" t="s">
        <v>1163</v>
      </c>
      <c r="K413" t="s">
        <v>2518</v>
      </c>
      <c r="L413" s="7" t="s">
        <v>1416</v>
      </c>
      <c r="M413" s="7" t="s">
        <v>1427</v>
      </c>
      <c r="N413" s="14">
        <f>Greenleaf[[#This Row],[Unit Price]]*Greenleaf[[#This Row],[Quantity Sold]]</f>
        <v>120</v>
      </c>
      <c r="O413" s="13">
        <f>Greenleaf[[#This Row],[Unit Cost]]*Greenleaf[[#This Row],[Quantity Sold]]</f>
        <v>40.880000000000003</v>
      </c>
      <c r="P413" s="13">
        <f>Greenleaf[[#This Row],[ Unit  price per quantity]]-Greenleaf[[#This Row],[ Unit cost per quantity]]</f>
        <v>79.12</v>
      </c>
      <c r="Q413" s="14">
        <f>Greenleaf[[#This Row],[Quantity Sold]]*Greenleaf[[#This Row],[Unit Price]]</f>
        <v>120</v>
      </c>
    </row>
    <row r="414" spans="1:17" x14ac:dyDescent="0.25">
      <c r="A414" t="s">
        <v>1840</v>
      </c>
      <c r="B414" s="5">
        <v>45430</v>
      </c>
      <c r="C414" s="5" t="str">
        <f>TEXT(Greenleaf[[#This Row],[Order Date]],"MMM")</f>
        <v>May</v>
      </c>
      <c r="D414" s="5" t="str">
        <f>TEXT(Greenleaf[[#This Row],[Order Date]],"YYYY")</f>
        <v>2024</v>
      </c>
      <c r="E414" t="s">
        <v>2463</v>
      </c>
      <c r="F414" s="7" t="s">
        <v>1014</v>
      </c>
      <c r="G414" s="9">
        <v>1</v>
      </c>
      <c r="H414" s="11">
        <v>15</v>
      </c>
      <c r="I414" s="13">
        <v>3.13</v>
      </c>
      <c r="J414" t="s">
        <v>1044</v>
      </c>
      <c r="K414" t="s">
        <v>2513</v>
      </c>
      <c r="L414" s="7" t="s">
        <v>1414</v>
      </c>
      <c r="M414" s="7" t="s">
        <v>1422</v>
      </c>
      <c r="N414" s="14">
        <f>Greenleaf[[#This Row],[Unit Price]]*Greenleaf[[#This Row],[Quantity Sold]]</f>
        <v>15</v>
      </c>
      <c r="O414" s="13">
        <f>Greenleaf[[#This Row],[Unit Cost]]*Greenleaf[[#This Row],[Quantity Sold]]</f>
        <v>3.13</v>
      </c>
      <c r="P414" s="13">
        <f>Greenleaf[[#This Row],[ Unit  price per quantity]]-Greenleaf[[#This Row],[ Unit cost per quantity]]</f>
        <v>11.870000000000001</v>
      </c>
      <c r="Q414" s="14">
        <f>Greenleaf[[#This Row],[Quantity Sold]]*Greenleaf[[#This Row],[Unit Price]]</f>
        <v>15</v>
      </c>
    </row>
    <row r="415" spans="1:17" x14ac:dyDescent="0.25">
      <c r="A415" t="s">
        <v>1841</v>
      </c>
      <c r="B415" s="5">
        <v>45430</v>
      </c>
      <c r="C415" s="5" t="str">
        <f>TEXT(Greenleaf[[#This Row],[Order Date]],"MMM")</f>
        <v>May</v>
      </c>
      <c r="D415" s="5" t="str">
        <f>TEXT(Greenleaf[[#This Row],[Order Date]],"YYYY")</f>
        <v>2024</v>
      </c>
      <c r="E415" t="s">
        <v>2462</v>
      </c>
      <c r="F415" s="7" t="s">
        <v>1013</v>
      </c>
      <c r="G415" s="9">
        <v>3</v>
      </c>
      <c r="H415" s="11">
        <v>25</v>
      </c>
      <c r="I415" s="13">
        <v>5.8</v>
      </c>
      <c r="J415" t="s">
        <v>1182</v>
      </c>
      <c r="K415" t="s">
        <v>2580</v>
      </c>
      <c r="L415" s="7" t="s">
        <v>1414</v>
      </c>
      <c r="M415" s="7" t="s">
        <v>1426</v>
      </c>
      <c r="N415" s="14">
        <f>Greenleaf[[#This Row],[Unit Price]]*Greenleaf[[#This Row],[Quantity Sold]]</f>
        <v>75</v>
      </c>
      <c r="O415" s="13">
        <f>Greenleaf[[#This Row],[Unit Cost]]*Greenleaf[[#This Row],[Quantity Sold]]</f>
        <v>17.399999999999999</v>
      </c>
      <c r="P415" s="13">
        <f>Greenleaf[[#This Row],[ Unit  price per quantity]]-Greenleaf[[#This Row],[ Unit cost per quantity]]</f>
        <v>57.6</v>
      </c>
      <c r="Q415" s="14">
        <f>Greenleaf[[#This Row],[Quantity Sold]]*Greenleaf[[#This Row],[Unit Price]]</f>
        <v>75</v>
      </c>
    </row>
    <row r="416" spans="1:17" x14ac:dyDescent="0.25">
      <c r="A416" t="s">
        <v>1842</v>
      </c>
      <c r="B416" s="5">
        <v>45430</v>
      </c>
      <c r="C416" s="5" t="str">
        <f>TEXT(Greenleaf[[#This Row],[Order Date]],"MMM")</f>
        <v>May</v>
      </c>
      <c r="D416" s="5" t="str">
        <f>TEXT(Greenleaf[[#This Row],[Order Date]],"YYYY")</f>
        <v>2024</v>
      </c>
      <c r="E416" t="s">
        <v>2460</v>
      </c>
      <c r="F416" s="7" t="s">
        <v>1015</v>
      </c>
      <c r="G416" s="9">
        <v>10</v>
      </c>
      <c r="H416" s="11">
        <v>10</v>
      </c>
      <c r="I416" s="13">
        <v>3.45</v>
      </c>
      <c r="J416" t="s">
        <v>1207</v>
      </c>
      <c r="K416" t="s">
        <v>2575</v>
      </c>
      <c r="L416" s="7" t="s">
        <v>1414</v>
      </c>
      <c r="M416" s="7" t="s">
        <v>1425</v>
      </c>
      <c r="N416" s="14">
        <f>Greenleaf[[#This Row],[Unit Price]]*Greenleaf[[#This Row],[Quantity Sold]]</f>
        <v>100</v>
      </c>
      <c r="O416" s="13">
        <f>Greenleaf[[#This Row],[Unit Cost]]*Greenleaf[[#This Row],[Quantity Sold]]</f>
        <v>34.5</v>
      </c>
      <c r="P416" s="13">
        <f>Greenleaf[[#This Row],[ Unit  price per quantity]]-Greenleaf[[#This Row],[ Unit cost per quantity]]</f>
        <v>65.5</v>
      </c>
      <c r="Q416" s="14">
        <f>Greenleaf[[#This Row],[Quantity Sold]]*Greenleaf[[#This Row],[Unit Price]]</f>
        <v>100</v>
      </c>
    </row>
    <row r="417" spans="1:17" x14ac:dyDescent="0.25">
      <c r="A417" t="s">
        <v>1843</v>
      </c>
      <c r="B417" s="5">
        <v>45431</v>
      </c>
      <c r="C417" s="5" t="str">
        <f>TEXT(Greenleaf[[#This Row],[Order Date]],"MMM")</f>
        <v>May</v>
      </c>
      <c r="D417" s="5" t="str">
        <f>TEXT(Greenleaf[[#This Row],[Order Date]],"YYYY")</f>
        <v>2024</v>
      </c>
      <c r="E417" t="s">
        <v>2464</v>
      </c>
      <c r="F417" s="7" t="s">
        <v>1012</v>
      </c>
      <c r="G417" s="9">
        <v>8</v>
      </c>
      <c r="H417" s="11">
        <v>40</v>
      </c>
      <c r="I417" s="13">
        <v>11.29</v>
      </c>
      <c r="J417" t="s">
        <v>1035</v>
      </c>
      <c r="K417" t="s">
        <v>2483</v>
      </c>
      <c r="L417" s="7" t="s">
        <v>1415</v>
      </c>
      <c r="M417" s="7" t="s">
        <v>1421</v>
      </c>
      <c r="N417" s="14">
        <f>Greenleaf[[#This Row],[Unit Price]]*Greenleaf[[#This Row],[Quantity Sold]]</f>
        <v>320</v>
      </c>
      <c r="O417" s="13">
        <f>Greenleaf[[#This Row],[Unit Cost]]*Greenleaf[[#This Row],[Quantity Sold]]</f>
        <v>90.32</v>
      </c>
      <c r="P417" s="13">
        <f>Greenleaf[[#This Row],[ Unit  price per quantity]]-Greenleaf[[#This Row],[ Unit cost per quantity]]</f>
        <v>229.68</v>
      </c>
      <c r="Q417" s="14">
        <f>Greenleaf[[#This Row],[Quantity Sold]]*Greenleaf[[#This Row],[Unit Price]]</f>
        <v>320</v>
      </c>
    </row>
    <row r="418" spans="1:17" x14ac:dyDescent="0.25">
      <c r="A418" t="s">
        <v>1844</v>
      </c>
      <c r="B418" s="5">
        <v>45431</v>
      </c>
      <c r="C418" s="5" t="str">
        <f>TEXT(Greenleaf[[#This Row],[Order Date]],"MMM")</f>
        <v>May</v>
      </c>
      <c r="D418" s="5" t="str">
        <f>TEXT(Greenleaf[[#This Row],[Order Date]],"YYYY")</f>
        <v>2024</v>
      </c>
      <c r="E418" t="s">
        <v>2461</v>
      </c>
      <c r="F418" s="7" t="s">
        <v>1011</v>
      </c>
      <c r="G418" s="9">
        <v>6</v>
      </c>
      <c r="H418" s="11">
        <v>12</v>
      </c>
      <c r="I418" s="13">
        <v>3.5</v>
      </c>
      <c r="J418" t="s">
        <v>1022</v>
      </c>
      <c r="K418" t="s">
        <v>2551</v>
      </c>
      <c r="L418" s="7" t="s">
        <v>1414</v>
      </c>
      <c r="M418" s="7" t="s">
        <v>1424</v>
      </c>
      <c r="N418" s="14">
        <f>Greenleaf[[#This Row],[Unit Price]]*Greenleaf[[#This Row],[Quantity Sold]]</f>
        <v>72</v>
      </c>
      <c r="O418" s="13">
        <f>Greenleaf[[#This Row],[Unit Cost]]*Greenleaf[[#This Row],[Quantity Sold]]</f>
        <v>21</v>
      </c>
      <c r="P418" s="13">
        <f>Greenleaf[[#This Row],[ Unit  price per quantity]]-Greenleaf[[#This Row],[ Unit cost per quantity]]</f>
        <v>51</v>
      </c>
      <c r="Q418" s="14">
        <f>Greenleaf[[#This Row],[Quantity Sold]]*Greenleaf[[#This Row],[Unit Price]]</f>
        <v>72</v>
      </c>
    </row>
    <row r="419" spans="1:17" x14ac:dyDescent="0.25">
      <c r="A419" t="s">
        <v>1845</v>
      </c>
      <c r="B419" s="5">
        <v>45431</v>
      </c>
      <c r="C419" s="5" t="str">
        <f>TEXT(Greenleaf[[#This Row],[Order Date]],"MMM")</f>
        <v>May</v>
      </c>
      <c r="D419" s="5" t="str">
        <f>TEXT(Greenleaf[[#This Row],[Order Date]],"YYYY")</f>
        <v>2024</v>
      </c>
      <c r="E419" t="s">
        <v>2463</v>
      </c>
      <c r="F419" s="7" t="s">
        <v>1014</v>
      </c>
      <c r="G419" s="9">
        <v>8</v>
      </c>
      <c r="H419" s="11">
        <v>15</v>
      </c>
      <c r="I419" s="13">
        <v>5.56</v>
      </c>
      <c r="J419" t="s">
        <v>1114</v>
      </c>
      <c r="K419" t="s">
        <v>2520</v>
      </c>
      <c r="L419" s="7" t="s">
        <v>1416</v>
      </c>
      <c r="M419" s="7" t="s">
        <v>1424</v>
      </c>
      <c r="N419" s="14">
        <f>Greenleaf[[#This Row],[Unit Price]]*Greenleaf[[#This Row],[Quantity Sold]]</f>
        <v>120</v>
      </c>
      <c r="O419" s="13">
        <f>Greenleaf[[#This Row],[Unit Cost]]*Greenleaf[[#This Row],[Quantity Sold]]</f>
        <v>44.48</v>
      </c>
      <c r="P419" s="13">
        <f>Greenleaf[[#This Row],[ Unit  price per quantity]]-Greenleaf[[#This Row],[ Unit cost per quantity]]</f>
        <v>75.52000000000001</v>
      </c>
      <c r="Q419" s="14">
        <f>Greenleaf[[#This Row],[Quantity Sold]]*Greenleaf[[#This Row],[Unit Price]]</f>
        <v>120</v>
      </c>
    </row>
    <row r="420" spans="1:17" x14ac:dyDescent="0.25">
      <c r="A420" t="s">
        <v>1846</v>
      </c>
      <c r="B420" s="5">
        <v>45431</v>
      </c>
      <c r="C420" s="5" t="str">
        <f>TEXT(Greenleaf[[#This Row],[Order Date]],"MMM")</f>
        <v>May</v>
      </c>
      <c r="D420" s="5" t="str">
        <f>TEXT(Greenleaf[[#This Row],[Order Date]],"YYYY")</f>
        <v>2024</v>
      </c>
      <c r="E420" t="s">
        <v>2461</v>
      </c>
      <c r="F420" s="7" t="s">
        <v>1011</v>
      </c>
      <c r="G420" s="9">
        <v>3</v>
      </c>
      <c r="H420" s="11">
        <v>12</v>
      </c>
      <c r="I420" s="13">
        <v>3.51</v>
      </c>
      <c r="J420" t="s">
        <v>1109</v>
      </c>
      <c r="K420" t="s">
        <v>2560</v>
      </c>
      <c r="L420" s="7" t="s">
        <v>1414</v>
      </c>
      <c r="M420" s="7" t="s">
        <v>1422</v>
      </c>
      <c r="N420" s="14">
        <f>Greenleaf[[#This Row],[Unit Price]]*Greenleaf[[#This Row],[Quantity Sold]]</f>
        <v>36</v>
      </c>
      <c r="O420" s="13">
        <f>Greenleaf[[#This Row],[Unit Cost]]*Greenleaf[[#This Row],[Quantity Sold]]</f>
        <v>10.53</v>
      </c>
      <c r="P420" s="13">
        <f>Greenleaf[[#This Row],[ Unit  price per quantity]]-Greenleaf[[#This Row],[ Unit cost per quantity]]</f>
        <v>25.47</v>
      </c>
      <c r="Q420" s="14">
        <f>Greenleaf[[#This Row],[Quantity Sold]]*Greenleaf[[#This Row],[Unit Price]]</f>
        <v>36</v>
      </c>
    </row>
    <row r="421" spans="1:17" x14ac:dyDescent="0.25">
      <c r="A421" t="s">
        <v>1847</v>
      </c>
      <c r="B421" s="5">
        <v>45431</v>
      </c>
      <c r="C421" s="5" t="str">
        <f>TEXT(Greenleaf[[#This Row],[Order Date]],"MMM")</f>
        <v>May</v>
      </c>
      <c r="D421" s="5" t="str">
        <f>TEXT(Greenleaf[[#This Row],[Order Date]],"YYYY")</f>
        <v>2024</v>
      </c>
      <c r="E421" t="s">
        <v>2462</v>
      </c>
      <c r="F421" s="7" t="s">
        <v>1013</v>
      </c>
      <c r="G421" s="9">
        <v>6</v>
      </c>
      <c r="H421" s="11">
        <v>25</v>
      </c>
      <c r="I421" s="13">
        <v>6.75</v>
      </c>
      <c r="J421" t="s">
        <v>1066</v>
      </c>
      <c r="K421" t="s">
        <v>2487</v>
      </c>
      <c r="L421" s="7" t="s">
        <v>1416</v>
      </c>
      <c r="M421" s="7" t="s">
        <v>1425</v>
      </c>
      <c r="N421" s="14">
        <f>Greenleaf[[#This Row],[Unit Price]]*Greenleaf[[#This Row],[Quantity Sold]]</f>
        <v>150</v>
      </c>
      <c r="O421" s="13">
        <f>Greenleaf[[#This Row],[Unit Cost]]*Greenleaf[[#This Row],[Quantity Sold]]</f>
        <v>40.5</v>
      </c>
      <c r="P421" s="13">
        <f>Greenleaf[[#This Row],[ Unit  price per quantity]]-Greenleaf[[#This Row],[ Unit cost per quantity]]</f>
        <v>109.5</v>
      </c>
      <c r="Q421" s="14">
        <f>Greenleaf[[#This Row],[Quantity Sold]]*Greenleaf[[#This Row],[Unit Price]]</f>
        <v>150</v>
      </c>
    </row>
    <row r="422" spans="1:17" x14ac:dyDescent="0.25">
      <c r="A422" t="s">
        <v>1848</v>
      </c>
      <c r="B422" s="5">
        <v>45432</v>
      </c>
      <c r="C422" s="5" t="str">
        <f>TEXT(Greenleaf[[#This Row],[Order Date]],"MMM")</f>
        <v>May</v>
      </c>
      <c r="D422" s="5" t="str">
        <f>TEXT(Greenleaf[[#This Row],[Order Date]],"YYYY")</f>
        <v>2024</v>
      </c>
      <c r="E422" t="s">
        <v>2461</v>
      </c>
      <c r="F422" s="7" t="s">
        <v>1011</v>
      </c>
      <c r="G422" s="9">
        <v>1</v>
      </c>
      <c r="H422" s="11">
        <v>12</v>
      </c>
      <c r="I422" s="13">
        <v>4</v>
      </c>
      <c r="J422" t="s">
        <v>1159</v>
      </c>
      <c r="K422" t="s">
        <v>2480</v>
      </c>
      <c r="L422" s="7" t="s">
        <v>1416</v>
      </c>
      <c r="M422" s="7" t="s">
        <v>1425</v>
      </c>
      <c r="N422" s="14">
        <f>Greenleaf[[#This Row],[Unit Price]]*Greenleaf[[#This Row],[Quantity Sold]]</f>
        <v>12</v>
      </c>
      <c r="O422" s="13">
        <f>Greenleaf[[#This Row],[Unit Cost]]*Greenleaf[[#This Row],[Quantity Sold]]</f>
        <v>4</v>
      </c>
      <c r="P422" s="13">
        <f>Greenleaf[[#This Row],[ Unit  price per quantity]]-Greenleaf[[#This Row],[ Unit cost per quantity]]</f>
        <v>8</v>
      </c>
      <c r="Q422" s="14">
        <f>Greenleaf[[#This Row],[Quantity Sold]]*Greenleaf[[#This Row],[Unit Price]]</f>
        <v>12</v>
      </c>
    </row>
    <row r="423" spans="1:17" x14ac:dyDescent="0.25">
      <c r="A423" t="s">
        <v>1849</v>
      </c>
      <c r="B423" s="5">
        <v>45433</v>
      </c>
      <c r="C423" s="5" t="str">
        <f>TEXT(Greenleaf[[#This Row],[Order Date]],"MMM")</f>
        <v>May</v>
      </c>
      <c r="D423" s="5" t="str">
        <f>TEXT(Greenleaf[[#This Row],[Order Date]],"YYYY")</f>
        <v>2024</v>
      </c>
      <c r="E423" t="s">
        <v>2464</v>
      </c>
      <c r="F423" s="7" t="s">
        <v>1012</v>
      </c>
      <c r="G423" s="9">
        <v>7</v>
      </c>
      <c r="H423" s="11">
        <v>40</v>
      </c>
      <c r="I423" s="13">
        <v>14.84</v>
      </c>
      <c r="J423" t="s">
        <v>1049</v>
      </c>
      <c r="K423" t="s">
        <v>2546</v>
      </c>
      <c r="L423" s="7" t="s">
        <v>1414</v>
      </c>
      <c r="M423" s="7" t="s">
        <v>1421</v>
      </c>
      <c r="N423" s="14">
        <f>Greenleaf[[#This Row],[Unit Price]]*Greenleaf[[#This Row],[Quantity Sold]]</f>
        <v>280</v>
      </c>
      <c r="O423" s="13">
        <f>Greenleaf[[#This Row],[Unit Cost]]*Greenleaf[[#This Row],[Quantity Sold]]</f>
        <v>103.88</v>
      </c>
      <c r="P423" s="13">
        <f>Greenleaf[[#This Row],[ Unit  price per quantity]]-Greenleaf[[#This Row],[ Unit cost per quantity]]</f>
        <v>176.12</v>
      </c>
      <c r="Q423" s="14">
        <f>Greenleaf[[#This Row],[Quantity Sold]]*Greenleaf[[#This Row],[Unit Price]]</f>
        <v>280</v>
      </c>
    </row>
    <row r="424" spans="1:17" x14ac:dyDescent="0.25">
      <c r="A424" t="s">
        <v>1850</v>
      </c>
      <c r="B424" s="5">
        <v>45433</v>
      </c>
      <c r="C424" s="5" t="str">
        <f>TEXT(Greenleaf[[#This Row],[Order Date]],"MMM")</f>
        <v>May</v>
      </c>
      <c r="D424" s="5" t="str">
        <f>TEXT(Greenleaf[[#This Row],[Order Date]],"YYYY")</f>
        <v>2024</v>
      </c>
      <c r="E424" t="s">
        <v>2464</v>
      </c>
      <c r="F424" s="7" t="s">
        <v>1012</v>
      </c>
      <c r="G424" s="9">
        <v>5</v>
      </c>
      <c r="H424" s="11">
        <v>40</v>
      </c>
      <c r="I424" s="13">
        <v>10.58</v>
      </c>
      <c r="J424" t="s">
        <v>1131</v>
      </c>
      <c r="K424" t="s">
        <v>2479</v>
      </c>
      <c r="L424" s="7" t="s">
        <v>1414</v>
      </c>
      <c r="M424" s="7" t="s">
        <v>1422</v>
      </c>
      <c r="N424" s="14">
        <f>Greenleaf[[#This Row],[Unit Price]]*Greenleaf[[#This Row],[Quantity Sold]]</f>
        <v>200</v>
      </c>
      <c r="O424" s="13">
        <f>Greenleaf[[#This Row],[Unit Cost]]*Greenleaf[[#This Row],[Quantity Sold]]</f>
        <v>52.9</v>
      </c>
      <c r="P424" s="13">
        <f>Greenleaf[[#This Row],[ Unit  price per quantity]]-Greenleaf[[#This Row],[ Unit cost per quantity]]</f>
        <v>147.1</v>
      </c>
      <c r="Q424" s="14">
        <f>Greenleaf[[#This Row],[Quantity Sold]]*Greenleaf[[#This Row],[Unit Price]]</f>
        <v>200</v>
      </c>
    </row>
    <row r="425" spans="1:17" x14ac:dyDescent="0.25">
      <c r="A425" t="s">
        <v>1851</v>
      </c>
      <c r="B425" s="5">
        <v>45433</v>
      </c>
      <c r="C425" s="5" t="str">
        <f>TEXT(Greenleaf[[#This Row],[Order Date]],"MMM")</f>
        <v>May</v>
      </c>
      <c r="D425" s="5" t="str">
        <f>TEXT(Greenleaf[[#This Row],[Order Date]],"YYYY")</f>
        <v>2024</v>
      </c>
      <c r="E425" t="s">
        <v>2463</v>
      </c>
      <c r="F425" s="7" t="s">
        <v>1014</v>
      </c>
      <c r="G425" s="9">
        <v>9</v>
      </c>
      <c r="H425" s="11">
        <v>15</v>
      </c>
      <c r="I425" s="13">
        <v>5.77</v>
      </c>
      <c r="J425" t="s">
        <v>1114</v>
      </c>
      <c r="K425" t="s">
        <v>2520</v>
      </c>
      <c r="L425" s="7" t="s">
        <v>1414</v>
      </c>
      <c r="M425" s="7" t="s">
        <v>1418</v>
      </c>
      <c r="N425" s="14">
        <f>Greenleaf[[#This Row],[Unit Price]]*Greenleaf[[#This Row],[Quantity Sold]]</f>
        <v>135</v>
      </c>
      <c r="O425" s="13">
        <f>Greenleaf[[#This Row],[Unit Cost]]*Greenleaf[[#This Row],[Quantity Sold]]</f>
        <v>51.929999999999993</v>
      </c>
      <c r="P425" s="13">
        <f>Greenleaf[[#This Row],[ Unit  price per quantity]]-Greenleaf[[#This Row],[ Unit cost per quantity]]</f>
        <v>83.070000000000007</v>
      </c>
      <c r="Q425" s="14">
        <f>Greenleaf[[#This Row],[Quantity Sold]]*Greenleaf[[#This Row],[Unit Price]]</f>
        <v>135</v>
      </c>
    </row>
    <row r="426" spans="1:17" x14ac:dyDescent="0.25">
      <c r="A426" t="s">
        <v>1852</v>
      </c>
      <c r="B426" s="5">
        <v>45434</v>
      </c>
      <c r="C426" s="5" t="str">
        <f>TEXT(Greenleaf[[#This Row],[Order Date]],"MMM")</f>
        <v>May</v>
      </c>
      <c r="D426" s="5" t="str">
        <f>TEXT(Greenleaf[[#This Row],[Order Date]],"YYYY")</f>
        <v>2024</v>
      </c>
      <c r="E426" t="s">
        <v>2463</v>
      </c>
      <c r="F426" s="7" t="s">
        <v>1014</v>
      </c>
      <c r="G426" s="9">
        <v>5</v>
      </c>
      <c r="H426" s="11">
        <v>15</v>
      </c>
      <c r="I426" s="13">
        <v>5.92</v>
      </c>
      <c r="J426" t="s">
        <v>1102</v>
      </c>
      <c r="K426" t="s">
        <v>2564</v>
      </c>
      <c r="L426" s="7" t="s">
        <v>1414</v>
      </c>
      <c r="M426" s="7" t="s">
        <v>1426</v>
      </c>
      <c r="N426" s="14">
        <f>Greenleaf[[#This Row],[Unit Price]]*Greenleaf[[#This Row],[Quantity Sold]]</f>
        <v>75</v>
      </c>
      <c r="O426" s="13">
        <f>Greenleaf[[#This Row],[Unit Cost]]*Greenleaf[[#This Row],[Quantity Sold]]</f>
        <v>29.6</v>
      </c>
      <c r="P426" s="13">
        <f>Greenleaf[[#This Row],[ Unit  price per quantity]]-Greenleaf[[#This Row],[ Unit cost per quantity]]</f>
        <v>45.4</v>
      </c>
      <c r="Q426" s="14">
        <f>Greenleaf[[#This Row],[Quantity Sold]]*Greenleaf[[#This Row],[Unit Price]]</f>
        <v>75</v>
      </c>
    </row>
    <row r="427" spans="1:17" x14ac:dyDescent="0.25">
      <c r="A427" t="s">
        <v>1853</v>
      </c>
      <c r="B427" s="5">
        <v>45435</v>
      </c>
      <c r="C427" s="5" t="str">
        <f>TEXT(Greenleaf[[#This Row],[Order Date]],"MMM")</f>
        <v>May</v>
      </c>
      <c r="D427" s="5" t="str">
        <f>TEXT(Greenleaf[[#This Row],[Order Date]],"YYYY")</f>
        <v>2024</v>
      </c>
      <c r="E427" t="s">
        <v>2464</v>
      </c>
      <c r="F427" s="7" t="s">
        <v>1012</v>
      </c>
      <c r="G427" s="9">
        <v>9</v>
      </c>
      <c r="H427" s="11">
        <v>40</v>
      </c>
      <c r="I427" s="13">
        <v>10.53</v>
      </c>
      <c r="J427" t="s">
        <v>1055</v>
      </c>
      <c r="K427" t="s">
        <v>2553</v>
      </c>
      <c r="L427" s="7" t="s">
        <v>1416</v>
      </c>
      <c r="M427" s="7" t="s">
        <v>1418</v>
      </c>
      <c r="N427" s="14">
        <f>Greenleaf[[#This Row],[Unit Price]]*Greenleaf[[#This Row],[Quantity Sold]]</f>
        <v>360</v>
      </c>
      <c r="O427" s="13">
        <f>Greenleaf[[#This Row],[Unit Cost]]*Greenleaf[[#This Row],[Quantity Sold]]</f>
        <v>94.77</v>
      </c>
      <c r="P427" s="13">
        <f>Greenleaf[[#This Row],[ Unit  price per quantity]]-Greenleaf[[#This Row],[ Unit cost per quantity]]</f>
        <v>265.23</v>
      </c>
      <c r="Q427" s="14">
        <f>Greenleaf[[#This Row],[Quantity Sold]]*Greenleaf[[#This Row],[Unit Price]]</f>
        <v>360</v>
      </c>
    </row>
    <row r="428" spans="1:17" x14ac:dyDescent="0.25">
      <c r="A428" t="s">
        <v>1854</v>
      </c>
      <c r="B428" s="5">
        <v>45435</v>
      </c>
      <c r="C428" s="5" t="str">
        <f>TEXT(Greenleaf[[#This Row],[Order Date]],"MMM")</f>
        <v>May</v>
      </c>
      <c r="D428" s="5" t="str">
        <f>TEXT(Greenleaf[[#This Row],[Order Date]],"YYYY")</f>
        <v>2024</v>
      </c>
      <c r="E428" t="s">
        <v>2463</v>
      </c>
      <c r="F428" s="7" t="s">
        <v>1014</v>
      </c>
      <c r="G428" s="9">
        <v>10</v>
      </c>
      <c r="H428" s="11">
        <v>15</v>
      </c>
      <c r="I428" s="13">
        <v>3.43</v>
      </c>
      <c r="J428" t="s">
        <v>1145</v>
      </c>
      <c r="K428" t="s">
        <v>2581</v>
      </c>
      <c r="L428" s="7" t="s">
        <v>1414</v>
      </c>
      <c r="M428" s="7" t="s">
        <v>1422</v>
      </c>
      <c r="N428" s="14">
        <f>Greenleaf[[#This Row],[Unit Price]]*Greenleaf[[#This Row],[Quantity Sold]]</f>
        <v>150</v>
      </c>
      <c r="O428" s="13">
        <f>Greenleaf[[#This Row],[Unit Cost]]*Greenleaf[[#This Row],[Quantity Sold]]</f>
        <v>34.300000000000004</v>
      </c>
      <c r="P428" s="13">
        <f>Greenleaf[[#This Row],[ Unit  price per quantity]]-Greenleaf[[#This Row],[ Unit cost per quantity]]</f>
        <v>115.69999999999999</v>
      </c>
      <c r="Q428" s="14">
        <f>Greenleaf[[#This Row],[Quantity Sold]]*Greenleaf[[#This Row],[Unit Price]]</f>
        <v>150</v>
      </c>
    </row>
    <row r="429" spans="1:17" x14ac:dyDescent="0.25">
      <c r="A429" t="s">
        <v>1855</v>
      </c>
      <c r="B429" s="5">
        <v>45435</v>
      </c>
      <c r="C429" s="5" t="str">
        <f>TEXT(Greenleaf[[#This Row],[Order Date]],"MMM")</f>
        <v>May</v>
      </c>
      <c r="D429" s="5" t="str">
        <f>TEXT(Greenleaf[[#This Row],[Order Date]],"YYYY")</f>
        <v>2024</v>
      </c>
      <c r="E429" t="s">
        <v>2464</v>
      </c>
      <c r="F429" s="7" t="s">
        <v>1012</v>
      </c>
      <c r="G429" s="9">
        <v>1</v>
      </c>
      <c r="H429" s="11">
        <v>40</v>
      </c>
      <c r="I429" s="13">
        <v>12.59</v>
      </c>
      <c r="J429" t="s">
        <v>1097</v>
      </c>
      <c r="K429" t="s">
        <v>2557</v>
      </c>
      <c r="L429" s="7" t="s">
        <v>1414</v>
      </c>
      <c r="M429" s="7" t="s">
        <v>1425</v>
      </c>
      <c r="N429" s="14">
        <f>Greenleaf[[#This Row],[Unit Price]]*Greenleaf[[#This Row],[Quantity Sold]]</f>
        <v>40</v>
      </c>
      <c r="O429" s="13">
        <f>Greenleaf[[#This Row],[Unit Cost]]*Greenleaf[[#This Row],[Quantity Sold]]</f>
        <v>12.59</v>
      </c>
      <c r="P429" s="13">
        <f>Greenleaf[[#This Row],[ Unit  price per quantity]]-Greenleaf[[#This Row],[ Unit cost per quantity]]</f>
        <v>27.41</v>
      </c>
      <c r="Q429" s="14">
        <f>Greenleaf[[#This Row],[Quantity Sold]]*Greenleaf[[#This Row],[Unit Price]]</f>
        <v>40</v>
      </c>
    </row>
    <row r="430" spans="1:17" x14ac:dyDescent="0.25">
      <c r="A430" t="s">
        <v>1856</v>
      </c>
      <c r="B430" s="5">
        <v>45435</v>
      </c>
      <c r="C430" s="5" t="str">
        <f>TEXT(Greenleaf[[#This Row],[Order Date]],"MMM")</f>
        <v>May</v>
      </c>
      <c r="D430" s="5" t="str">
        <f>TEXT(Greenleaf[[#This Row],[Order Date]],"YYYY")</f>
        <v>2024</v>
      </c>
      <c r="E430" t="s">
        <v>2461</v>
      </c>
      <c r="F430" s="7" t="s">
        <v>1011</v>
      </c>
      <c r="G430" s="9">
        <v>3</v>
      </c>
      <c r="H430" s="11">
        <v>12</v>
      </c>
      <c r="I430" s="13">
        <v>3.18</v>
      </c>
      <c r="J430" t="s">
        <v>1122</v>
      </c>
      <c r="K430" t="s">
        <v>2531</v>
      </c>
      <c r="L430" s="7" t="s">
        <v>1414</v>
      </c>
      <c r="M430" s="7" t="s">
        <v>1423</v>
      </c>
      <c r="N430" s="14">
        <f>Greenleaf[[#This Row],[Unit Price]]*Greenleaf[[#This Row],[Quantity Sold]]</f>
        <v>36</v>
      </c>
      <c r="O430" s="13">
        <f>Greenleaf[[#This Row],[Unit Cost]]*Greenleaf[[#This Row],[Quantity Sold]]</f>
        <v>9.5400000000000009</v>
      </c>
      <c r="P430" s="13">
        <f>Greenleaf[[#This Row],[ Unit  price per quantity]]-Greenleaf[[#This Row],[ Unit cost per quantity]]</f>
        <v>26.46</v>
      </c>
      <c r="Q430" s="14">
        <f>Greenleaf[[#This Row],[Quantity Sold]]*Greenleaf[[#This Row],[Unit Price]]</f>
        <v>36</v>
      </c>
    </row>
    <row r="431" spans="1:17" x14ac:dyDescent="0.25">
      <c r="A431" t="s">
        <v>1857</v>
      </c>
      <c r="B431" s="5">
        <v>45435</v>
      </c>
      <c r="C431" s="5" t="str">
        <f>TEXT(Greenleaf[[#This Row],[Order Date]],"MMM")</f>
        <v>May</v>
      </c>
      <c r="D431" s="5" t="str">
        <f>TEXT(Greenleaf[[#This Row],[Order Date]],"YYYY")</f>
        <v>2024</v>
      </c>
      <c r="E431" t="s">
        <v>2464</v>
      </c>
      <c r="F431" s="7" t="s">
        <v>1012</v>
      </c>
      <c r="G431" s="9">
        <v>9</v>
      </c>
      <c r="H431" s="11">
        <v>40</v>
      </c>
      <c r="I431" s="13">
        <v>8.0399999999999991</v>
      </c>
      <c r="J431" t="s">
        <v>1202</v>
      </c>
      <c r="K431" t="s">
        <v>2565</v>
      </c>
      <c r="L431" s="7" t="s">
        <v>1415</v>
      </c>
      <c r="M431" s="7" t="s">
        <v>1421</v>
      </c>
      <c r="N431" s="14">
        <f>Greenleaf[[#This Row],[Unit Price]]*Greenleaf[[#This Row],[Quantity Sold]]</f>
        <v>360</v>
      </c>
      <c r="O431" s="13">
        <f>Greenleaf[[#This Row],[Unit Cost]]*Greenleaf[[#This Row],[Quantity Sold]]</f>
        <v>72.359999999999985</v>
      </c>
      <c r="P431" s="13">
        <f>Greenleaf[[#This Row],[ Unit  price per quantity]]-Greenleaf[[#This Row],[ Unit cost per quantity]]</f>
        <v>287.64</v>
      </c>
      <c r="Q431" s="14">
        <f>Greenleaf[[#This Row],[Quantity Sold]]*Greenleaf[[#This Row],[Unit Price]]</f>
        <v>360</v>
      </c>
    </row>
    <row r="432" spans="1:17" x14ac:dyDescent="0.25">
      <c r="A432" t="s">
        <v>1858</v>
      </c>
      <c r="B432" s="5">
        <v>45436</v>
      </c>
      <c r="C432" s="5" t="str">
        <f>TEXT(Greenleaf[[#This Row],[Order Date]],"MMM")</f>
        <v>May</v>
      </c>
      <c r="D432" s="5" t="str">
        <f>TEXT(Greenleaf[[#This Row],[Order Date]],"YYYY")</f>
        <v>2024</v>
      </c>
      <c r="E432" t="s">
        <v>2462</v>
      </c>
      <c r="F432" s="7" t="s">
        <v>1013</v>
      </c>
      <c r="G432" s="9">
        <v>6</v>
      </c>
      <c r="H432" s="11">
        <v>25</v>
      </c>
      <c r="I432" s="13">
        <v>6.37</v>
      </c>
      <c r="J432" t="s">
        <v>1134</v>
      </c>
      <c r="K432" t="s">
        <v>2477</v>
      </c>
      <c r="L432" s="7" t="s">
        <v>1416</v>
      </c>
      <c r="M432" s="7" t="s">
        <v>1420</v>
      </c>
      <c r="N432" s="14">
        <f>Greenleaf[[#This Row],[Unit Price]]*Greenleaf[[#This Row],[Quantity Sold]]</f>
        <v>150</v>
      </c>
      <c r="O432" s="13">
        <f>Greenleaf[[#This Row],[Unit Cost]]*Greenleaf[[#This Row],[Quantity Sold]]</f>
        <v>38.22</v>
      </c>
      <c r="P432" s="13">
        <f>Greenleaf[[#This Row],[ Unit  price per quantity]]-Greenleaf[[#This Row],[ Unit cost per quantity]]</f>
        <v>111.78</v>
      </c>
      <c r="Q432" s="14">
        <f>Greenleaf[[#This Row],[Quantity Sold]]*Greenleaf[[#This Row],[Unit Price]]</f>
        <v>150</v>
      </c>
    </row>
    <row r="433" spans="1:17" x14ac:dyDescent="0.25">
      <c r="A433" t="s">
        <v>1859</v>
      </c>
      <c r="B433" s="5">
        <v>45436</v>
      </c>
      <c r="C433" s="5" t="str">
        <f>TEXT(Greenleaf[[#This Row],[Order Date]],"MMM")</f>
        <v>May</v>
      </c>
      <c r="D433" s="5" t="str">
        <f>TEXT(Greenleaf[[#This Row],[Order Date]],"YYYY")</f>
        <v>2024</v>
      </c>
      <c r="E433" t="s">
        <v>2462</v>
      </c>
      <c r="F433" s="7" t="s">
        <v>1013</v>
      </c>
      <c r="G433" s="9">
        <v>2</v>
      </c>
      <c r="H433" s="11">
        <v>25</v>
      </c>
      <c r="I433" s="13">
        <v>9.68</v>
      </c>
      <c r="J433" t="s">
        <v>1207</v>
      </c>
      <c r="K433" t="s">
        <v>2575</v>
      </c>
      <c r="L433" s="7" t="s">
        <v>1416</v>
      </c>
      <c r="M433" s="7" t="s">
        <v>1423</v>
      </c>
      <c r="N433" s="14">
        <f>Greenleaf[[#This Row],[Unit Price]]*Greenleaf[[#This Row],[Quantity Sold]]</f>
        <v>50</v>
      </c>
      <c r="O433" s="13">
        <f>Greenleaf[[#This Row],[Unit Cost]]*Greenleaf[[#This Row],[Quantity Sold]]</f>
        <v>19.36</v>
      </c>
      <c r="P433" s="13">
        <f>Greenleaf[[#This Row],[ Unit  price per quantity]]-Greenleaf[[#This Row],[ Unit cost per quantity]]</f>
        <v>30.64</v>
      </c>
      <c r="Q433" s="14">
        <f>Greenleaf[[#This Row],[Quantity Sold]]*Greenleaf[[#This Row],[Unit Price]]</f>
        <v>50</v>
      </c>
    </row>
    <row r="434" spans="1:17" x14ac:dyDescent="0.25">
      <c r="A434" t="s">
        <v>1860</v>
      </c>
      <c r="B434" s="5">
        <v>45437</v>
      </c>
      <c r="C434" s="5" t="str">
        <f>TEXT(Greenleaf[[#This Row],[Order Date]],"MMM")</f>
        <v>May</v>
      </c>
      <c r="D434" s="5" t="str">
        <f>TEXT(Greenleaf[[#This Row],[Order Date]],"YYYY")</f>
        <v>2024</v>
      </c>
      <c r="E434" t="s">
        <v>2462</v>
      </c>
      <c r="F434" s="7" t="s">
        <v>1013</v>
      </c>
      <c r="G434" s="9">
        <v>4</v>
      </c>
      <c r="H434" s="11">
        <v>25</v>
      </c>
      <c r="I434" s="13">
        <v>6.63</v>
      </c>
      <c r="J434" t="s">
        <v>1088</v>
      </c>
      <c r="K434" t="s">
        <v>2578</v>
      </c>
      <c r="L434" s="7" t="s">
        <v>1416</v>
      </c>
      <c r="M434" s="7" t="s">
        <v>1422</v>
      </c>
      <c r="N434" s="14">
        <f>Greenleaf[[#This Row],[Unit Price]]*Greenleaf[[#This Row],[Quantity Sold]]</f>
        <v>100</v>
      </c>
      <c r="O434" s="13">
        <f>Greenleaf[[#This Row],[Unit Cost]]*Greenleaf[[#This Row],[Quantity Sold]]</f>
        <v>26.52</v>
      </c>
      <c r="P434" s="13">
        <f>Greenleaf[[#This Row],[ Unit  price per quantity]]-Greenleaf[[#This Row],[ Unit cost per quantity]]</f>
        <v>73.48</v>
      </c>
      <c r="Q434" s="14">
        <f>Greenleaf[[#This Row],[Quantity Sold]]*Greenleaf[[#This Row],[Unit Price]]</f>
        <v>100</v>
      </c>
    </row>
    <row r="435" spans="1:17" x14ac:dyDescent="0.25">
      <c r="A435" t="s">
        <v>1861</v>
      </c>
      <c r="B435" s="5">
        <v>45437</v>
      </c>
      <c r="C435" s="5" t="str">
        <f>TEXT(Greenleaf[[#This Row],[Order Date]],"MMM")</f>
        <v>May</v>
      </c>
      <c r="D435" s="5" t="str">
        <f>TEXT(Greenleaf[[#This Row],[Order Date]],"YYYY")</f>
        <v>2024</v>
      </c>
      <c r="E435" t="s">
        <v>2463</v>
      </c>
      <c r="F435" s="7" t="s">
        <v>1014</v>
      </c>
      <c r="G435" s="9">
        <v>5</v>
      </c>
      <c r="H435" s="11">
        <v>15</v>
      </c>
      <c r="I435" s="13">
        <v>5.99</v>
      </c>
      <c r="J435" t="s">
        <v>1072</v>
      </c>
      <c r="K435" t="s">
        <v>2571</v>
      </c>
      <c r="L435" s="7" t="s">
        <v>1414</v>
      </c>
      <c r="M435" s="7" t="s">
        <v>1424</v>
      </c>
      <c r="N435" s="14">
        <f>Greenleaf[[#This Row],[Unit Price]]*Greenleaf[[#This Row],[Quantity Sold]]</f>
        <v>75</v>
      </c>
      <c r="O435" s="13">
        <f>Greenleaf[[#This Row],[Unit Cost]]*Greenleaf[[#This Row],[Quantity Sold]]</f>
        <v>29.950000000000003</v>
      </c>
      <c r="P435" s="13">
        <f>Greenleaf[[#This Row],[ Unit  price per quantity]]-Greenleaf[[#This Row],[ Unit cost per quantity]]</f>
        <v>45.05</v>
      </c>
      <c r="Q435" s="14">
        <f>Greenleaf[[#This Row],[Quantity Sold]]*Greenleaf[[#This Row],[Unit Price]]</f>
        <v>75</v>
      </c>
    </row>
    <row r="436" spans="1:17" x14ac:dyDescent="0.25">
      <c r="A436" t="s">
        <v>1862</v>
      </c>
      <c r="B436" s="5">
        <v>45437</v>
      </c>
      <c r="C436" s="5" t="str">
        <f>TEXT(Greenleaf[[#This Row],[Order Date]],"MMM")</f>
        <v>May</v>
      </c>
      <c r="D436" s="5" t="str">
        <f>TEXT(Greenleaf[[#This Row],[Order Date]],"YYYY")</f>
        <v>2024</v>
      </c>
      <c r="E436" t="s">
        <v>2463</v>
      </c>
      <c r="F436" s="7" t="s">
        <v>1014</v>
      </c>
      <c r="G436" s="9">
        <v>8</v>
      </c>
      <c r="H436" s="11">
        <v>15</v>
      </c>
      <c r="I436" s="13">
        <v>4.1100000000000003</v>
      </c>
      <c r="J436" t="s">
        <v>1166</v>
      </c>
      <c r="K436" t="s">
        <v>2496</v>
      </c>
      <c r="L436" s="7" t="s">
        <v>1417</v>
      </c>
      <c r="M436" s="7" t="s">
        <v>1418</v>
      </c>
      <c r="N436" s="14">
        <f>Greenleaf[[#This Row],[Unit Price]]*Greenleaf[[#This Row],[Quantity Sold]]</f>
        <v>120</v>
      </c>
      <c r="O436" s="13">
        <f>Greenleaf[[#This Row],[Unit Cost]]*Greenleaf[[#This Row],[Quantity Sold]]</f>
        <v>32.880000000000003</v>
      </c>
      <c r="P436" s="13">
        <f>Greenleaf[[#This Row],[ Unit  price per quantity]]-Greenleaf[[#This Row],[ Unit cost per quantity]]</f>
        <v>87.12</v>
      </c>
      <c r="Q436" s="14">
        <f>Greenleaf[[#This Row],[Quantity Sold]]*Greenleaf[[#This Row],[Unit Price]]</f>
        <v>120</v>
      </c>
    </row>
    <row r="437" spans="1:17" x14ac:dyDescent="0.25">
      <c r="A437" t="s">
        <v>1863</v>
      </c>
      <c r="B437" s="5">
        <v>45438</v>
      </c>
      <c r="C437" s="5" t="str">
        <f>TEXT(Greenleaf[[#This Row],[Order Date]],"MMM")</f>
        <v>May</v>
      </c>
      <c r="D437" s="5" t="str">
        <f>TEXT(Greenleaf[[#This Row],[Order Date]],"YYYY")</f>
        <v>2024</v>
      </c>
      <c r="E437" t="s">
        <v>2460</v>
      </c>
      <c r="F437" s="7" t="s">
        <v>1015</v>
      </c>
      <c r="G437" s="9">
        <v>1</v>
      </c>
      <c r="H437" s="11">
        <v>10</v>
      </c>
      <c r="I437" s="13">
        <v>2.81</v>
      </c>
      <c r="J437" t="s">
        <v>1095</v>
      </c>
      <c r="K437" t="s">
        <v>2524</v>
      </c>
      <c r="L437" s="7" t="s">
        <v>1414</v>
      </c>
      <c r="M437" s="7" t="s">
        <v>1418</v>
      </c>
      <c r="N437" s="14">
        <f>Greenleaf[[#This Row],[Unit Price]]*Greenleaf[[#This Row],[Quantity Sold]]</f>
        <v>10</v>
      </c>
      <c r="O437" s="13">
        <f>Greenleaf[[#This Row],[Unit Cost]]*Greenleaf[[#This Row],[Quantity Sold]]</f>
        <v>2.81</v>
      </c>
      <c r="P437" s="13">
        <f>Greenleaf[[#This Row],[ Unit  price per quantity]]-Greenleaf[[#This Row],[ Unit cost per quantity]]</f>
        <v>7.1899999999999995</v>
      </c>
      <c r="Q437" s="14">
        <f>Greenleaf[[#This Row],[Quantity Sold]]*Greenleaf[[#This Row],[Unit Price]]</f>
        <v>10</v>
      </c>
    </row>
    <row r="438" spans="1:17" x14ac:dyDescent="0.25">
      <c r="A438" t="s">
        <v>1864</v>
      </c>
      <c r="B438" s="5">
        <v>45439</v>
      </c>
      <c r="C438" s="5" t="str">
        <f>TEXT(Greenleaf[[#This Row],[Order Date]],"MMM")</f>
        <v>May</v>
      </c>
      <c r="D438" s="5" t="str">
        <f>TEXT(Greenleaf[[#This Row],[Order Date]],"YYYY")</f>
        <v>2024</v>
      </c>
      <c r="E438" t="s">
        <v>2464</v>
      </c>
      <c r="F438" s="7" t="s">
        <v>1012</v>
      </c>
      <c r="G438" s="9">
        <v>5</v>
      </c>
      <c r="H438" s="11">
        <v>40</v>
      </c>
      <c r="I438" s="13">
        <v>9.7200000000000006</v>
      </c>
      <c r="J438" t="s">
        <v>1161</v>
      </c>
      <c r="K438" t="s">
        <v>2515</v>
      </c>
      <c r="L438" s="7" t="s">
        <v>1415</v>
      </c>
      <c r="M438" s="7" t="s">
        <v>1421</v>
      </c>
      <c r="N438" s="14">
        <f>Greenleaf[[#This Row],[Unit Price]]*Greenleaf[[#This Row],[Quantity Sold]]</f>
        <v>200</v>
      </c>
      <c r="O438" s="13">
        <f>Greenleaf[[#This Row],[Unit Cost]]*Greenleaf[[#This Row],[Quantity Sold]]</f>
        <v>48.6</v>
      </c>
      <c r="P438" s="13">
        <f>Greenleaf[[#This Row],[ Unit  price per quantity]]-Greenleaf[[#This Row],[ Unit cost per quantity]]</f>
        <v>151.4</v>
      </c>
      <c r="Q438" s="14">
        <f>Greenleaf[[#This Row],[Quantity Sold]]*Greenleaf[[#This Row],[Unit Price]]</f>
        <v>200</v>
      </c>
    </row>
    <row r="439" spans="1:17" x14ac:dyDescent="0.25">
      <c r="A439" t="s">
        <v>1865</v>
      </c>
      <c r="B439" s="5">
        <v>45439</v>
      </c>
      <c r="C439" s="5" t="str">
        <f>TEXT(Greenleaf[[#This Row],[Order Date]],"MMM")</f>
        <v>May</v>
      </c>
      <c r="D439" s="5" t="str">
        <f>TEXT(Greenleaf[[#This Row],[Order Date]],"YYYY")</f>
        <v>2024</v>
      </c>
      <c r="E439" t="s">
        <v>2461</v>
      </c>
      <c r="F439" s="7" t="s">
        <v>1011</v>
      </c>
      <c r="G439" s="9">
        <v>8</v>
      </c>
      <c r="H439" s="11">
        <v>12</v>
      </c>
      <c r="I439" s="13">
        <v>4.46</v>
      </c>
      <c r="J439" t="s">
        <v>1190</v>
      </c>
      <c r="K439" t="s">
        <v>2511</v>
      </c>
      <c r="L439" s="7" t="s">
        <v>1415</v>
      </c>
      <c r="M439" s="7" t="s">
        <v>1427</v>
      </c>
      <c r="N439" s="14">
        <f>Greenleaf[[#This Row],[Unit Price]]*Greenleaf[[#This Row],[Quantity Sold]]</f>
        <v>96</v>
      </c>
      <c r="O439" s="13">
        <f>Greenleaf[[#This Row],[Unit Cost]]*Greenleaf[[#This Row],[Quantity Sold]]</f>
        <v>35.68</v>
      </c>
      <c r="P439" s="13">
        <f>Greenleaf[[#This Row],[ Unit  price per quantity]]-Greenleaf[[#This Row],[ Unit cost per quantity]]</f>
        <v>60.32</v>
      </c>
      <c r="Q439" s="14">
        <f>Greenleaf[[#This Row],[Quantity Sold]]*Greenleaf[[#This Row],[Unit Price]]</f>
        <v>96</v>
      </c>
    </row>
    <row r="440" spans="1:17" x14ac:dyDescent="0.25">
      <c r="A440" t="s">
        <v>1866</v>
      </c>
      <c r="B440" s="5">
        <v>45440</v>
      </c>
      <c r="C440" s="5" t="str">
        <f>TEXT(Greenleaf[[#This Row],[Order Date]],"MMM")</f>
        <v>May</v>
      </c>
      <c r="D440" s="5" t="str">
        <f>TEXT(Greenleaf[[#This Row],[Order Date]],"YYYY")</f>
        <v>2024</v>
      </c>
      <c r="E440" t="s">
        <v>2462</v>
      </c>
      <c r="F440" s="7" t="s">
        <v>1013</v>
      </c>
      <c r="G440" s="9">
        <v>5</v>
      </c>
      <c r="H440" s="11">
        <v>25</v>
      </c>
      <c r="I440" s="13">
        <v>7.88</v>
      </c>
      <c r="J440" t="s">
        <v>1131</v>
      </c>
      <c r="K440" t="s">
        <v>2479</v>
      </c>
      <c r="L440" s="7" t="s">
        <v>1414</v>
      </c>
      <c r="M440" s="7" t="s">
        <v>1421</v>
      </c>
      <c r="N440" s="14">
        <f>Greenleaf[[#This Row],[Unit Price]]*Greenleaf[[#This Row],[Quantity Sold]]</f>
        <v>125</v>
      </c>
      <c r="O440" s="13">
        <f>Greenleaf[[#This Row],[Unit Cost]]*Greenleaf[[#This Row],[Quantity Sold]]</f>
        <v>39.4</v>
      </c>
      <c r="P440" s="13">
        <f>Greenleaf[[#This Row],[ Unit  price per quantity]]-Greenleaf[[#This Row],[ Unit cost per quantity]]</f>
        <v>85.6</v>
      </c>
      <c r="Q440" s="14">
        <f>Greenleaf[[#This Row],[Quantity Sold]]*Greenleaf[[#This Row],[Unit Price]]</f>
        <v>125</v>
      </c>
    </row>
    <row r="441" spans="1:17" x14ac:dyDescent="0.25">
      <c r="A441" t="s">
        <v>1867</v>
      </c>
      <c r="B441" s="5">
        <v>45440</v>
      </c>
      <c r="C441" s="5" t="str">
        <f>TEXT(Greenleaf[[#This Row],[Order Date]],"MMM")</f>
        <v>May</v>
      </c>
      <c r="D441" s="5" t="str">
        <f>TEXT(Greenleaf[[#This Row],[Order Date]],"YYYY")</f>
        <v>2024</v>
      </c>
      <c r="E441" t="s">
        <v>2463</v>
      </c>
      <c r="F441" s="7" t="s">
        <v>1014</v>
      </c>
      <c r="G441" s="9">
        <v>1</v>
      </c>
      <c r="H441" s="11">
        <v>15</v>
      </c>
      <c r="I441" s="13">
        <v>4.3499999999999996</v>
      </c>
      <c r="J441" t="s">
        <v>1175</v>
      </c>
      <c r="K441" t="s">
        <v>2518</v>
      </c>
      <c r="L441" s="7" t="s">
        <v>1414</v>
      </c>
      <c r="M441" s="7" t="s">
        <v>1423</v>
      </c>
      <c r="N441" s="14">
        <f>Greenleaf[[#This Row],[Unit Price]]*Greenleaf[[#This Row],[Quantity Sold]]</f>
        <v>15</v>
      </c>
      <c r="O441" s="13">
        <f>Greenleaf[[#This Row],[Unit Cost]]*Greenleaf[[#This Row],[Quantity Sold]]</f>
        <v>4.3499999999999996</v>
      </c>
      <c r="P441" s="13">
        <f>Greenleaf[[#This Row],[ Unit  price per quantity]]-Greenleaf[[#This Row],[ Unit cost per quantity]]</f>
        <v>10.65</v>
      </c>
      <c r="Q441" s="14">
        <f>Greenleaf[[#This Row],[Quantity Sold]]*Greenleaf[[#This Row],[Unit Price]]</f>
        <v>15</v>
      </c>
    </row>
    <row r="442" spans="1:17" x14ac:dyDescent="0.25">
      <c r="A442" t="s">
        <v>1868</v>
      </c>
      <c r="B442" s="5">
        <v>45440</v>
      </c>
      <c r="C442" s="5" t="str">
        <f>TEXT(Greenleaf[[#This Row],[Order Date]],"MMM")</f>
        <v>May</v>
      </c>
      <c r="D442" s="5" t="str">
        <f>TEXT(Greenleaf[[#This Row],[Order Date]],"YYYY")</f>
        <v>2024</v>
      </c>
      <c r="E442" t="s">
        <v>2462</v>
      </c>
      <c r="F442" s="7" t="s">
        <v>1013</v>
      </c>
      <c r="G442" s="9">
        <v>2</v>
      </c>
      <c r="H442" s="11">
        <v>25</v>
      </c>
      <c r="I442" s="13">
        <v>6.85</v>
      </c>
      <c r="J442" t="s">
        <v>1110</v>
      </c>
      <c r="K442" t="s">
        <v>2516</v>
      </c>
      <c r="L442" s="7" t="s">
        <v>1416</v>
      </c>
      <c r="M442" s="7" t="s">
        <v>1421</v>
      </c>
      <c r="N442" s="14">
        <f>Greenleaf[[#This Row],[Unit Price]]*Greenleaf[[#This Row],[Quantity Sold]]</f>
        <v>50</v>
      </c>
      <c r="O442" s="13">
        <f>Greenleaf[[#This Row],[Unit Cost]]*Greenleaf[[#This Row],[Quantity Sold]]</f>
        <v>13.7</v>
      </c>
      <c r="P442" s="13">
        <f>Greenleaf[[#This Row],[ Unit  price per quantity]]-Greenleaf[[#This Row],[ Unit cost per quantity]]</f>
        <v>36.299999999999997</v>
      </c>
      <c r="Q442" s="14">
        <f>Greenleaf[[#This Row],[Quantity Sold]]*Greenleaf[[#This Row],[Unit Price]]</f>
        <v>50</v>
      </c>
    </row>
    <row r="443" spans="1:17" x14ac:dyDescent="0.25">
      <c r="A443" t="s">
        <v>1869</v>
      </c>
      <c r="B443" s="5">
        <v>45440</v>
      </c>
      <c r="C443" s="5" t="str">
        <f>TEXT(Greenleaf[[#This Row],[Order Date]],"MMM")</f>
        <v>May</v>
      </c>
      <c r="D443" s="5" t="str">
        <f>TEXT(Greenleaf[[#This Row],[Order Date]],"YYYY")</f>
        <v>2024</v>
      </c>
      <c r="E443" t="s">
        <v>2461</v>
      </c>
      <c r="F443" s="7" t="s">
        <v>1011</v>
      </c>
      <c r="G443" s="9">
        <v>9</v>
      </c>
      <c r="H443" s="11">
        <v>12</v>
      </c>
      <c r="I443" s="13">
        <v>4.32</v>
      </c>
      <c r="J443" t="s">
        <v>1196</v>
      </c>
      <c r="K443" t="s">
        <v>2582</v>
      </c>
      <c r="L443" s="7" t="s">
        <v>1414</v>
      </c>
      <c r="M443" s="7" t="s">
        <v>1420</v>
      </c>
      <c r="N443" s="14">
        <f>Greenleaf[[#This Row],[Unit Price]]*Greenleaf[[#This Row],[Quantity Sold]]</f>
        <v>108</v>
      </c>
      <c r="O443" s="13">
        <f>Greenleaf[[#This Row],[Unit Cost]]*Greenleaf[[#This Row],[Quantity Sold]]</f>
        <v>38.880000000000003</v>
      </c>
      <c r="P443" s="13">
        <f>Greenleaf[[#This Row],[ Unit  price per quantity]]-Greenleaf[[#This Row],[ Unit cost per quantity]]</f>
        <v>69.12</v>
      </c>
      <c r="Q443" s="14">
        <f>Greenleaf[[#This Row],[Quantity Sold]]*Greenleaf[[#This Row],[Unit Price]]</f>
        <v>108</v>
      </c>
    </row>
    <row r="444" spans="1:17" x14ac:dyDescent="0.25">
      <c r="A444" t="s">
        <v>1870</v>
      </c>
      <c r="B444" s="5">
        <v>45440</v>
      </c>
      <c r="C444" s="5" t="str">
        <f>TEXT(Greenleaf[[#This Row],[Order Date]],"MMM")</f>
        <v>May</v>
      </c>
      <c r="D444" s="5" t="str">
        <f>TEXT(Greenleaf[[#This Row],[Order Date]],"YYYY")</f>
        <v>2024</v>
      </c>
      <c r="E444" t="s">
        <v>2463</v>
      </c>
      <c r="F444" s="7" t="s">
        <v>1014</v>
      </c>
      <c r="G444" s="9">
        <v>4</v>
      </c>
      <c r="H444" s="11">
        <v>15</v>
      </c>
      <c r="I444" s="13">
        <v>5.41</v>
      </c>
      <c r="J444" t="s">
        <v>1079</v>
      </c>
      <c r="K444" t="s">
        <v>2525</v>
      </c>
      <c r="L444" s="7" t="s">
        <v>1416</v>
      </c>
      <c r="M444" s="7" t="s">
        <v>1420</v>
      </c>
      <c r="N444" s="14">
        <f>Greenleaf[[#This Row],[Unit Price]]*Greenleaf[[#This Row],[Quantity Sold]]</f>
        <v>60</v>
      </c>
      <c r="O444" s="13">
        <f>Greenleaf[[#This Row],[Unit Cost]]*Greenleaf[[#This Row],[Quantity Sold]]</f>
        <v>21.64</v>
      </c>
      <c r="P444" s="13">
        <f>Greenleaf[[#This Row],[ Unit  price per quantity]]-Greenleaf[[#This Row],[ Unit cost per quantity]]</f>
        <v>38.36</v>
      </c>
      <c r="Q444" s="14">
        <f>Greenleaf[[#This Row],[Quantity Sold]]*Greenleaf[[#This Row],[Unit Price]]</f>
        <v>60</v>
      </c>
    </row>
    <row r="445" spans="1:17" x14ac:dyDescent="0.25">
      <c r="A445" t="s">
        <v>1871</v>
      </c>
      <c r="B445" s="5">
        <v>45441</v>
      </c>
      <c r="C445" s="5" t="str">
        <f>TEXT(Greenleaf[[#This Row],[Order Date]],"MMM")</f>
        <v>May</v>
      </c>
      <c r="D445" s="5" t="str">
        <f>TEXT(Greenleaf[[#This Row],[Order Date]],"YYYY")</f>
        <v>2024</v>
      </c>
      <c r="E445" t="s">
        <v>2464</v>
      </c>
      <c r="F445" s="7" t="s">
        <v>1012</v>
      </c>
      <c r="G445" s="9">
        <v>6</v>
      </c>
      <c r="H445" s="11">
        <v>40</v>
      </c>
      <c r="I445" s="13">
        <v>9.43</v>
      </c>
      <c r="J445" t="s">
        <v>1072</v>
      </c>
      <c r="K445" t="s">
        <v>2571</v>
      </c>
      <c r="L445" s="7" t="s">
        <v>1414</v>
      </c>
      <c r="M445" s="7" t="s">
        <v>1419</v>
      </c>
      <c r="N445" s="14">
        <f>Greenleaf[[#This Row],[Unit Price]]*Greenleaf[[#This Row],[Quantity Sold]]</f>
        <v>240</v>
      </c>
      <c r="O445" s="13">
        <f>Greenleaf[[#This Row],[Unit Cost]]*Greenleaf[[#This Row],[Quantity Sold]]</f>
        <v>56.58</v>
      </c>
      <c r="P445" s="13">
        <f>Greenleaf[[#This Row],[ Unit  price per quantity]]-Greenleaf[[#This Row],[ Unit cost per quantity]]</f>
        <v>183.42000000000002</v>
      </c>
      <c r="Q445" s="14">
        <f>Greenleaf[[#This Row],[Quantity Sold]]*Greenleaf[[#This Row],[Unit Price]]</f>
        <v>240</v>
      </c>
    </row>
    <row r="446" spans="1:17" x14ac:dyDescent="0.25">
      <c r="A446" t="s">
        <v>1872</v>
      </c>
      <c r="B446" s="5">
        <v>45441</v>
      </c>
      <c r="C446" s="5" t="str">
        <f>TEXT(Greenleaf[[#This Row],[Order Date]],"MMM")</f>
        <v>May</v>
      </c>
      <c r="D446" s="5" t="str">
        <f>TEXT(Greenleaf[[#This Row],[Order Date]],"YYYY")</f>
        <v>2024</v>
      </c>
      <c r="E446" t="s">
        <v>2464</v>
      </c>
      <c r="F446" s="7" t="s">
        <v>1012</v>
      </c>
      <c r="G446" s="9">
        <v>4</v>
      </c>
      <c r="H446" s="11">
        <v>40</v>
      </c>
      <c r="I446" s="13">
        <v>13.02</v>
      </c>
      <c r="J446" t="s">
        <v>1039</v>
      </c>
      <c r="K446" t="s">
        <v>2472</v>
      </c>
      <c r="L446" s="7" t="s">
        <v>1414</v>
      </c>
      <c r="M446" s="7" t="s">
        <v>1418</v>
      </c>
      <c r="N446" s="14">
        <f>Greenleaf[[#This Row],[Unit Price]]*Greenleaf[[#This Row],[Quantity Sold]]</f>
        <v>160</v>
      </c>
      <c r="O446" s="13">
        <f>Greenleaf[[#This Row],[Unit Cost]]*Greenleaf[[#This Row],[Quantity Sold]]</f>
        <v>52.08</v>
      </c>
      <c r="P446" s="13">
        <f>Greenleaf[[#This Row],[ Unit  price per quantity]]-Greenleaf[[#This Row],[ Unit cost per quantity]]</f>
        <v>107.92</v>
      </c>
      <c r="Q446" s="14">
        <f>Greenleaf[[#This Row],[Quantity Sold]]*Greenleaf[[#This Row],[Unit Price]]</f>
        <v>160</v>
      </c>
    </row>
    <row r="447" spans="1:17" x14ac:dyDescent="0.25">
      <c r="A447" t="s">
        <v>1873</v>
      </c>
      <c r="B447" s="5">
        <v>45442</v>
      </c>
      <c r="C447" s="5" t="str">
        <f>TEXT(Greenleaf[[#This Row],[Order Date]],"MMM")</f>
        <v>May</v>
      </c>
      <c r="D447" s="5" t="str">
        <f>TEXT(Greenleaf[[#This Row],[Order Date]],"YYYY")</f>
        <v>2024</v>
      </c>
      <c r="E447" t="s">
        <v>2463</v>
      </c>
      <c r="F447" s="7" t="s">
        <v>1014</v>
      </c>
      <c r="G447" s="9">
        <v>1</v>
      </c>
      <c r="H447" s="11">
        <v>15</v>
      </c>
      <c r="I447" s="13">
        <v>3.05</v>
      </c>
      <c r="J447" t="s">
        <v>1079</v>
      </c>
      <c r="K447" t="s">
        <v>2525</v>
      </c>
      <c r="L447" s="7" t="s">
        <v>1414</v>
      </c>
      <c r="M447" s="7" t="s">
        <v>1422</v>
      </c>
      <c r="N447" s="14">
        <f>Greenleaf[[#This Row],[Unit Price]]*Greenleaf[[#This Row],[Quantity Sold]]</f>
        <v>15</v>
      </c>
      <c r="O447" s="13">
        <f>Greenleaf[[#This Row],[Unit Cost]]*Greenleaf[[#This Row],[Quantity Sold]]</f>
        <v>3.05</v>
      </c>
      <c r="P447" s="13">
        <f>Greenleaf[[#This Row],[ Unit  price per quantity]]-Greenleaf[[#This Row],[ Unit cost per quantity]]</f>
        <v>11.95</v>
      </c>
      <c r="Q447" s="14">
        <f>Greenleaf[[#This Row],[Quantity Sold]]*Greenleaf[[#This Row],[Unit Price]]</f>
        <v>15</v>
      </c>
    </row>
    <row r="448" spans="1:17" x14ac:dyDescent="0.25">
      <c r="A448" t="s">
        <v>1874</v>
      </c>
      <c r="B448" s="5">
        <v>45442</v>
      </c>
      <c r="C448" s="5" t="str">
        <f>TEXT(Greenleaf[[#This Row],[Order Date]],"MMM")</f>
        <v>May</v>
      </c>
      <c r="D448" s="5" t="str">
        <f>TEXT(Greenleaf[[#This Row],[Order Date]],"YYYY")</f>
        <v>2024</v>
      </c>
      <c r="E448" t="s">
        <v>2461</v>
      </c>
      <c r="F448" s="7" t="s">
        <v>1011</v>
      </c>
      <c r="G448" s="9">
        <v>7</v>
      </c>
      <c r="H448" s="11">
        <v>12</v>
      </c>
      <c r="I448" s="13">
        <v>4.2</v>
      </c>
      <c r="J448" t="s">
        <v>1096</v>
      </c>
      <c r="K448" t="s">
        <v>2526</v>
      </c>
      <c r="L448" s="7" t="s">
        <v>1414</v>
      </c>
      <c r="M448" s="7" t="s">
        <v>1424</v>
      </c>
      <c r="N448" s="14">
        <f>Greenleaf[[#This Row],[Unit Price]]*Greenleaf[[#This Row],[Quantity Sold]]</f>
        <v>84</v>
      </c>
      <c r="O448" s="13">
        <f>Greenleaf[[#This Row],[Unit Cost]]*Greenleaf[[#This Row],[Quantity Sold]]</f>
        <v>29.400000000000002</v>
      </c>
      <c r="P448" s="13">
        <f>Greenleaf[[#This Row],[ Unit  price per quantity]]-Greenleaf[[#This Row],[ Unit cost per quantity]]</f>
        <v>54.599999999999994</v>
      </c>
      <c r="Q448" s="14">
        <f>Greenleaf[[#This Row],[Quantity Sold]]*Greenleaf[[#This Row],[Unit Price]]</f>
        <v>84</v>
      </c>
    </row>
    <row r="449" spans="1:17" x14ac:dyDescent="0.25">
      <c r="A449" t="s">
        <v>1875</v>
      </c>
      <c r="B449" s="5">
        <v>45443</v>
      </c>
      <c r="C449" s="5" t="str">
        <f>TEXT(Greenleaf[[#This Row],[Order Date]],"MMM")</f>
        <v>May</v>
      </c>
      <c r="D449" s="5" t="str">
        <f>TEXT(Greenleaf[[#This Row],[Order Date]],"YYYY")</f>
        <v>2024</v>
      </c>
      <c r="E449" t="s">
        <v>2464</v>
      </c>
      <c r="F449" s="7" t="s">
        <v>1012</v>
      </c>
      <c r="G449" s="9">
        <v>3</v>
      </c>
      <c r="H449" s="11">
        <v>40</v>
      </c>
      <c r="I449" s="13">
        <v>14.46</v>
      </c>
      <c r="J449" t="s">
        <v>1131</v>
      </c>
      <c r="K449" t="s">
        <v>2479</v>
      </c>
      <c r="L449" s="7" t="s">
        <v>1414</v>
      </c>
      <c r="M449" s="7" t="s">
        <v>1424</v>
      </c>
      <c r="N449" s="14">
        <f>Greenleaf[[#This Row],[Unit Price]]*Greenleaf[[#This Row],[Quantity Sold]]</f>
        <v>120</v>
      </c>
      <c r="O449" s="13">
        <f>Greenleaf[[#This Row],[Unit Cost]]*Greenleaf[[#This Row],[Quantity Sold]]</f>
        <v>43.38</v>
      </c>
      <c r="P449" s="13">
        <f>Greenleaf[[#This Row],[ Unit  price per quantity]]-Greenleaf[[#This Row],[ Unit cost per quantity]]</f>
        <v>76.62</v>
      </c>
      <c r="Q449" s="14">
        <f>Greenleaf[[#This Row],[Quantity Sold]]*Greenleaf[[#This Row],[Unit Price]]</f>
        <v>120</v>
      </c>
    </row>
    <row r="450" spans="1:17" x14ac:dyDescent="0.25">
      <c r="A450" t="s">
        <v>1876</v>
      </c>
      <c r="B450" s="5">
        <v>45443</v>
      </c>
      <c r="C450" s="5" t="str">
        <f>TEXT(Greenleaf[[#This Row],[Order Date]],"MMM")</f>
        <v>May</v>
      </c>
      <c r="D450" s="5" t="str">
        <f>TEXT(Greenleaf[[#This Row],[Order Date]],"YYYY")</f>
        <v>2024</v>
      </c>
      <c r="E450" t="s">
        <v>2461</v>
      </c>
      <c r="F450" s="7" t="s">
        <v>1011</v>
      </c>
      <c r="G450" s="9">
        <v>10</v>
      </c>
      <c r="H450" s="11">
        <v>12</v>
      </c>
      <c r="I450" s="13">
        <v>4.5999999999999996</v>
      </c>
      <c r="J450" t="s">
        <v>1114</v>
      </c>
      <c r="K450" t="s">
        <v>2520</v>
      </c>
      <c r="L450" s="7" t="s">
        <v>1414</v>
      </c>
      <c r="M450" s="7" t="s">
        <v>1418</v>
      </c>
      <c r="N450" s="14">
        <f>Greenleaf[[#This Row],[Unit Price]]*Greenleaf[[#This Row],[Quantity Sold]]</f>
        <v>120</v>
      </c>
      <c r="O450" s="13">
        <f>Greenleaf[[#This Row],[Unit Cost]]*Greenleaf[[#This Row],[Quantity Sold]]</f>
        <v>46</v>
      </c>
      <c r="P450" s="13">
        <f>Greenleaf[[#This Row],[ Unit  price per quantity]]-Greenleaf[[#This Row],[ Unit cost per quantity]]</f>
        <v>74</v>
      </c>
      <c r="Q450" s="14">
        <f>Greenleaf[[#This Row],[Quantity Sold]]*Greenleaf[[#This Row],[Unit Price]]</f>
        <v>120</v>
      </c>
    </row>
    <row r="451" spans="1:17" x14ac:dyDescent="0.25">
      <c r="A451" t="s">
        <v>1877</v>
      </c>
      <c r="B451" s="5">
        <v>45445</v>
      </c>
      <c r="C451" s="5" t="str">
        <f>TEXT(Greenleaf[[#This Row],[Order Date]],"MMM")</f>
        <v>Jun</v>
      </c>
      <c r="D451" s="5" t="str">
        <f>TEXT(Greenleaf[[#This Row],[Order Date]],"YYYY")</f>
        <v>2024</v>
      </c>
      <c r="E451" t="s">
        <v>2461</v>
      </c>
      <c r="F451" s="7" t="s">
        <v>1011</v>
      </c>
      <c r="G451" s="9">
        <v>4</v>
      </c>
      <c r="H451" s="11">
        <v>12</v>
      </c>
      <c r="I451" s="13">
        <v>4.3899999999999997</v>
      </c>
      <c r="J451" t="s">
        <v>1075</v>
      </c>
      <c r="K451" t="s">
        <v>2505</v>
      </c>
      <c r="L451" s="7" t="s">
        <v>1416</v>
      </c>
      <c r="M451" s="7" t="s">
        <v>1425</v>
      </c>
      <c r="N451" s="14">
        <f>Greenleaf[[#This Row],[Unit Price]]*Greenleaf[[#This Row],[Quantity Sold]]</f>
        <v>48</v>
      </c>
      <c r="O451" s="13">
        <f>Greenleaf[[#This Row],[Unit Cost]]*Greenleaf[[#This Row],[Quantity Sold]]</f>
        <v>17.559999999999999</v>
      </c>
      <c r="P451" s="13">
        <f>Greenleaf[[#This Row],[ Unit  price per quantity]]-Greenleaf[[#This Row],[ Unit cost per quantity]]</f>
        <v>30.44</v>
      </c>
      <c r="Q451" s="14">
        <f>Greenleaf[[#This Row],[Quantity Sold]]*Greenleaf[[#This Row],[Unit Price]]</f>
        <v>48</v>
      </c>
    </row>
    <row r="452" spans="1:17" x14ac:dyDescent="0.25">
      <c r="A452" t="s">
        <v>1878</v>
      </c>
      <c r="B452" s="5">
        <v>45445</v>
      </c>
      <c r="C452" s="5" t="str">
        <f>TEXT(Greenleaf[[#This Row],[Order Date]],"MMM")</f>
        <v>Jun</v>
      </c>
      <c r="D452" s="5" t="str">
        <f>TEXT(Greenleaf[[#This Row],[Order Date]],"YYYY")</f>
        <v>2024</v>
      </c>
      <c r="E452" t="s">
        <v>2464</v>
      </c>
      <c r="F452" s="7" t="s">
        <v>1012</v>
      </c>
      <c r="G452" s="9">
        <v>10</v>
      </c>
      <c r="H452" s="11">
        <v>40</v>
      </c>
      <c r="I452" s="13">
        <v>9.85</v>
      </c>
      <c r="J452" t="s">
        <v>1134</v>
      </c>
      <c r="K452" t="s">
        <v>2477</v>
      </c>
      <c r="L452" s="7" t="s">
        <v>1414</v>
      </c>
      <c r="M452" s="7" t="s">
        <v>1418</v>
      </c>
      <c r="N452" s="14">
        <f>Greenleaf[[#This Row],[Unit Price]]*Greenleaf[[#This Row],[Quantity Sold]]</f>
        <v>400</v>
      </c>
      <c r="O452" s="13">
        <f>Greenleaf[[#This Row],[Unit Cost]]*Greenleaf[[#This Row],[Quantity Sold]]</f>
        <v>98.5</v>
      </c>
      <c r="P452" s="13">
        <f>Greenleaf[[#This Row],[ Unit  price per quantity]]-Greenleaf[[#This Row],[ Unit cost per quantity]]</f>
        <v>301.5</v>
      </c>
      <c r="Q452" s="14">
        <f>Greenleaf[[#This Row],[Quantity Sold]]*Greenleaf[[#This Row],[Unit Price]]</f>
        <v>400</v>
      </c>
    </row>
    <row r="453" spans="1:17" x14ac:dyDescent="0.25">
      <c r="A453" t="s">
        <v>1879</v>
      </c>
      <c r="B453" s="5">
        <v>45446</v>
      </c>
      <c r="C453" s="5" t="str">
        <f>TEXT(Greenleaf[[#This Row],[Order Date]],"MMM")</f>
        <v>Jun</v>
      </c>
      <c r="D453" s="5" t="str">
        <f>TEXT(Greenleaf[[#This Row],[Order Date]],"YYYY")</f>
        <v>2024</v>
      </c>
      <c r="E453" t="s">
        <v>2461</v>
      </c>
      <c r="F453" s="7" t="s">
        <v>1011</v>
      </c>
      <c r="G453" s="9">
        <v>5</v>
      </c>
      <c r="H453" s="11">
        <v>12</v>
      </c>
      <c r="I453" s="13">
        <v>3.43</v>
      </c>
      <c r="J453" t="s">
        <v>1131</v>
      </c>
      <c r="K453" t="s">
        <v>2479</v>
      </c>
      <c r="L453" s="7" t="s">
        <v>1414</v>
      </c>
      <c r="M453" s="7" t="s">
        <v>1427</v>
      </c>
      <c r="N453" s="14">
        <f>Greenleaf[[#This Row],[Unit Price]]*Greenleaf[[#This Row],[Quantity Sold]]</f>
        <v>60</v>
      </c>
      <c r="O453" s="13">
        <f>Greenleaf[[#This Row],[Unit Cost]]*Greenleaf[[#This Row],[Quantity Sold]]</f>
        <v>17.150000000000002</v>
      </c>
      <c r="P453" s="13">
        <f>Greenleaf[[#This Row],[ Unit  price per quantity]]-Greenleaf[[#This Row],[ Unit cost per quantity]]</f>
        <v>42.849999999999994</v>
      </c>
      <c r="Q453" s="14">
        <f>Greenleaf[[#This Row],[Quantity Sold]]*Greenleaf[[#This Row],[Unit Price]]</f>
        <v>60</v>
      </c>
    </row>
    <row r="454" spans="1:17" x14ac:dyDescent="0.25">
      <c r="A454" t="s">
        <v>1880</v>
      </c>
      <c r="B454" s="5">
        <v>45446</v>
      </c>
      <c r="C454" s="5" t="str">
        <f>TEXT(Greenleaf[[#This Row],[Order Date]],"MMM")</f>
        <v>Jun</v>
      </c>
      <c r="D454" s="5" t="str">
        <f>TEXT(Greenleaf[[#This Row],[Order Date]],"YYYY")</f>
        <v>2024</v>
      </c>
      <c r="E454" t="s">
        <v>2460</v>
      </c>
      <c r="F454" s="7" t="s">
        <v>1015</v>
      </c>
      <c r="G454" s="9">
        <v>5</v>
      </c>
      <c r="H454" s="11">
        <v>10</v>
      </c>
      <c r="I454" s="13">
        <v>3.46</v>
      </c>
      <c r="J454" t="s">
        <v>1152</v>
      </c>
      <c r="K454" t="s">
        <v>2544</v>
      </c>
      <c r="L454" s="7" t="s">
        <v>1414</v>
      </c>
      <c r="M454" s="7" t="s">
        <v>1418</v>
      </c>
      <c r="N454" s="14">
        <f>Greenleaf[[#This Row],[Unit Price]]*Greenleaf[[#This Row],[Quantity Sold]]</f>
        <v>50</v>
      </c>
      <c r="O454" s="13">
        <f>Greenleaf[[#This Row],[Unit Cost]]*Greenleaf[[#This Row],[Quantity Sold]]</f>
        <v>17.3</v>
      </c>
      <c r="P454" s="13">
        <f>Greenleaf[[#This Row],[ Unit  price per quantity]]-Greenleaf[[#This Row],[ Unit cost per quantity]]</f>
        <v>32.700000000000003</v>
      </c>
      <c r="Q454" s="14">
        <f>Greenleaf[[#This Row],[Quantity Sold]]*Greenleaf[[#This Row],[Unit Price]]</f>
        <v>50</v>
      </c>
    </row>
    <row r="455" spans="1:17" x14ac:dyDescent="0.25">
      <c r="A455" t="s">
        <v>1881</v>
      </c>
      <c r="B455" s="5">
        <v>45446</v>
      </c>
      <c r="C455" s="5" t="str">
        <f>TEXT(Greenleaf[[#This Row],[Order Date]],"MMM")</f>
        <v>Jun</v>
      </c>
      <c r="D455" s="5" t="str">
        <f>TEXT(Greenleaf[[#This Row],[Order Date]],"YYYY")</f>
        <v>2024</v>
      </c>
      <c r="E455" t="s">
        <v>2462</v>
      </c>
      <c r="F455" s="7" t="s">
        <v>1013</v>
      </c>
      <c r="G455" s="9">
        <v>1</v>
      </c>
      <c r="H455" s="11">
        <v>25</v>
      </c>
      <c r="I455" s="13">
        <v>9.2100000000000009</v>
      </c>
      <c r="J455" t="s">
        <v>1092</v>
      </c>
      <c r="K455" t="s">
        <v>2547</v>
      </c>
      <c r="L455" s="7" t="s">
        <v>1416</v>
      </c>
      <c r="M455" s="7" t="s">
        <v>1418</v>
      </c>
      <c r="N455" s="14">
        <f>Greenleaf[[#This Row],[Unit Price]]*Greenleaf[[#This Row],[Quantity Sold]]</f>
        <v>25</v>
      </c>
      <c r="O455" s="13">
        <f>Greenleaf[[#This Row],[Unit Cost]]*Greenleaf[[#This Row],[Quantity Sold]]</f>
        <v>9.2100000000000009</v>
      </c>
      <c r="P455" s="13">
        <f>Greenleaf[[#This Row],[ Unit  price per quantity]]-Greenleaf[[#This Row],[ Unit cost per quantity]]</f>
        <v>15.79</v>
      </c>
      <c r="Q455" s="14">
        <f>Greenleaf[[#This Row],[Quantity Sold]]*Greenleaf[[#This Row],[Unit Price]]</f>
        <v>25</v>
      </c>
    </row>
    <row r="456" spans="1:17" x14ac:dyDescent="0.25">
      <c r="A456" t="s">
        <v>1882</v>
      </c>
      <c r="B456" s="5">
        <v>45446</v>
      </c>
      <c r="C456" s="5" t="str">
        <f>TEXT(Greenleaf[[#This Row],[Order Date]],"MMM")</f>
        <v>Jun</v>
      </c>
      <c r="D456" s="5" t="str">
        <f>TEXT(Greenleaf[[#This Row],[Order Date]],"YYYY")</f>
        <v>2024</v>
      </c>
      <c r="E456" t="s">
        <v>2461</v>
      </c>
      <c r="F456" s="7" t="s">
        <v>1011</v>
      </c>
      <c r="G456" s="9">
        <v>7</v>
      </c>
      <c r="H456" s="11">
        <v>12</v>
      </c>
      <c r="I456" s="13">
        <v>3.5</v>
      </c>
      <c r="J456" t="s">
        <v>1069</v>
      </c>
      <c r="K456" t="s">
        <v>2471</v>
      </c>
      <c r="L456" s="7" t="s">
        <v>1414</v>
      </c>
      <c r="M456" s="7" t="s">
        <v>1423</v>
      </c>
      <c r="N456" s="14">
        <f>Greenleaf[[#This Row],[Unit Price]]*Greenleaf[[#This Row],[Quantity Sold]]</f>
        <v>84</v>
      </c>
      <c r="O456" s="13">
        <f>Greenleaf[[#This Row],[Unit Cost]]*Greenleaf[[#This Row],[Quantity Sold]]</f>
        <v>24.5</v>
      </c>
      <c r="P456" s="13">
        <f>Greenleaf[[#This Row],[ Unit  price per quantity]]-Greenleaf[[#This Row],[ Unit cost per quantity]]</f>
        <v>59.5</v>
      </c>
      <c r="Q456" s="14">
        <f>Greenleaf[[#This Row],[Quantity Sold]]*Greenleaf[[#This Row],[Unit Price]]</f>
        <v>84</v>
      </c>
    </row>
    <row r="457" spans="1:17" x14ac:dyDescent="0.25">
      <c r="A457" t="s">
        <v>1883</v>
      </c>
      <c r="B457" s="5">
        <v>45446</v>
      </c>
      <c r="C457" s="5" t="str">
        <f>TEXT(Greenleaf[[#This Row],[Order Date]],"MMM")</f>
        <v>Jun</v>
      </c>
      <c r="D457" s="5" t="str">
        <f>TEXT(Greenleaf[[#This Row],[Order Date]],"YYYY")</f>
        <v>2024</v>
      </c>
      <c r="E457" t="s">
        <v>2463</v>
      </c>
      <c r="F457" s="7" t="s">
        <v>1014</v>
      </c>
      <c r="G457" s="9">
        <v>6</v>
      </c>
      <c r="H457" s="11">
        <v>15</v>
      </c>
      <c r="I457" s="13">
        <v>5.4</v>
      </c>
      <c r="J457" t="s">
        <v>1155</v>
      </c>
      <c r="K457" t="s">
        <v>2583</v>
      </c>
      <c r="L457" s="7" t="s">
        <v>1414</v>
      </c>
      <c r="M457" s="7" t="s">
        <v>1418</v>
      </c>
      <c r="N457" s="14">
        <f>Greenleaf[[#This Row],[Unit Price]]*Greenleaf[[#This Row],[Quantity Sold]]</f>
        <v>90</v>
      </c>
      <c r="O457" s="13">
        <f>Greenleaf[[#This Row],[Unit Cost]]*Greenleaf[[#This Row],[Quantity Sold]]</f>
        <v>32.400000000000006</v>
      </c>
      <c r="P457" s="13">
        <f>Greenleaf[[#This Row],[ Unit  price per quantity]]-Greenleaf[[#This Row],[ Unit cost per quantity]]</f>
        <v>57.599999999999994</v>
      </c>
      <c r="Q457" s="14">
        <f>Greenleaf[[#This Row],[Quantity Sold]]*Greenleaf[[#This Row],[Unit Price]]</f>
        <v>90</v>
      </c>
    </row>
    <row r="458" spans="1:17" x14ac:dyDescent="0.25">
      <c r="A458" t="s">
        <v>1884</v>
      </c>
      <c r="B458" s="5">
        <v>45447</v>
      </c>
      <c r="C458" s="5" t="str">
        <f>TEXT(Greenleaf[[#This Row],[Order Date]],"MMM")</f>
        <v>Jun</v>
      </c>
      <c r="D458" s="5" t="str">
        <f>TEXT(Greenleaf[[#This Row],[Order Date]],"YYYY")</f>
        <v>2024</v>
      </c>
      <c r="E458" t="s">
        <v>2462</v>
      </c>
      <c r="F458" s="7" t="s">
        <v>1013</v>
      </c>
      <c r="G458" s="9">
        <v>6</v>
      </c>
      <c r="H458" s="11">
        <v>25</v>
      </c>
      <c r="I458" s="13">
        <v>6.04</v>
      </c>
      <c r="J458" t="s">
        <v>1030</v>
      </c>
      <c r="K458" t="s">
        <v>2496</v>
      </c>
      <c r="L458" s="7" t="s">
        <v>1414</v>
      </c>
      <c r="M458" s="7" t="s">
        <v>1426</v>
      </c>
      <c r="N458" s="14">
        <f>Greenleaf[[#This Row],[Unit Price]]*Greenleaf[[#This Row],[Quantity Sold]]</f>
        <v>150</v>
      </c>
      <c r="O458" s="13">
        <f>Greenleaf[[#This Row],[Unit Cost]]*Greenleaf[[#This Row],[Quantity Sold]]</f>
        <v>36.24</v>
      </c>
      <c r="P458" s="13">
        <f>Greenleaf[[#This Row],[ Unit  price per quantity]]-Greenleaf[[#This Row],[ Unit cost per quantity]]</f>
        <v>113.75999999999999</v>
      </c>
      <c r="Q458" s="14">
        <f>Greenleaf[[#This Row],[Quantity Sold]]*Greenleaf[[#This Row],[Unit Price]]</f>
        <v>150</v>
      </c>
    </row>
    <row r="459" spans="1:17" x14ac:dyDescent="0.25">
      <c r="A459" t="s">
        <v>1885</v>
      </c>
      <c r="B459" s="5">
        <v>45447</v>
      </c>
      <c r="C459" s="5" t="str">
        <f>TEXT(Greenleaf[[#This Row],[Order Date]],"MMM")</f>
        <v>Jun</v>
      </c>
      <c r="D459" s="5" t="str">
        <f>TEXT(Greenleaf[[#This Row],[Order Date]],"YYYY")</f>
        <v>2024</v>
      </c>
      <c r="E459" t="s">
        <v>2460</v>
      </c>
      <c r="F459" s="7" t="s">
        <v>1015</v>
      </c>
      <c r="G459" s="9">
        <v>10</v>
      </c>
      <c r="H459" s="11">
        <v>10</v>
      </c>
      <c r="I459" s="13">
        <v>3.34</v>
      </c>
      <c r="J459" t="s">
        <v>1161</v>
      </c>
      <c r="K459" t="s">
        <v>2515</v>
      </c>
      <c r="L459" s="7" t="s">
        <v>1415</v>
      </c>
      <c r="M459" s="7" t="s">
        <v>1423</v>
      </c>
      <c r="N459" s="14">
        <f>Greenleaf[[#This Row],[Unit Price]]*Greenleaf[[#This Row],[Quantity Sold]]</f>
        <v>100</v>
      </c>
      <c r="O459" s="13">
        <f>Greenleaf[[#This Row],[Unit Cost]]*Greenleaf[[#This Row],[Quantity Sold]]</f>
        <v>33.4</v>
      </c>
      <c r="P459" s="13">
        <f>Greenleaf[[#This Row],[ Unit  price per quantity]]-Greenleaf[[#This Row],[ Unit cost per quantity]]</f>
        <v>66.599999999999994</v>
      </c>
      <c r="Q459" s="14">
        <f>Greenleaf[[#This Row],[Quantity Sold]]*Greenleaf[[#This Row],[Unit Price]]</f>
        <v>100</v>
      </c>
    </row>
    <row r="460" spans="1:17" x14ac:dyDescent="0.25">
      <c r="A460" t="s">
        <v>1886</v>
      </c>
      <c r="B460" s="5">
        <v>45447</v>
      </c>
      <c r="C460" s="5" t="str">
        <f>TEXT(Greenleaf[[#This Row],[Order Date]],"MMM")</f>
        <v>Jun</v>
      </c>
      <c r="D460" s="5" t="str">
        <f>TEXT(Greenleaf[[#This Row],[Order Date]],"YYYY")</f>
        <v>2024</v>
      </c>
      <c r="E460" t="s">
        <v>2461</v>
      </c>
      <c r="F460" s="7" t="s">
        <v>1011</v>
      </c>
      <c r="G460" s="9">
        <v>3</v>
      </c>
      <c r="H460" s="11">
        <v>12</v>
      </c>
      <c r="I460" s="13">
        <v>3.94</v>
      </c>
      <c r="J460" t="s">
        <v>1026</v>
      </c>
      <c r="K460" t="s">
        <v>2486</v>
      </c>
      <c r="L460" s="7" t="s">
        <v>1417</v>
      </c>
      <c r="M460" s="7" t="s">
        <v>1421</v>
      </c>
      <c r="N460" s="14">
        <f>Greenleaf[[#This Row],[Unit Price]]*Greenleaf[[#This Row],[Quantity Sold]]</f>
        <v>36</v>
      </c>
      <c r="O460" s="13">
        <f>Greenleaf[[#This Row],[Unit Cost]]*Greenleaf[[#This Row],[Quantity Sold]]</f>
        <v>11.82</v>
      </c>
      <c r="P460" s="13">
        <f>Greenleaf[[#This Row],[ Unit  price per quantity]]-Greenleaf[[#This Row],[ Unit cost per quantity]]</f>
        <v>24.18</v>
      </c>
      <c r="Q460" s="14">
        <f>Greenleaf[[#This Row],[Quantity Sold]]*Greenleaf[[#This Row],[Unit Price]]</f>
        <v>36</v>
      </c>
    </row>
    <row r="461" spans="1:17" x14ac:dyDescent="0.25">
      <c r="A461" t="s">
        <v>1887</v>
      </c>
      <c r="B461" s="5">
        <v>45448</v>
      </c>
      <c r="C461" s="5" t="str">
        <f>TEXT(Greenleaf[[#This Row],[Order Date]],"MMM")</f>
        <v>Jun</v>
      </c>
      <c r="D461" s="5" t="str">
        <f>TEXT(Greenleaf[[#This Row],[Order Date]],"YYYY")</f>
        <v>2024</v>
      </c>
      <c r="E461" t="s">
        <v>2460</v>
      </c>
      <c r="F461" s="7" t="s">
        <v>1015</v>
      </c>
      <c r="G461" s="9">
        <v>3</v>
      </c>
      <c r="H461" s="11">
        <v>10</v>
      </c>
      <c r="I461" s="13">
        <v>3.12</v>
      </c>
      <c r="J461" t="s">
        <v>1064</v>
      </c>
      <c r="K461" t="s">
        <v>2563</v>
      </c>
      <c r="L461" s="7" t="s">
        <v>1416</v>
      </c>
      <c r="M461" s="7" t="s">
        <v>1427</v>
      </c>
      <c r="N461" s="14">
        <f>Greenleaf[[#This Row],[Unit Price]]*Greenleaf[[#This Row],[Quantity Sold]]</f>
        <v>30</v>
      </c>
      <c r="O461" s="13">
        <f>Greenleaf[[#This Row],[Unit Cost]]*Greenleaf[[#This Row],[Quantity Sold]]</f>
        <v>9.36</v>
      </c>
      <c r="P461" s="13">
        <f>Greenleaf[[#This Row],[ Unit  price per quantity]]-Greenleaf[[#This Row],[ Unit cost per quantity]]</f>
        <v>20.64</v>
      </c>
      <c r="Q461" s="14">
        <f>Greenleaf[[#This Row],[Quantity Sold]]*Greenleaf[[#This Row],[Unit Price]]</f>
        <v>30</v>
      </c>
    </row>
    <row r="462" spans="1:17" x14ac:dyDescent="0.25">
      <c r="A462" t="s">
        <v>1888</v>
      </c>
      <c r="B462" s="5">
        <v>45450</v>
      </c>
      <c r="C462" s="5" t="str">
        <f>TEXT(Greenleaf[[#This Row],[Order Date]],"MMM")</f>
        <v>Jun</v>
      </c>
      <c r="D462" s="5" t="str">
        <f>TEXT(Greenleaf[[#This Row],[Order Date]],"YYYY")</f>
        <v>2024</v>
      </c>
      <c r="E462" t="s">
        <v>2461</v>
      </c>
      <c r="F462" s="7" t="s">
        <v>1011</v>
      </c>
      <c r="G462" s="9">
        <v>7</v>
      </c>
      <c r="H462" s="11">
        <v>12</v>
      </c>
      <c r="I462" s="13">
        <v>4.5599999999999996</v>
      </c>
      <c r="J462" t="s">
        <v>1061</v>
      </c>
      <c r="K462" t="s">
        <v>2500</v>
      </c>
      <c r="L462" s="7" t="s">
        <v>1414</v>
      </c>
      <c r="M462" s="7" t="s">
        <v>1422</v>
      </c>
      <c r="N462" s="14">
        <f>Greenleaf[[#This Row],[Unit Price]]*Greenleaf[[#This Row],[Quantity Sold]]</f>
        <v>84</v>
      </c>
      <c r="O462" s="13">
        <f>Greenleaf[[#This Row],[Unit Cost]]*Greenleaf[[#This Row],[Quantity Sold]]</f>
        <v>31.919999999999998</v>
      </c>
      <c r="P462" s="13">
        <f>Greenleaf[[#This Row],[ Unit  price per quantity]]-Greenleaf[[#This Row],[ Unit cost per quantity]]</f>
        <v>52.08</v>
      </c>
      <c r="Q462" s="14">
        <f>Greenleaf[[#This Row],[Quantity Sold]]*Greenleaf[[#This Row],[Unit Price]]</f>
        <v>84</v>
      </c>
    </row>
    <row r="463" spans="1:17" x14ac:dyDescent="0.25">
      <c r="A463" t="s">
        <v>1889</v>
      </c>
      <c r="B463" s="5">
        <v>45450</v>
      </c>
      <c r="C463" s="5" t="str">
        <f>TEXT(Greenleaf[[#This Row],[Order Date]],"MMM")</f>
        <v>Jun</v>
      </c>
      <c r="D463" s="5" t="str">
        <f>TEXT(Greenleaf[[#This Row],[Order Date]],"YYYY")</f>
        <v>2024</v>
      </c>
      <c r="E463" t="s">
        <v>2462</v>
      </c>
      <c r="F463" s="7" t="s">
        <v>1013</v>
      </c>
      <c r="G463" s="9">
        <v>3</v>
      </c>
      <c r="H463" s="11">
        <v>25</v>
      </c>
      <c r="I463" s="13">
        <v>6.29</v>
      </c>
      <c r="J463" t="s">
        <v>1037</v>
      </c>
      <c r="K463" t="s">
        <v>2544</v>
      </c>
      <c r="L463" s="7" t="s">
        <v>1414</v>
      </c>
      <c r="M463" s="7" t="s">
        <v>1419</v>
      </c>
      <c r="N463" s="14">
        <f>Greenleaf[[#This Row],[Unit Price]]*Greenleaf[[#This Row],[Quantity Sold]]</f>
        <v>75</v>
      </c>
      <c r="O463" s="13">
        <f>Greenleaf[[#This Row],[Unit Cost]]*Greenleaf[[#This Row],[Quantity Sold]]</f>
        <v>18.87</v>
      </c>
      <c r="P463" s="13">
        <f>Greenleaf[[#This Row],[ Unit  price per quantity]]-Greenleaf[[#This Row],[ Unit cost per quantity]]</f>
        <v>56.129999999999995</v>
      </c>
      <c r="Q463" s="14">
        <f>Greenleaf[[#This Row],[Quantity Sold]]*Greenleaf[[#This Row],[Unit Price]]</f>
        <v>75</v>
      </c>
    </row>
    <row r="464" spans="1:17" x14ac:dyDescent="0.25">
      <c r="A464" t="s">
        <v>1890</v>
      </c>
      <c r="B464" s="5">
        <v>45450</v>
      </c>
      <c r="C464" s="5" t="str">
        <f>TEXT(Greenleaf[[#This Row],[Order Date]],"MMM")</f>
        <v>Jun</v>
      </c>
      <c r="D464" s="5" t="str">
        <f>TEXT(Greenleaf[[#This Row],[Order Date]],"YYYY")</f>
        <v>2024</v>
      </c>
      <c r="E464" t="s">
        <v>2464</v>
      </c>
      <c r="F464" s="7" t="s">
        <v>1012</v>
      </c>
      <c r="G464" s="9">
        <v>2</v>
      </c>
      <c r="H464" s="11">
        <v>40</v>
      </c>
      <c r="I464" s="13">
        <v>8.93</v>
      </c>
      <c r="J464" t="s">
        <v>1160</v>
      </c>
      <c r="K464" t="s">
        <v>2519</v>
      </c>
      <c r="L464" s="7" t="s">
        <v>1415</v>
      </c>
      <c r="M464" s="7" t="s">
        <v>1419</v>
      </c>
      <c r="N464" s="14">
        <f>Greenleaf[[#This Row],[Unit Price]]*Greenleaf[[#This Row],[Quantity Sold]]</f>
        <v>80</v>
      </c>
      <c r="O464" s="13">
        <f>Greenleaf[[#This Row],[Unit Cost]]*Greenleaf[[#This Row],[Quantity Sold]]</f>
        <v>17.86</v>
      </c>
      <c r="P464" s="13">
        <f>Greenleaf[[#This Row],[ Unit  price per quantity]]-Greenleaf[[#This Row],[ Unit cost per quantity]]</f>
        <v>62.14</v>
      </c>
      <c r="Q464" s="14">
        <f>Greenleaf[[#This Row],[Quantity Sold]]*Greenleaf[[#This Row],[Unit Price]]</f>
        <v>80</v>
      </c>
    </row>
    <row r="465" spans="1:17" x14ac:dyDescent="0.25">
      <c r="A465" t="s">
        <v>1891</v>
      </c>
      <c r="B465" s="5">
        <v>45451</v>
      </c>
      <c r="C465" s="5" t="str">
        <f>TEXT(Greenleaf[[#This Row],[Order Date]],"MMM")</f>
        <v>Jun</v>
      </c>
      <c r="D465" s="5" t="str">
        <f>TEXT(Greenleaf[[#This Row],[Order Date]],"YYYY")</f>
        <v>2024</v>
      </c>
      <c r="E465" t="s">
        <v>2462</v>
      </c>
      <c r="F465" s="7" t="s">
        <v>1013</v>
      </c>
      <c r="G465" s="9">
        <v>3</v>
      </c>
      <c r="H465" s="11">
        <v>25</v>
      </c>
      <c r="I465" s="13">
        <v>9.02</v>
      </c>
      <c r="J465" t="s">
        <v>1046</v>
      </c>
      <c r="K465" t="s">
        <v>2500</v>
      </c>
      <c r="L465" s="7" t="s">
        <v>1416</v>
      </c>
      <c r="M465" s="7" t="s">
        <v>1423</v>
      </c>
      <c r="N465" s="14">
        <f>Greenleaf[[#This Row],[Unit Price]]*Greenleaf[[#This Row],[Quantity Sold]]</f>
        <v>75</v>
      </c>
      <c r="O465" s="13">
        <f>Greenleaf[[#This Row],[Unit Cost]]*Greenleaf[[#This Row],[Quantity Sold]]</f>
        <v>27.06</v>
      </c>
      <c r="P465" s="13">
        <f>Greenleaf[[#This Row],[ Unit  price per quantity]]-Greenleaf[[#This Row],[ Unit cost per quantity]]</f>
        <v>47.94</v>
      </c>
      <c r="Q465" s="14">
        <f>Greenleaf[[#This Row],[Quantity Sold]]*Greenleaf[[#This Row],[Unit Price]]</f>
        <v>75</v>
      </c>
    </row>
    <row r="466" spans="1:17" x14ac:dyDescent="0.25">
      <c r="A466" t="s">
        <v>1892</v>
      </c>
      <c r="B466" s="5">
        <v>45451</v>
      </c>
      <c r="C466" s="5" t="str">
        <f>TEXT(Greenleaf[[#This Row],[Order Date]],"MMM")</f>
        <v>Jun</v>
      </c>
      <c r="D466" s="5" t="str">
        <f>TEXT(Greenleaf[[#This Row],[Order Date]],"YYYY")</f>
        <v>2024</v>
      </c>
      <c r="E466" t="s">
        <v>2461</v>
      </c>
      <c r="F466" s="7" t="s">
        <v>1011</v>
      </c>
      <c r="G466" s="9">
        <v>2</v>
      </c>
      <c r="H466" s="11">
        <v>12</v>
      </c>
      <c r="I466" s="13">
        <v>4.6100000000000003</v>
      </c>
      <c r="J466" t="s">
        <v>1076</v>
      </c>
      <c r="K466" t="s">
        <v>2525</v>
      </c>
      <c r="L466" s="7" t="s">
        <v>1416</v>
      </c>
      <c r="M466" s="7" t="s">
        <v>1425</v>
      </c>
      <c r="N466" s="14">
        <f>Greenleaf[[#This Row],[Unit Price]]*Greenleaf[[#This Row],[Quantity Sold]]</f>
        <v>24</v>
      </c>
      <c r="O466" s="13">
        <f>Greenleaf[[#This Row],[Unit Cost]]*Greenleaf[[#This Row],[Quantity Sold]]</f>
        <v>9.2200000000000006</v>
      </c>
      <c r="P466" s="13">
        <f>Greenleaf[[#This Row],[ Unit  price per quantity]]-Greenleaf[[#This Row],[ Unit cost per quantity]]</f>
        <v>14.78</v>
      </c>
      <c r="Q466" s="14">
        <f>Greenleaf[[#This Row],[Quantity Sold]]*Greenleaf[[#This Row],[Unit Price]]</f>
        <v>24</v>
      </c>
    </row>
    <row r="467" spans="1:17" x14ac:dyDescent="0.25">
      <c r="A467" t="s">
        <v>1893</v>
      </c>
      <c r="B467" s="5">
        <v>45451</v>
      </c>
      <c r="C467" s="5" t="str">
        <f>TEXT(Greenleaf[[#This Row],[Order Date]],"MMM")</f>
        <v>Jun</v>
      </c>
      <c r="D467" s="5" t="str">
        <f>TEXT(Greenleaf[[#This Row],[Order Date]],"YYYY")</f>
        <v>2024</v>
      </c>
      <c r="E467" t="s">
        <v>2460</v>
      </c>
      <c r="F467" s="7" t="s">
        <v>1015</v>
      </c>
      <c r="G467" s="9">
        <v>6</v>
      </c>
      <c r="H467" s="11">
        <v>10</v>
      </c>
      <c r="I467" s="13">
        <v>3.13</v>
      </c>
      <c r="J467" t="s">
        <v>1084</v>
      </c>
      <c r="K467" t="s">
        <v>2553</v>
      </c>
      <c r="L467" s="7" t="s">
        <v>1414</v>
      </c>
      <c r="M467" s="7" t="s">
        <v>1422</v>
      </c>
      <c r="N467" s="14">
        <f>Greenleaf[[#This Row],[Unit Price]]*Greenleaf[[#This Row],[Quantity Sold]]</f>
        <v>60</v>
      </c>
      <c r="O467" s="13">
        <f>Greenleaf[[#This Row],[Unit Cost]]*Greenleaf[[#This Row],[Quantity Sold]]</f>
        <v>18.78</v>
      </c>
      <c r="P467" s="13">
        <f>Greenleaf[[#This Row],[ Unit  price per quantity]]-Greenleaf[[#This Row],[ Unit cost per quantity]]</f>
        <v>41.22</v>
      </c>
      <c r="Q467" s="14">
        <f>Greenleaf[[#This Row],[Quantity Sold]]*Greenleaf[[#This Row],[Unit Price]]</f>
        <v>60</v>
      </c>
    </row>
    <row r="468" spans="1:17" x14ac:dyDescent="0.25">
      <c r="A468" t="s">
        <v>1894</v>
      </c>
      <c r="B468" s="5">
        <v>45451</v>
      </c>
      <c r="C468" s="5" t="str">
        <f>TEXT(Greenleaf[[#This Row],[Order Date]],"MMM")</f>
        <v>Jun</v>
      </c>
      <c r="D468" s="5" t="str">
        <f>TEXT(Greenleaf[[#This Row],[Order Date]],"YYYY")</f>
        <v>2024</v>
      </c>
      <c r="E468" t="s">
        <v>2464</v>
      </c>
      <c r="F468" s="7" t="s">
        <v>1012</v>
      </c>
      <c r="G468" s="9">
        <v>4</v>
      </c>
      <c r="H468" s="11">
        <v>40</v>
      </c>
      <c r="I468" s="13">
        <v>10.47</v>
      </c>
      <c r="J468" t="s">
        <v>1029</v>
      </c>
      <c r="K468" t="s">
        <v>2470</v>
      </c>
      <c r="L468" s="7" t="s">
        <v>1416</v>
      </c>
      <c r="M468" s="7" t="s">
        <v>1421</v>
      </c>
      <c r="N468" s="14">
        <f>Greenleaf[[#This Row],[Unit Price]]*Greenleaf[[#This Row],[Quantity Sold]]</f>
        <v>160</v>
      </c>
      <c r="O468" s="13">
        <f>Greenleaf[[#This Row],[Unit Cost]]*Greenleaf[[#This Row],[Quantity Sold]]</f>
        <v>41.88</v>
      </c>
      <c r="P468" s="13">
        <f>Greenleaf[[#This Row],[ Unit  price per quantity]]-Greenleaf[[#This Row],[ Unit cost per quantity]]</f>
        <v>118.12</v>
      </c>
      <c r="Q468" s="14">
        <f>Greenleaf[[#This Row],[Quantity Sold]]*Greenleaf[[#This Row],[Unit Price]]</f>
        <v>160</v>
      </c>
    </row>
    <row r="469" spans="1:17" x14ac:dyDescent="0.25">
      <c r="A469" t="s">
        <v>1895</v>
      </c>
      <c r="B469" s="5">
        <v>45452</v>
      </c>
      <c r="C469" s="5" t="str">
        <f>TEXT(Greenleaf[[#This Row],[Order Date]],"MMM")</f>
        <v>Jun</v>
      </c>
      <c r="D469" s="5" t="str">
        <f>TEXT(Greenleaf[[#This Row],[Order Date]],"YYYY")</f>
        <v>2024</v>
      </c>
      <c r="E469" t="s">
        <v>2463</v>
      </c>
      <c r="F469" s="7" t="s">
        <v>1014</v>
      </c>
      <c r="G469" s="9">
        <v>9</v>
      </c>
      <c r="H469" s="11">
        <v>15</v>
      </c>
      <c r="I469" s="13">
        <v>4.75</v>
      </c>
      <c r="J469" t="s">
        <v>1147</v>
      </c>
      <c r="K469" t="s">
        <v>2484</v>
      </c>
      <c r="L469" s="7" t="s">
        <v>1417</v>
      </c>
      <c r="M469" s="7" t="s">
        <v>1422</v>
      </c>
      <c r="N469" s="14">
        <f>Greenleaf[[#This Row],[Unit Price]]*Greenleaf[[#This Row],[Quantity Sold]]</f>
        <v>135</v>
      </c>
      <c r="O469" s="13">
        <f>Greenleaf[[#This Row],[Unit Cost]]*Greenleaf[[#This Row],[Quantity Sold]]</f>
        <v>42.75</v>
      </c>
      <c r="P469" s="13">
        <f>Greenleaf[[#This Row],[ Unit  price per quantity]]-Greenleaf[[#This Row],[ Unit cost per quantity]]</f>
        <v>92.25</v>
      </c>
      <c r="Q469" s="14">
        <f>Greenleaf[[#This Row],[Quantity Sold]]*Greenleaf[[#This Row],[Unit Price]]</f>
        <v>135</v>
      </c>
    </row>
    <row r="470" spans="1:17" x14ac:dyDescent="0.25">
      <c r="A470" t="s">
        <v>1896</v>
      </c>
      <c r="B470" s="5">
        <v>45453</v>
      </c>
      <c r="C470" s="5" t="str">
        <f>TEXT(Greenleaf[[#This Row],[Order Date]],"MMM")</f>
        <v>Jun</v>
      </c>
      <c r="D470" s="5" t="str">
        <f>TEXT(Greenleaf[[#This Row],[Order Date]],"YYYY")</f>
        <v>2024</v>
      </c>
      <c r="E470" t="s">
        <v>2463</v>
      </c>
      <c r="F470" s="7" t="s">
        <v>1014</v>
      </c>
      <c r="G470" s="9">
        <v>5</v>
      </c>
      <c r="H470" s="11">
        <v>15</v>
      </c>
      <c r="I470" s="13">
        <v>4.28</v>
      </c>
      <c r="J470" t="s">
        <v>1164</v>
      </c>
      <c r="K470" t="s">
        <v>2567</v>
      </c>
      <c r="L470" s="7" t="s">
        <v>1414</v>
      </c>
      <c r="M470" s="7" t="s">
        <v>1424</v>
      </c>
      <c r="N470" s="14">
        <f>Greenleaf[[#This Row],[Unit Price]]*Greenleaf[[#This Row],[Quantity Sold]]</f>
        <v>75</v>
      </c>
      <c r="O470" s="13">
        <f>Greenleaf[[#This Row],[Unit Cost]]*Greenleaf[[#This Row],[Quantity Sold]]</f>
        <v>21.400000000000002</v>
      </c>
      <c r="P470" s="13">
        <f>Greenleaf[[#This Row],[ Unit  price per quantity]]-Greenleaf[[#This Row],[ Unit cost per quantity]]</f>
        <v>53.599999999999994</v>
      </c>
      <c r="Q470" s="14">
        <f>Greenleaf[[#This Row],[Quantity Sold]]*Greenleaf[[#This Row],[Unit Price]]</f>
        <v>75</v>
      </c>
    </row>
    <row r="471" spans="1:17" x14ac:dyDescent="0.25">
      <c r="A471" t="s">
        <v>1897</v>
      </c>
      <c r="B471" s="5">
        <v>45455</v>
      </c>
      <c r="C471" s="5" t="str">
        <f>TEXT(Greenleaf[[#This Row],[Order Date]],"MMM")</f>
        <v>Jun</v>
      </c>
      <c r="D471" s="5" t="str">
        <f>TEXT(Greenleaf[[#This Row],[Order Date]],"YYYY")</f>
        <v>2024</v>
      </c>
      <c r="E471" t="s">
        <v>2461</v>
      </c>
      <c r="F471" s="7" t="s">
        <v>1011</v>
      </c>
      <c r="G471" s="9">
        <v>1</v>
      </c>
      <c r="H471" s="11">
        <v>12</v>
      </c>
      <c r="I471" s="13">
        <v>3.81</v>
      </c>
      <c r="J471" t="s">
        <v>1127</v>
      </c>
      <c r="K471" t="s">
        <v>2509</v>
      </c>
      <c r="L471" s="7" t="s">
        <v>1414</v>
      </c>
      <c r="M471" s="7" t="s">
        <v>1423</v>
      </c>
      <c r="N471" s="14">
        <f>Greenleaf[[#This Row],[Unit Price]]*Greenleaf[[#This Row],[Quantity Sold]]</f>
        <v>12</v>
      </c>
      <c r="O471" s="13">
        <f>Greenleaf[[#This Row],[Unit Cost]]*Greenleaf[[#This Row],[Quantity Sold]]</f>
        <v>3.81</v>
      </c>
      <c r="P471" s="13">
        <f>Greenleaf[[#This Row],[ Unit  price per quantity]]-Greenleaf[[#This Row],[ Unit cost per quantity]]</f>
        <v>8.19</v>
      </c>
      <c r="Q471" s="14">
        <f>Greenleaf[[#This Row],[Quantity Sold]]*Greenleaf[[#This Row],[Unit Price]]</f>
        <v>12</v>
      </c>
    </row>
    <row r="472" spans="1:17" x14ac:dyDescent="0.25">
      <c r="A472" t="s">
        <v>1898</v>
      </c>
      <c r="B472" s="5">
        <v>45455</v>
      </c>
      <c r="C472" s="5" t="str">
        <f>TEXT(Greenleaf[[#This Row],[Order Date]],"MMM")</f>
        <v>Jun</v>
      </c>
      <c r="D472" s="5" t="str">
        <f>TEXT(Greenleaf[[#This Row],[Order Date]],"YYYY")</f>
        <v>2024</v>
      </c>
      <c r="E472" t="s">
        <v>2461</v>
      </c>
      <c r="F472" s="7" t="s">
        <v>1011</v>
      </c>
      <c r="G472" s="9">
        <v>3</v>
      </c>
      <c r="H472" s="11">
        <v>12</v>
      </c>
      <c r="I472" s="13">
        <v>4.78</v>
      </c>
      <c r="J472" t="s">
        <v>1095</v>
      </c>
      <c r="K472" t="s">
        <v>2524</v>
      </c>
      <c r="L472" s="7" t="s">
        <v>1414</v>
      </c>
      <c r="M472" s="7" t="s">
        <v>1421</v>
      </c>
      <c r="N472" s="14">
        <f>Greenleaf[[#This Row],[Unit Price]]*Greenleaf[[#This Row],[Quantity Sold]]</f>
        <v>36</v>
      </c>
      <c r="O472" s="13">
        <f>Greenleaf[[#This Row],[Unit Cost]]*Greenleaf[[#This Row],[Quantity Sold]]</f>
        <v>14.34</v>
      </c>
      <c r="P472" s="13">
        <f>Greenleaf[[#This Row],[ Unit  price per quantity]]-Greenleaf[[#This Row],[ Unit cost per quantity]]</f>
        <v>21.66</v>
      </c>
      <c r="Q472" s="14">
        <f>Greenleaf[[#This Row],[Quantity Sold]]*Greenleaf[[#This Row],[Unit Price]]</f>
        <v>36</v>
      </c>
    </row>
    <row r="473" spans="1:17" x14ac:dyDescent="0.25">
      <c r="A473" t="s">
        <v>1899</v>
      </c>
      <c r="B473" s="5">
        <v>45456</v>
      </c>
      <c r="C473" s="5" t="str">
        <f>TEXT(Greenleaf[[#This Row],[Order Date]],"MMM")</f>
        <v>Jun</v>
      </c>
      <c r="D473" s="5" t="str">
        <f>TEXT(Greenleaf[[#This Row],[Order Date]],"YYYY")</f>
        <v>2024</v>
      </c>
      <c r="E473" t="s">
        <v>2462</v>
      </c>
      <c r="F473" s="7" t="s">
        <v>1013</v>
      </c>
      <c r="G473" s="9">
        <v>5</v>
      </c>
      <c r="H473" s="11">
        <v>25</v>
      </c>
      <c r="I473" s="13">
        <v>6.67</v>
      </c>
      <c r="J473" t="s">
        <v>1062</v>
      </c>
      <c r="K473" t="s">
        <v>2541</v>
      </c>
      <c r="L473" s="7" t="s">
        <v>1416</v>
      </c>
      <c r="M473" s="7" t="s">
        <v>1424</v>
      </c>
      <c r="N473" s="14">
        <f>Greenleaf[[#This Row],[Unit Price]]*Greenleaf[[#This Row],[Quantity Sold]]</f>
        <v>125</v>
      </c>
      <c r="O473" s="13">
        <f>Greenleaf[[#This Row],[Unit Cost]]*Greenleaf[[#This Row],[Quantity Sold]]</f>
        <v>33.35</v>
      </c>
      <c r="P473" s="13">
        <f>Greenleaf[[#This Row],[ Unit  price per quantity]]-Greenleaf[[#This Row],[ Unit cost per quantity]]</f>
        <v>91.65</v>
      </c>
      <c r="Q473" s="14">
        <f>Greenleaf[[#This Row],[Quantity Sold]]*Greenleaf[[#This Row],[Unit Price]]</f>
        <v>125</v>
      </c>
    </row>
    <row r="474" spans="1:17" x14ac:dyDescent="0.25">
      <c r="A474" t="s">
        <v>1900</v>
      </c>
      <c r="B474" s="5">
        <v>45457</v>
      </c>
      <c r="C474" s="5" t="str">
        <f>TEXT(Greenleaf[[#This Row],[Order Date]],"MMM")</f>
        <v>Jun</v>
      </c>
      <c r="D474" s="5" t="str">
        <f>TEXT(Greenleaf[[#This Row],[Order Date]],"YYYY")</f>
        <v>2024</v>
      </c>
      <c r="E474" t="s">
        <v>2461</v>
      </c>
      <c r="F474" s="7" t="s">
        <v>1011</v>
      </c>
      <c r="G474" s="9">
        <v>2</v>
      </c>
      <c r="H474" s="11">
        <v>12</v>
      </c>
      <c r="I474" s="13">
        <v>3.25</v>
      </c>
      <c r="J474" t="s">
        <v>1064</v>
      </c>
      <c r="K474" t="s">
        <v>2563</v>
      </c>
      <c r="L474" s="7" t="s">
        <v>1416</v>
      </c>
      <c r="M474" s="7" t="s">
        <v>1420</v>
      </c>
      <c r="N474" s="14">
        <f>Greenleaf[[#This Row],[Unit Price]]*Greenleaf[[#This Row],[Quantity Sold]]</f>
        <v>24</v>
      </c>
      <c r="O474" s="13">
        <f>Greenleaf[[#This Row],[Unit Cost]]*Greenleaf[[#This Row],[Quantity Sold]]</f>
        <v>6.5</v>
      </c>
      <c r="P474" s="13">
        <f>Greenleaf[[#This Row],[ Unit  price per quantity]]-Greenleaf[[#This Row],[ Unit cost per quantity]]</f>
        <v>17.5</v>
      </c>
      <c r="Q474" s="14">
        <f>Greenleaf[[#This Row],[Quantity Sold]]*Greenleaf[[#This Row],[Unit Price]]</f>
        <v>24</v>
      </c>
    </row>
    <row r="475" spans="1:17" x14ac:dyDescent="0.25">
      <c r="A475" t="s">
        <v>1901</v>
      </c>
      <c r="B475" s="5">
        <v>45457</v>
      </c>
      <c r="C475" s="5" t="str">
        <f>TEXT(Greenleaf[[#This Row],[Order Date]],"MMM")</f>
        <v>Jun</v>
      </c>
      <c r="D475" s="5" t="str">
        <f>TEXT(Greenleaf[[#This Row],[Order Date]],"YYYY")</f>
        <v>2024</v>
      </c>
      <c r="E475" t="s">
        <v>2463</v>
      </c>
      <c r="F475" s="7" t="s">
        <v>1014</v>
      </c>
      <c r="G475" s="9">
        <v>6</v>
      </c>
      <c r="H475" s="11">
        <v>15</v>
      </c>
      <c r="I475" s="13">
        <v>5.6</v>
      </c>
      <c r="J475" t="s">
        <v>1076</v>
      </c>
      <c r="K475" t="s">
        <v>2525</v>
      </c>
      <c r="L475" s="7" t="s">
        <v>1414</v>
      </c>
      <c r="M475" s="7" t="s">
        <v>1421</v>
      </c>
      <c r="N475" s="14">
        <f>Greenleaf[[#This Row],[Unit Price]]*Greenleaf[[#This Row],[Quantity Sold]]</f>
        <v>90</v>
      </c>
      <c r="O475" s="13">
        <f>Greenleaf[[#This Row],[Unit Cost]]*Greenleaf[[#This Row],[Quantity Sold]]</f>
        <v>33.599999999999994</v>
      </c>
      <c r="P475" s="13">
        <f>Greenleaf[[#This Row],[ Unit  price per quantity]]-Greenleaf[[#This Row],[ Unit cost per quantity]]</f>
        <v>56.400000000000006</v>
      </c>
      <c r="Q475" s="14">
        <f>Greenleaf[[#This Row],[Quantity Sold]]*Greenleaf[[#This Row],[Unit Price]]</f>
        <v>90</v>
      </c>
    </row>
    <row r="476" spans="1:17" x14ac:dyDescent="0.25">
      <c r="A476" t="s">
        <v>1902</v>
      </c>
      <c r="B476" s="5">
        <v>45457</v>
      </c>
      <c r="C476" s="5" t="str">
        <f>TEXT(Greenleaf[[#This Row],[Order Date]],"MMM")</f>
        <v>Jun</v>
      </c>
      <c r="D476" s="5" t="str">
        <f>TEXT(Greenleaf[[#This Row],[Order Date]],"YYYY")</f>
        <v>2024</v>
      </c>
      <c r="E476" t="s">
        <v>2460</v>
      </c>
      <c r="F476" s="7" t="s">
        <v>1015</v>
      </c>
      <c r="G476" s="9">
        <v>8</v>
      </c>
      <c r="H476" s="11">
        <v>10</v>
      </c>
      <c r="I476" s="13">
        <v>2.0699999999999998</v>
      </c>
      <c r="J476" t="s">
        <v>1138</v>
      </c>
      <c r="K476" t="s">
        <v>2538</v>
      </c>
      <c r="L476" s="7" t="s">
        <v>1416</v>
      </c>
      <c r="M476" s="7" t="s">
        <v>1426</v>
      </c>
      <c r="N476" s="14">
        <f>Greenleaf[[#This Row],[Unit Price]]*Greenleaf[[#This Row],[Quantity Sold]]</f>
        <v>80</v>
      </c>
      <c r="O476" s="13">
        <f>Greenleaf[[#This Row],[Unit Cost]]*Greenleaf[[#This Row],[Quantity Sold]]</f>
        <v>16.559999999999999</v>
      </c>
      <c r="P476" s="13">
        <f>Greenleaf[[#This Row],[ Unit  price per quantity]]-Greenleaf[[#This Row],[ Unit cost per quantity]]</f>
        <v>63.44</v>
      </c>
      <c r="Q476" s="14">
        <f>Greenleaf[[#This Row],[Quantity Sold]]*Greenleaf[[#This Row],[Unit Price]]</f>
        <v>80</v>
      </c>
    </row>
    <row r="477" spans="1:17" x14ac:dyDescent="0.25">
      <c r="A477" t="s">
        <v>1903</v>
      </c>
      <c r="B477" s="5">
        <v>45458</v>
      </c>
      <c r="C477" s="5" t="str">
        <f>TEXT(Greenleaf[[#This Row],[Order Date]],"MMM")</f>
        <v>Jun</v>
      </c>
      <c r="D477" s="5" t="str">
        <f>TEXT(Greenleaf[[#This Row],[Order Date]],"YYYY")</f>
        <v>2024</v>
      </c>
      <c r="E477" t="s">
        <v>2463</v>
      </c>
      <c r="F477" s="7" t="s">
        <v>1014</v>
      </c>
      <c r="G477" s="9">
        <v>6</v>
      </c>
      <c r="H477" s="11">
        <v>15</v>
      </c>
      <c r="I477" s="13">
        <v>4.13</v>
      </c>
      <c r="J477" t="s">
        <v>1060</v>
      </c>
      <c r="K477" t="s">
        <v>2504</v>
      </c>
      <c r="L477" s="7" t="s">
        <v>1415</v>
      </c>
      <c r="M477" s="7" t="s">
        <v>1420</v>
      </c>
      <c r="N477" s="14">
        <f>Greenleaf[[#This Row],[Unit Price]]*Greenleaf[[#This Row],[Quantity Sold]]</f>
        <v>90</v>
      </c>
      <c r="O477" s="13">
        <f>Greenleaf[[#This Row],[Unit Cost]]*Greenleaf[[#This Row],[Quantity Sold]]</f>
        <v>24.78</v>
      </c>
      <c r="P477" s="13">
        <f>Greenleaf[[#This Row],[ Unit  price per quantity]]-Greenleaf[[#This Row],[ Unit cost per quantity]]</f>
        <v>65.22</v>
      </c>
      <c r="Q477" s="14">
        <f>Greenleaf[[#This Row],[Quantity Sold]]*Greenleaf[[#This Row],[Unit Price]]</f>
        <v>90</v>
      </c>
    </row>
    <row r="478" spans="1:17" x14ac:dyDescent="0.25">
      <c r="A478" t="s">
        <v>1904</v>
      </c>
      <c r="B478" s="5">
        <v>45459</v>
      </c>
      <c r="C478" s="5" t="str">
        <f>TEXT(Greenleaf[[#This Row],[Order Date]],"MMM")</f>
        <v>Jun</v>
      </c>
      <c r="D478" s="5" t="str">
        <f>TEXT(Greenleaf[[#This Row],[Order Date]],"YYYY")</f>
        <v>2024</v>
      </c>
      <c r="E478" t="s">
        <v>2463</v>
      </c>
      <c r="F478" s="7" t="s">
        <v>1014</v>
      </c>
      <c r="G478" s="9">
        <v>4</v>
      </c>
      <c r="H478" s="11">
        <v>15</v>
      </c>
      <c r="I478" s="13">
        <v>4.33</v>
      </c>
      <c r="J478" t="s">
        <v>1096</v>
      </c>
      <c r="K478" t="s">
        <v>2526</v>
      </c>
      <c r="L478" s="7" t="s">
        <v>1414</v>
      </c>
      <c r="M478" s="7" t="s">
        <v>1425</v>
      </c>
      <c r="N478" s="14">
        <f>Greenleaf[[#This Row],[Unit Price]]*Greenleaf[[#This Row],[Quantity Sold]]</f>
        <v>60</v>
      </c>
      <c r="O478" s="13">
        <f>Greenleaf[[#This Row],[Unit Cost]]*Greenleaf[[#This Row],[Quantity Sold]]</f>
        <v>17.32</v>
      </c>
      <c r="P478" s="13">
        <f>Greenleaf[[#This Row],[ Unit  price per quantity]]-Greenleaf[[#This Row],[ Unit cost per quantity]]</f>
        <v>42.68</v>
      </c>
      <c r="Q478" s="14">
        <f>Greenleaf[[#This Row],[Quantity Sold]]*Greenleaf[[#This Row],[Unit Price]]</f>
        <v>60</v>
      </c>
    </row>
    <row r="479" spans="1:17" x14ac:dyDescent="0.25">
      <c r="A479" t="s">
        <v>1905</v>
      </c>
      <c r="B479" s="5">
        <v>45459</v>
      </c>
      <c r="C479" s="5" t="str">
        <f>TEXT(Greenleaf[[#This Row],[Order Date]],"MMM")</f>
        <v>Jun</v>
      </c>
      <c r="D479" s="5" t="str">
        <f>TEXT(Greenleaf[[#This Row],[Order Date]],"YYYY")</f>
        <v>2024</v>
      </c>
      <c r="E479" t="s">
        <v>2462</v>
      </c>
      <c r="F479" s="7" t="s">
        <v>1013</v>
      </c>
      <c r="G479" s="9">
        <v>5</v>
      </c>
      <c r="H479" s="11">
        <v>25</v>
      </c>
      <c r="I479" s="13">
        <v>9.07</v>
      </c>
      <c r="J479" t="s">
        <v>1208</v>
      </c>
      <c r="K479" t="s">
        <v>2486</v>
      </c>
      <c r="L479" s="7" t="s">
        <v>1414</v>
      </c>
      <c r="M479" s="7" t="s">
        <v>1420</v>
      </c>
      <c r="N479" s="14">
        <f>Greenleaf[[#This Row],[Unit Price]]*Greenleaf[[#This Row],[Quantity Sold]]</f>
        <v>125</v>
      </c>
      <c r="O479" s="13">
        <f>Greenleaf[[#This Row],[Unit Cost]]*Greenleaf[[#This Row],[Quantity Sold]]</f>
        <v>45.35</v>
      </c>
      <c r="P479" s="13">
        <f>Greenleaf[[#This Row],[ Unit  price per quantity]]-Greenleaf[[#This Row],[ Unit cost per quantity]]</f>
        <v>79.650000000000006</v>
      </c>
      <c r="Q479" s="14">
        <f>Greenleaf[[#This Row],[Quantity Sold]]*Greenleaf[[#This Row],[Unit Price]]</f>
        <v>125</v>
      </c>
    </row>
    <row r="480" spans="1:17" x14ac:dyDescent="0.25">
      <c r="A480" t="s">
        <v>1906</v>
      </c>
      <c r="B480" s="5">
        <v>45460</v>
      </c>
      <c r="C480" s="5" t="str">
        <f>TEXT(Greenleaf[[#This Row],[Order Date]],"MMM")</f>
        <v>Jun</v>
      </c>
      <c r="D480" s="5" t="str">
        <f>TEXT(Greenleaf[[#This Row],[Order Date]],"YYYY")</f>
        <v>2024</v>
      </c>
      <c r="E480" t="s">
        <v>2463</v>
      </c>
      <c r="F480" s="7" t="s">
        <v>1014</v>
      </c>
      <c r="G480" s="9">
        <v>9</v>
      </c>
      <c r="H480" s="11">
        <v>15</v>
      </c>
      <c r="I480" s="13">
        <v>5.65</v>
      </c>
      <c r="J480" t="s">
        <v>1031</v>
      </c>
      <c r="K480" t="s">
        <v>2491</v>
      </c>
      <c r="L480" s="7" t="s">
        <v>1414</v>
      </c>
      <c r="M480" s="7" t="s">
        <v>1424</v>
      </c>
      <c r="N480" s="14">
        <f>Greenleaf[[#This Row],[Unit Price]]*Greenleaf[[#This Row],[Quantity Sold]]</f>
        <v>135</v>
      </c>
      <c r="O480" s="13">
        <f>Greenleaf[[#This Row],[Unit Cost]]*Greenleaf[[#This Row],[Quantity Sold]]</f>
        <v>50.85</v>
      </c>
      <c r="P480" s="13">
        <f>Greenleaf[[#This Row],[ Unit  price per quantity]]-Greenleaf[[#This Row],[ Unit cost per quantity]]</f>
        <v>84.15</v>
      </c>
      <c r="Q480" s="14">
        <f>Greenleaf[[#This Row],[Quantity Sold]]*Greenleaf[[#This Row],[Unit Price]]</f>
        <v>135</v>
      </c>
    </row>
    <row r="481" spans="1:17" x14ac:dyDescent="0.25">
      <c r="A481" t="s">
        <v>1907</v>
      </c>
      <c r="B481" s="5">
        <v>45460</v>
      </c>
      <c r="C481" s="5" t="str">
        <f>TEXT(Greenleaf[[#This Row],[Order Date]],"MMM")</f>
        <v>Jun</v>
      </c>
      <c r="D481" s="5" t="str">
        <f>TEXT(Greenleaf[[#This Row],[Order Date]],"YYYY")</f>
        <v>2024</v>
      </c>
      <c r="E481" t="s">
        <v>2461</v>
      </c>
      <c r="F481" s="7" t="s">
        <v>1011</v>
      </c>
      <c r="G481" s="9">
        <v>2</v>
      </c>
      <c r="H481" s="11">
        <v>12</v>
      </c>
      <c r="I481" s="13">
        <v>3.36</v>
      </c>
      <c r="J481" t="s">
        <v>1117</v>
      </c>
      <c r="K481" t="s">
        <v>2568</v>
      </c>
      <c r="L481" s="7" t="s">
        <v>1414</v>
      </c>
      <c r="M481" s="7" t="s">
        <v>1422</v>
      </c>
      <c r="N481" s="14">
        <f>Greenleaf[[#This Row],[Unit Price]]*Greenleaf[[#This Row],[Quantity Sold]]</f>
        <v>24</v>
      </c>
      <c r="O481" s="13">
        <f>Greenleaf[[#This Row],[Unit Cost]]*Greenleaf[[#This Row],[Quantity Sold]]</f>
        <v>6.72</v>
      </c>
      <c r="P481" s="13">
        <f>Greenleaf[[#This Row],[ Unit  price per quantity]]-Greenleaf[[#This Row],[ Unit cost per quantity]]</f>
        <v>17.28</v>
      </c>
      <c r="Q481" s="14">
        <f>Greenleaf[[#This Row],[Quantity Sold]]*Greenleaf[[#This Row],[Unit Price]]</f>
        <v>24</v>
      </c>
    </row>
    <row r="482" spans="1:17" x14ac:dyDescent="0.25">
      <c r="A482" t="s">
        <v>1908</v>
      </c>
      <c r="B482" s="5">
        <v>45460</v>
      </c>
      <c r="C482" s="5" t="str">
        <f>TEXT(Greenleaf[[#This Row],[Order Date]],"MMM")</f>
        <v>Jun</v>
      </c>
      <c r="D482" s="5" t="str">
        <f>TEXT(Greenleaf[[#This Row],[Order Date]],"YYYY")</f>
        <v>2024</v>
      </c>
      <c r="E482" t="s">
        <v>2460</v>
      </c>
      <c r="F482" s="7" t="s">
        <v>1015</v>
      </c>
      <c r="G482" s="9">
        <v>10</v>
      </c>
      <c r="H482" s="11">
        <v>10</v>
      </c>
      <c r="I482" s="13">
        <v>2.37</v>
      </c>
      <c r="J482" t="s">
        <v>1200</v>
      </c>
      <c r="K482" t="s">
        <v>2559</v>
      </c>
      <c r="L482" s="7" t="s">
        <v>1414</v>
      </c>
      <c r="M482" s="7" t="s">
        <v>1423</v>
      </c>
      <c r="N482" s="14">
        <f>Greenleaf[[#This Row],[Unit Price]]*Greenleaf[[#This Row],[Quantity Sold]]</f>
        <v>100</v>
      </c>
      <c r="O482" s="13">
        <f>Greenleaf[[#This Row],[Unit Cost]]*Greenleaf[[#This Row],[Quantity Sold]]</f>
        <v>23.700000000000003</v>
      </c>
      <c r="P482" s="13">
        <f>Greenleaf[[#This Row],[ Unit  price per quantity]]-Greenleaf[[#This Row],[ Unit cost per quantity]]</f>
        <v>76.3</v>
      </c>
      <c r="Q482" s="14">
        <f>Greenleaf[[#This Row],[Quantity Sold]]*Greenleaf[[#This Row],[Unit Price]]</f>
        <v>100</v>
      </c>
    </row>
    <row r="483" spans="1:17" x14ac:dyDescent="0.25">
      <c r="A483" t="s">
        <v>1909</v>
      </c>
      <c r="B483" s="5">
        <v>45461</v>
      </c>
      <c r="C483" s="5" t="str">
        <f>TEXT(Greenleaf[[#This Row],[Order Date]],"MMM")</f>
        <v>Jun</v>
      </c>
      <c r="D483" s="5" t="str">
        <f>TEXT(Greenleaf[[#This Row],[Order Date]],"YYYY")</f>
        <v>2024</v>
      </c>
      <c r="E483" t="s">
        <v>2463</v>
      </c>
      <c r="F483" s="7" t="s">
        <v>1014</v>
      </c>
      <c r="G483" s="9">
        <v>9</v>
      </c>
      <c r="H483" s="11">
        <v>15</v>
      </c>
      <c r="I483" s="13">
        <v>3.76</v>
      </c>
      <c r="J483" t="s">
        <v>1060</v>
      </c>
      <c r="K483" t="s">
        <v>2504</v>
      </c>
      <c r="L483" s="7" t="s">
        <v>1416</v>
      </c>
      <c r="M483" s="7" t="s">
        <v>1421</v>
      </c>
      <c r="N483" s="14">
        <f>Greenleaf[[#This Row],[Unit Price]]*Greenleaf[[#This Row],[Quantity Sold]]</f>
        <v>135</v>
      </c>
      <c r="O483" s="13">
        <f>Greenleaf[[#This Row],[Unit Cost]]*Greenleaf[[#This Row],[Quantity Sold]]</f>
        <v>33.839999999999996</v>
      </c>
      <c r="P483" s="13">
        <f>Greenleaf[[#This Row],[ Unit  price per quantity]]-Greenleaf[[#This Row],[ Unit cost per quantity]]</f>
        <v>101.16</v>
      </c>
      <c r="Q483" s="14">
        <f>Greenleaf[[#This Row],[Quantity Sold]]*Greenleaf[[#This Row],[Unit Price]]</f>
        <v>135</v>
      </c>
    </row>
    <row r="484" spans="1:17" x14ac:dyDescent="0.25">
      <c r="A484" t="s">
        <v>1910</v>
      </c>
      <c r="B484" s="5">
        <v>45461</v>
      </c>
      <c r="C484" s="5" t="str">
        <f>TEXT(Greenleaf[[#This Row],[Order Date]],"MMM")</f>
        <v>Jun</v>
      </c>
      <c r="D484" s="5" t="str">
        <f>TEXT(Greenleaf[[#This Row],[Order Date]],"YYYY")</f>
        <v>2024</v>
      </c>
      <c r="E484" t="s">
        <v>2464</v>
      </c>
      <c r="F484" s="7" t="s">
        <v>1012</v>
      </c>
      <c r="G484" s="9">
        <v>3</v>
      </c>
      <c r="H484" s="11">
        <v>40</v>
      </c>
      <c r="I484" s="13">
        <v>11.38</v>
      </c>
      <c r="J484" t="s">
        <v>1195</v>
      </c>
      <c r="K484" t="s">
        <v>2584</v>
      </c>
      <c r="L484" s="7" t="s">
        <v>1415</v>
      </c>
      <c r="M484" s="7" t="s">
        <v>1426</v>
      </c>
      <c r="N484" s="14">
        <f>Greenleaf[[#This Row],[Unit Price]]*Greenleaf[[#This Row],[Quantity Sold]]</f>
        <v>120</v>
      </c>
      <c r="O484" s="13">
        <f>Greenleaf[[#This Row],[Unit Cost]]*Greenleaf[[#This Row],[Quantity Sold]]</f>
        <v>34.14</v>
      </c>
      <c r="P484" s="13">
        <f>Greenleaf[[#This Row],[ Unit  price per quantity]]-Greenleaf[[#This Row],[ Unit cost per quantity]]</f>
        <v>85.86</v>
      </c>
      <c r="Q484" s="14">
        <f>Greenleaf[[#This Row],[Quantity Sold]]*Greenleaf[[#This Row],[Unit Price]]</f>
        <v>120</v>
      </c>
    </row>
    <row r="485" spans="1:17" x14ac:dyDescent="0.25">
      <c r="A485" t="s">
        <v>1911</v>
      </c>
      <c r="B485" s="5">
        <v>45461</v>
      </c>
      <c r="C485" s="5" t="str">
        <f>TEXT(Greenleaf[[#This Row],[Order Date]],"MMM")</f>
        <v>Jun</v>
      </c>
      <c r="D485" s="5" t="str">
        <f>TEXT(Greenleaf[[#This Row],[Order Date]],"YYYY")</f>
        <v>2024</v>
      </c>
      <c r="E485" t="s">
        <v>2460</v>
      </c>
      <c r="F485" s="7" t="s">
        <v>1015</v>
      </c>
      <c r="G485" s="9">
        <v>8</v>
      </c>
      <c r="H485" s="11">
        <v>10</v>
      </c>
      <c r="I485" s="13">
        <v>3.88</v>
      </c>
      <c r="J485" t="s">
        <v>1096</v>
      </c>
      <c r="K485" t="s">
        <v>2526</v>
      </c>
      <c r="L485" s="7" t="s">
        <v>1414</v>
      </c>
      <c r="M485" s="7" t="s">
        <v>1418</v>
      </c>
      <c r="N485" s="14">
        <f>Greenleaf[[#This Row],[Unit Price]]*Greenleaf[[#This Row],[Quantity Sold]]</f>
        <v>80</v>
      </c>
      <c r="O485" s="13">
        <f>Greenleaf[[#This Row],[Unit Cost]]*Greenleaf[[#This Row],[Quantity Sold]]</f>
        <v>31.04</v>
      </c>
      <c r="P485" s="13">
        <f>Greenleaf[[#This Row],[ Unit  price per quantity]]-Greenleaf[[#This Row],[ Unit cost per quantity]]</f>
        <v>48.96</v>
      </c>
      <c r="Q485" s="14">
        <f>Greenleaf[[#This Row],[Quantity Sold]]*Greenleaf[[#This Row],[Unit Price]]</f>
        <v>80</v>
      </c>
    </row>
    <row r="486" spans="1:17" x14ac:dyDescent="0.25">
      <c r="A486" t="s">
        <v>1912</v>
      </c>
      <c r="B486" s="5">
        <v>45461</v>
      </c>
      <c r="C486" s="5" t="str">
        <f>TEXT(Greenleaf[[#This Row],[Order Date]],"MMM")</f>
        <v>Jun</v>
      </c>
      <c r="D486" s="5" t="str">
        <f>TEXT(Greenleaf[[#This Row],[Order Date]],"YYYY")</f>
        <v>2024</v>
      </c>
      <c r="E486" t="s">
        <v>2464</v>
      </c>
      <c r="F486" s="7" t="s">
        <v>1012</v>
      </c>
      <c r="G486" s="9">
        <v>10</v>
      </c>
      <c r="H486" s="11">
        <v>40</v>
      </c>
      <c r="I486" s="13">
        <v>13.77</v>
      </c>
      <c r="J486" t="s">
        <v>1075</v>
      </c>
      <c r="K486" t="s">
        <v>2505</v>
      </c>
      <c r="L486" s="7" t="s">
        <v>1415</v>
      </c>
      <c r="M486" s="7" t="s">
        <v>1423</v>
      </c>
      <c r="N486" s="14">
        <f>Greenleaf[[#This Row],[Unit Price]]*Greenleaf[[#This Row],[Quantity Sold]]</f>
        <v>400</v>
      </c>
      <c r="O486" s="13">
        <f>Greenleaf[[#This Row],[Unit Cost]]*Greenleaf[[#This Row],[Quantity Sold]]</f>
        <v>137.69999999999999</v>
      </c>
      <c r="P486" s="13">
        <f>Greenleaf[[#This Row],[ Unit  price per quantity]]-Greenleaf[[#This Row],[ Unit cost per quantity]]</f>
        <v>262.3</v>
      </c>
      <c r="Q486" s="14">
        <f>Greenleaf[[#This Row],[Quantity Sold]]*Greenleaf[[#This Row],[Unit Price]]</f>
        <v>400</v>
      </c>
    </row>
    <row r="487" spans="1:17" x14ac:dyDescent="0.25">
      <c r="A487" t="s">
        <v>1913</v>
      </c>
      <c r="B487" s="5">
        <v>45462</v>
      </c>
      <c r="C487" s="5" t="str">
        <f>TEXT(Greenleaf[[#This Row],[Order Date]],"MMM")</f>
        <v>Jun</v>
      </c>
      <c r="D487" s="5" t="str">
        <f>TEXT(Greenleaf[[#This Row],[Order Date]],"YYYY")</f>
        <v>2024</v>
      </c>
      <c r="E487" t="s">
        <v>2464</v>
      </c>
      <c r="F487" s="7" t="s">
        <v>1012</v>
      </c>
      <c r="G487" s="9">
        <v>6</v>
      </c>
      <c r="H487" s="11">
        <v>40</v>
      </c>
      <c r="I487" s="13">
        <v>8.89</v>
      </c>
      <c r="J487" t="s">
        <v>1110</v>
      </c>
      <c r="K487" t="s">
        <v>2516</v>
      </c>
      <c r="L487" s="7" t="s">
        <v>1414</v>
      </c>
      <c r="M487" s="7" t="s">
        <v>1424</v>
      </c>
      <c r="N487" s="14">
        <f>Greenleaf[[#This Row],[Unit Price]]*Greenleaf[[#This Row],[Quantity Sold]]</f>
        <v>240</v>
      </c>
      <c r="O487" s="13">
        <f>Greenleaf[[#This Row],[Unit Cost]]*Greenleaf[[#This Row],[Quantity Sold]]</f>
        <v>53.34</v>
      </c>
      <c r="P487" s="13">
        <f>Greenleaf[[#This Row],[ Unit  price per quantity]]-Greenleaf[[#This Row],[ Unit cost per quantity]]</f>
        <v>186.66</v>
      </c>
      <c r="Q487" s="14">
        <f>Greenleaf[[#This Row],[Quantity Sold]]*Greenleaf[[#This Row],[Unit Price]]</f>
        <v>240</v>
      </c>
    </row>
    <row r="488" spans="1:17" x14ac:dyDescent="0.25">
      <c r="A488" t="s">
        <v>1914</v>
      </c>
      <c r="B488" s="5">
        <v>45462</v>
      </c>
      <c r="C488" s="5" t="str">
        <f>TEXT(Greenleaf[[#This Row],[Order Date]],"MMM")</f>
        <v>Jun</v>
      </c>
      <c r="D488" s="5" t="str">
        <f>TEXT(Greenleaf[[#This Row],[Order Date]],"YYYY")</f>
        <v>2024</v>
      </c>
      <c r="E488" t="s">
        <v>2464</v>
      </c>
      <c r="F488" s="7" t="s">
        <v>1012</v>
      </c>
      <c r="G488" s="9">
        <v>3</v>
      </c>
      <c r="H488" s="11">
        <v>40</v>
      </c>
      <c r="I488" s="13">
        <v>11.64</v>
      </c>
      <c r="J488" t="s">
        <v>1080</v>
      </c>
      <c r="K488" t="s">
        <v>2470</v>
      </c>
      <c r="L488" s="7" t="s">
        <v>1414</v>
      </c>
      <c r="M488" s="7" t="s">
        <v>1421</v>
      </c>
      <c r="N488" s="14">
        <f>Greenleaf[[#This Row],[Unit Price]]*Greenleaf[[#This Row],[Quantity Sold]]</f>
        <v>120</v>
      </c>
      <c r="O488" s="13">
        <f>Greenleaf[[#This Row],[Unit Cost]]*Greenleaf[[#This Row],[Quantity Sold]]</f>
        <v>34.92</v>
      </c>
      <c r="P488" s="13">
        <f>Greenleaf[[#This Row],[ Unit  price per quantity]]-Greenleaf[[#This Row],[ Unit cost per quantity]]</f>
        <v>85.08</v>
      </c>
      <c r="Q488" s="14">
        <f>Greenleaf[[#This Row],[Quantity Sold]]*Greenleaf[[#This Row],[Unit Price]]</f>
        <v>120</v>
      </c>
    </row>
    <row r="489" spans="1:17" x14ac:dyDescent="0.25">
      <c r="A489" t="s">
        <v>1915</v>
      </c>
      <c r="B489" s="5">
        <v>45462</v>
      </c>
      <c r="C489" s="5" t="str">
        <f>TEXT(Greenleaf[[#This Row],[Order Date]],"MMM")</f>
        <v>Jun</v>
      </c>
      <c r="D489" s="5" t="str">
        <f>TEXT(Greenleaf[[#This Row],[Order Date]],"YYYY")</f>
        <v>2024</v>
      </c>
      <c r="E489" t="s">
        <v>2463</v>
      </c>
      <c r="F489" s="7" t="s">
        <v>1014</v>
      </c>
      <c r="G489" s="9">
        <v>6</v>
      </c>
      <c r="H489" s="11">
        <v>15</v>
      </c>
      <c r="I489" s="13">
        <v>4.5599999999999996</v>
      </c>
      <c r="J489" t="s">
        <v>1099</v>
      </c>
      <c r="K489" t="s">
        <v>2503</v>
      </c>
      <c r="L489" s="7" t="s">
        <v>1417</v>
      </c>
      <c r="M489" s="7" t="s">
        <v>1423</v>
      </c>
      <c r="N489" s="14">
        <f>Greenleaf[[#This Row],[Unit Price]]*Greenleaf[[#This Row],[Quantity Sold]]</f>
        <v>90</v>
      </c>
      <c r="O489" s="13">
        <f>Greenleaf[[#This Row],[Unit Cost]]*Greenleaf[[#This Row],[Quantity Sold]]</f>
        <v>27.36</v>
      </c>
      <c r="P489" s="13">
        <f>Greenleaf[[#This Row],[ Unit  price per quantity]]-Greenleaf[[#This Row],[ Unit cost per quantity]]</f>
        <v>62.64</v>
      </c>
      <c r="Q489" s="14">
        <f>Greenleaf[[#This Row],[Quantity Sold]]*Greenleaf[[#This Row],[Unit Price]]</f>
        <v>90</v>
      </c>
    </row>
    <row r="490" spans="1:17" x14ac:dyDescent="0.25">
      <c r="A490" t="s">
        <v>1916</v>
      </c>
      <c r="B490" s="5">
        <v>45462</v>
      </c>
      <c r="C490" s="5" t="str">
        <f>TEXT(Greenleaf[[#This Row],[Order Date]],"MMM")</f>
        <v>Jun</v>
      </c>
      <c r="D490" s="5" t="str">
        <f>TEXT(Greenleaf[[#This Row],[Order Date]],"YYYY")</f>
        <v>2024</v>
      </c>
      <c r="E490" t="s">
        <v>2461</v>
      </c>
      <c r="F490" s="7" t="s">
        <v>1011</v>
      </c>
      <c r="G490" s="9">
        <v>5</v>
      </c>
      <c r="H490" s="11">
        <v>12</v>
      </c>
      <c r="I490" s="13">
        <v>4.3499999999999996</v>
      </c>
      <c r="J490" t="s">
        <v>1110</v>
      </c>
      <c r="K490" t="s">
        <v>2516</v>
      </c>
      <c r="L490" s="7" t="s">
        <v>1414</v>
      </c>
      <c r="M490" s="7" t="s">
        <v>1426</v>
      </c>
      <c r="N490" s="14">
        <f>Greenleaf[[#This Row],[Unit Price]]*Greenleaf[[#This Row],[Quantity Sold]]</f>
        <v>60</v>
      </c>
      <c r="O490" s="13">
        <f>Greenleaf[[#This Row],[Unit Cost]]*Greenleaf[[#This Row],[Quantity Sold]]</f>
        <v>21.75</v>
      </c>
      <c r="P490" s="13">
        <f>Greenleaf[[#This Row],[ Unit  price per quantity]]-Greenleaf[[#This Row],[ Unit cost per quantity]]</f>
        <v>38.25</v>
      </c>
      <c r="Q490" s="14">
        <f>Greenleaf[[#This Row],[Quantity Sold]]*Greenleaf[[#This Row],[Unit Price]]</f>
        <v>60</v>
      </c>
    </row>
    <row r="491" spans="1:17" x14ac:dyDescent="0.25">
      <c r="A491" t="s">
        <v>1917</v>
      </c>
      <c r="B491" s="5">
        <v>45463</v>
      </c>
      <c r="C491" s="5" t="str">
        <f>TEXT(Greenleaf[[#This Row],[Order Date]],"MMM")</f>
        <v>Jun</v>
      </c>
      <c r="D491" s="5" t="str">
        <f>TEXT(Greenleaf[[#This Row],[Order Date]],"YYYY")</f>
        <v>2024</v>
      </c>
      <c r="E491" t="s">
        <v>2462</v>
      </c>
      <c r="F491" s="7" t="s">
        <v>1013</v>
      </c>
      <c r="G491" s="9">
        <v>10</v>
      </c>
      <c r="H491" s="11">
        <v>25</v>
      </c>
      <c r="I491" s="13">
        <v>6.8</v>
      </c>
      <c r="J491" t="s">
        <v>1050</v>
      </c>
      <c r="K491" t="s">
        <v>2488</v>
      </c>
      <c r="L491" s="7" t="s">
        <v>1414</v>
      </c>
      <c r="M491" s="7" t="s">
        <v>1419</v>
      </c>
      <c r="N491" s="14">
        <f>Greenleaf[[#This Row],[Unit Price]]*Greenleaf[[#This Row],[Quantity Sold]]</f>
        <v>250</v>
      </c>
      <c r="O491" s="13">
        <f>Greenleaf[[#This Row],[Unit Cost]]*Greenleaf[[#This Row],[Quantity Sold]]</f>
        <v>68</v>
      </c>
      <c r="P491" s="13">
        <f>Greenleaf[[#This Row],[ Unit  price per quantity]]-Greenleaf[[#This Row],[ Unit cost per quantity]]</f>
        <v>182</v>
      </c>
      <c r="Q491" s="14">
        <f>Greenleaf[[#This Row],[Quantity Sold]]*Greenleaf[[#This Row],[Unit Price]]</f>
        <v>250</v>
      </c>
    </row>
    <row r="492" spans="1:17" x14ac:dyDescent="0.25">
      <c r="A492" t="s">
        <v>1918</v>
      </c>
      <c r="B492" s="5">
        <v>45464</v>
      </c>
      <c r="C492" s="5" t="str">
        <f>TEXT(Greenleaf[[#This Row],[Order Date]],"MMM")</f>
        <v>Jun</v>
      </c>
      <c r="D492" s="5" t="str">
        <f>TEXT(Greenleaf[[#This Row],[Order Date]],"YYYY")</f>
        <v>2024</v>
      </c>
      <c r="E492" t="s">
        <v>2461</v>
      </c>
      <c r="F492" s="7" t="s">
        <v>1011</v>
      </c>
      <c r="G492" s="9">
        <v>4</v>
      </c>
      <c r="H492" s="11">
        <v>12</v>
      </c>
      <c r="I492" s="13">
        <v>3.38</v>
      </c>
      <c r="J492" t="s">
        <v>1058</v>
      </c>
      <c r="K492" t="s">
        <v>2522</v>
      </c>
      <c r="L492" s="7" t="s">
        <v>1417</v>
      </c>
      <c r="M492" s="7" t="s">
        <v>1427</v>
      </c>
      <c r="N492" s="14">
        <f>Greenleaf[[#This Row],[Unit Price]]*Greenleaf[[#This Row],[Quantity Sold]]</f>
        <v>48</v>
      </c>
      <c r="O492" s="13">
        <f>Greenleaf[[#This Row],[Unit Cost]]*Greenleaf[[#This Row],[Quantity Sold]]</f>
        <v>13.52</v>
      </c>
      <c r="P492" s="13">
        <f>Greenleaf[[#This Row],[ Unit  price per quantity]]-Greenleaf[[#This Row],[ Unit cost per quantity]]</f>
        <v>34.480000000000004</v>
      </c>
      <c r="Q492" s="14">
        <f>Greenleaf[[#This Row],[Quantity Sold]]*Greenleaf[[#This Row],[Unit Price]]</f>
        <v>48</v>
      </c>
    </row>
    <row r="493" spans="1:17" x14ac:dyDescent="0.25">
      <c r="A493" t="s">
        <v>1919</v>
      </c>
      <c r="B493" s="5">
        <v>45464</v>
      </c>
      <c r="C493" s="5" t="str">
        <f>TEXT(Greenleaf[[#This Row],[Order Date]],"MMM")</f>
        <v>Jun</v>
      </c>
      <c r="D493" s="5" t="str">
        <f>TEXT(Greenleaf[[#This Row],[Order Date]],"YYYY")</f>
        <v>2024</v>
      </c>
      <c r="E493" t="s">
        <v>2460</v>
      </c>
      <c r="F493" s="7" t="s">
        <v>1015</v>
      </c>
      <c r="G493" s="9">
        <v>4</v>
      </c>
      <c r="H493" s="11">
        <v>10</v>
      </c>
      <c r="I493" s="13">
        <v>3.23</v>
      </c>
      <c r="J493" t="s">
        <v>1207</v>
      </c>
      <c r="K493" t="s">
        <v>2575</v>
      </c>
      <c r="L493" s="7" t="s">
        <v>1417</v>
      </c>
      <c r="M493" s="7" t="s">
        <v>1427</v>
      </c>
      <c r="N493" s="14">
        <f>Greenleaf[[#This Row],[Unit Price]]*Greenleaf[[#This Row],[Quantity Sold]]</f>
        <v>40</v>
      </c>
      <c r="O493" s="13">
        <f>Greenleaf[[#This Row],[Unit Cost]]*Greenleaf[[#This Row],[Quantity Sold]]</f>
        <v>12.92</v>
      </c>
      <c r="P493" s="13">
        <f>Greenleaf[[#This Row],[ Unit  price per quantity]]-Greenleaf[[#This Row],[ Unit cost per quantity]]</f>
        <v>27.08</v>
      </c>
      <c r="Q493" s="14">
        <f>Greenleaf[[#This Row],[Quantity Sold]]*Greenleaf[[#This Row],[Unit Price]]</f>
        <v>40</v>
      </c>
    </row>
    <row r="494" spans="1:17" x14ac:dyDescent="0.25">
      <c r="A494" t="s">
        <v>1920</v>
      </c>
      <c r="B494" s="5">
        <v>45465</v>
      </c>
      <c r="C494" s="5" t="str">
        <f>TEXT(Greenleaf[[#This Row],[Order Date]],"MMM")</f>
        <v>Jun</v>
      </c>
      <c r="D494" s="5" t="str">
        <f>TEXT(Greenleaf[[#This Row],[Order Date]],"YYYY")</f>
        <v>2024</v>
      </c>
      <c r="E494" t="s">
        <v>2461</v>
      </c>
      <c r="F494" s="7" t="s">
        <v>1011</v>
      </c>
      <c r="G494" s="9">
        <v>8</v>
      </c>
      <c r="H494" s="11">
        <v>12</v>
      </c>
      <c r="I494" s="13">
        <v>4.22</v>
      </c>
      <c r="J494" t="s">
        <v>1087</v>
      </c>
      <c r="K494" t="s">
        <v>2521</v>
      </c>
      <c r="L494" s="7" t="s">
        <v>1417</v>
      </c>
      <c r="M494" s="7" t="s">
        <v>1422</v>
      </c>
      <c r="N494" s="14">
        <f>Greenleaf[[#This Row],[Unit Price]]*Greenleaf[[#This Row],[Quantity Sold]]</f>
        <v>96</v>
      </c>
      <c r="O494" s="13">
        <f>Greenleaf[[#This Row],[Unit Cost]]*Greenleaf[[#This Row],[Quantity Sold]]</f>
        <v>33.76</v>
      </c>
      <c r="P494" s="13">
        <f>Greenleaf[[#This Row],[ Unit  price per quantity]]-Greenleaf[[#This Row],[ Unit cost per quantity]]</f>
        <v>62.24</v>
      </c>
      <c r="Q494" s="14">
        <f>Greenleaf[[#This Row],[Quantity Sold]]*Greenleaf[[#This Row],[Unit Price]]</f>
        <v>96</v>
      </c>
    </row>
    <row r="495" spans="1:17" x14ac:dyDescent="0.25">
      <c r="A495" t="s">
        <v>1921</v>
      </c>
      <c r="B495" s="5">
        <v>45465</v>
      </c>
      <c r="C495" s="5" t="str">
        <f>TEXT(Greenleaf[[#This Row],[Order Date]],"MMM")</f>
        <v>Jun</v>
      </c>
      <c r="D495" s="5" t="str">
        <f>TEXT(Greenleaf[[#This Row],[Order Date]],"YYYY")</f>
        <v>2024</v>
      </c>
      <c r="E495" t="s">
        <v>2461</v>
      </c>
      <c r="F495" s="7" t="s">
        <v>1011</v>
      </c>
      <c r="G495" s="9">
        <v>9</v>
      </c>
      <c r="H495" s="11">
        <v>12</v>
      </c>
      <c r="I495" s="13">
        <v>4.3</v>
      </c>
      <c r="J495" t="s">
        <v>1139</v>
      </c>
      <c r="K495" t="s">
        <v>2479</v>
      </c>
      <c r="L495" s="7" t="s">
        <v>1416</v>
      </c>
      <c r="M495" s="7" t="s">
        <v>1420</v>
      </c>
      <c r="N495" s="14">
        <f>Greenleaf[[#This Row],[Unit Price]]*Greenleaf[[#This Row],[Quantity Sold]]</f>
        <v>108</v>
      </c>
      <c r="O495" s="13">
        <f>Greenleaf[[#This Row],[Unit Cost]]*Greenleaf[[#This Row],[Quantity Sold]]</f>
        <v>38.699999999999996</v>
      </c>
      <c r="P495" s="13">
        <f>Greenleaf[[#This Row],[ Unit  price per quantity]]-Greenleaf[[#This Row],[ Unit cost per quantity]]</f>
        <v>69.300000000000011</v>
      </c>
      <c r="Q495" s="14">
        <f>Greenleaf[[#This Row],[Quantity Sold]]*Greenleaf[[#This Row],[Unit Price]]</f>
        <v>108</v>
      </c>
    </row>
    <row r="496" spans="1:17" x14ac:dyDescent="0.25">
      <c r="A496" t="s">
        <v>1922</v>
      </c>
      <c r="B496" s="5">
        <v>45465</v>
      </c>
      <c r="C496" s="5" t="str">
        <f>TEXT(Greenleaf[[#This Row],[Order Date]],"MMM")</f>
        <v>Jun</v>
      </c>
      <c r="D496" s="5" t="str">
        <f>TEXT(Greenleaf[[#This Row],[Order Date]],"YYYY")</f>
        <v>2024</v>
      </c>
      <c r="E496" t="s">
        <v>2461</v>
      </c>
      <c r="F496" s="7" t="s">
        <v>1011</v>
      </c>
      <c r="G496" s="9">
        <v>7</v>
      </c>
      <c r="H496" s="11">
        <v>12</v>
      </c>
      <c r="I496" s="13">
        <v>2.96</v>
      </c>
      <c r="J496" t="s">
        <v>1204</v>
      </c>
      <c r="K496" t="s">
        <v>2531</v>
      </c>
      <c r="L496" s="7" t="s">
        <v>1414</v>
      </c>
      <c r="M496" s="7" t="s">
        <v>1427</v>
      </c>
      <c r="N496" s="14">
        <f>Greenleaf[[#This Row],[Unit Price]]*Greenleaf[[#This Row],[Quantity Sold]]</f>
        <v>84</v>
      </c>
      <c r="O496" s="13">
        <f>Greenleaf[[#This Row],[Unit Cost]]*Greenleaf[[#This Row],[Quantity Sold]]</f>
        <v>20.72</v>
      </c>
      <c r="P496" s="13">
        <f>Greenleaf[[#This Row],[ Unit  price per quantity]]-Greenleaf[[#This Row],[ Unit cost per quantity]]</f>
        <v>63.28</v>
      </c>
      <c r="Q496" s="14">
        <f>Greenleaf[[#This Row],[Quantity Sold]]*Greenleaf[[#This Row],[Unit Price]]</f>
        <v>84</v>
      </c>
    </row>
    <row r="497" spans="1:17" x14ac:dyDescent="0.25">
      <c r="A497" t="s">
        <v>1923</v>
      </c>
      <c r="B497" s="5">
        <v>45466</v>
      </c>
      <c r="C497" s="5" t="str">
        <f>TEXT(Greenleaf[[#This Row],[Order Date]],"MMM")</f>
        <v>Jun</v>
      </c>
      <c r="D497" s="5" t="str">
        <f>TEXT(Greenleaf[[#This Row],[Order Date]],"YYYY")</f>
        <v>2024</v>
      </c>
      <c r="E497" t="s">
        <v>2460</v>
      </c>
      <c r="F497" s="7" t="s">
        <v>1015</v>
      </c>
      <c r="G497" s="9">
        <v>9</v>
      </c>
      <c r="H497" s="11">
        <v>10</v>
      </c>
      <c r="I497" s="13">
        <v>2.59</v>
      </c>
      <c r="J497" t="s">
        <v>1160</v>
      </c>
      <c r="K497" t="s">
        <v>2519</v>
      </c>
      <c r="L497" s="7" t="s">
        <v>1414</v>
      </c>
      <c r="M497" s="7" t="s">
        <v>1421</v>
      </c>
      <c r="N497" s="14">
        <f>Greenleaf[[#This Row],[Unit Price]]*Greenleaf[[#This Row],[Quantity Sold]]</f>
        <v>90</v>
      </c>
      <c r="O497" s="13">
        <f>Greenleaf[[#This Row],[Unit Cost]]*Greenleaf[[#This Row],[Quantity Sold]]</f>
        <v>23.31</v>
      </c>
      <c r="P497" s="13">
        <f>Greenleaf[[#This Row],[ Unit  price per quantity]]-Greenleaf[[#This Row],[ Unit cost per quantity]]</f>
        <v>66.69</v>
      </c>
      <c r="Q497" s="14">
        <f>Greenleaf[[#This Row],[Quantity Sold]]*Greenleaf[[#This Row],[Unit Price]]</f>
        <v>90</v>
      </c>
    </row>
    <row r="498" spans="1:17" x14ac:dyDescent="0.25">
      <c r="A498" t="s">
        <v>1924</v>
      </c>
      <c r="B498" s="5">
        <v>45466</v>
      </c>
      <c r="C498" s="5" t="str">
        <f>TEXT(Greenleaf[[#This Row],[Order Date]],"MMM")</f>
        <v>Jun</v>
      </c>
      <c r="D498" s="5" t="str">
        <f>TEXT(Greenleaf[[#This Row],[Order Date]],"YYYY")</f>
        <v>2024</v>
      </c>
      <c r="E498" t="s">
        <v>2461</v>
      </c>
      <c r="F498" s="7" t="s">
        <v>1011</v>
      </c>
      <c r="G498" s="9">
        <v>10</v>
      </c>
      <c r="H498" s="11">
        <v>12</v>
      </c>
      <c r="I498" s="13">
        <v>4.32</v>
      </c>
      <c r="J498" t="s">
        <v>1087</v>
      </c>
      <c r="K498" t="s">
        <v>2521</v>
      </c>
      <c r="L498" s="7" t="s">
        <v>1414</v>
      </c>
      <c r="M498" s="7" t="s">
        <v>1425</v>
      </c>
      <c r="N498" s="14">
        <f>Greenleaf[[#This Row],[Unit Price]]*Greenleaf[[#This Row],[Quantity Sold]]</f>
        <v>120</v>
      </c>
      <c r="O498" s="13">
        <f>Greenleaf[[#This Row],[Unit Cost]]*Greenleaf[[#This Row],[Quantity Sold]]</f>
        <v>43.2</v>
      </c>
      <c r="P498" s="13">
        <f>Greenleaf[[#This Row],[ Unit  price per quantity]]-Greenleaf[[#This Row],[ Unit cost per quantity]]</f>
        <v>76.8</v>
      </c>
      <c r="Q498" s="14">
        <f>Greenleaf[[#This Row],[Quantity Sold]]*Greenleaf[[#This Row],[Unit Price]]</f>
        <v>120</v>
      </c>
    </row>
    <row r="499" spans="1:17" x14ac:dyDescent="0.25">
      <c r="A499" t="s">
        <v>1925</v>
      </c>
      <c r="B499" s="5">
        <v>45466</v>
      </c>
      <c r="C499" s="5" t="str">
        <f>TEXT(Greenleaf[[#This Row],[Order Date]],"MMM")</f>
        <v>Jun</v>
      </c>
      <c r="D499" s="5" t="str">
        <f>TEXT(Greenleaf[[#This Row],[Order Date]],"YYYY")</f>
        <v>2024</v>
      </c>
      <c r="E499" t="s">
        <v>2464</v>
      </c>
      <c r="F499" s="7" t="s">
        <v>1012</v>
      </c>
      <c r="G499" s="9">
        <v>1</v>
      </c>
      <c r="H499" s="11">
        <v>40</v>
      </c>
      <c r="I499" s="13">
        <v>10.67</v>
      </c>
      <c r="J499" t="s">
        <v>1040</v>
      </c>
      <c r="K499" t="s">
        <v>2510</v>
      </c>
      <c r="L499" s="7" t="s">
        <v>1414</v>
      </c>
      <c r="M499" s="7" t="s">
        <v>1427</v>
      </c>
      <c r="N499" s="14">
        <f>Greenleaf[[#This Row],[Unit Price]]*Greenleaf[[#This Row],[Quantity Sold]]</f>
        <v>40</v>
      </c>
      <c r="O499" s="13">
        <f>Greenleaf[[#This Row],[Unit Cost]]*Greenleaf[[#This Row],[Quantity Sold]]</f>
        <v>10.67</v>
      </c>
      <c r="P499" s="13">
        <f>Greenleaf[[#This Row],[ Unit  price per quantity]]-Greenleaf[[#This Row],[ Unit cost per quantity]]</f>
        <v>29.33</v>
      </c>
      <c r="Q499" s="14">
        <f>Greenleaf[[#This Row],[Quantity Sold]]*Greenleaf[[#This Row],[Unit Price]]</f>
        <v>40</v>
      </c>
    </row>
    <row r="500" spans="1:17" x14ac:dyDescent="0.25">
      <c r="A500" t="s">
        <v>1926</v>
      </c>
      <c r="B500" s="5">
        <v>45466</v>
      </c>
      <c r="C500" s="5" t="str">
        <f>TEXT(Greenleaf[[#This Row],[Order Date]],"MMM")</f>
        <v>Jun</v>
      </c>
      <c r="D500" s="5" t="str">
        <f>TEXT(Greenleaf[[#This Row],[Order Date]],"YYYY")</f>
        <v>2024</v>
      </c>
      <c r="E500" t="s">
        <v>2464</v>
      </c>
      <c r="F500" s="7" t="s">
        <v>1012</v>
      </c>
      <c r="G500" s="9">
        <v>3</v>
      </c>
      <c r="H500" s="11">
        <v>40</v>
      </c>
      <c r="I500" s="13">
        <v>9.52</v>
      </c>
      <c r="J500" t="s">
        <v>1048</v>
      </c>
      <c r="K500" t="s">
        <v>2526</v>
      </c>
      <c r="L500" s="7" t="s">
        <v>1414</v>
      </c>
      <c r="M500" s="7" t="s">
        <v>1425</v>
      </c>
      <c r="N500" s="14">
        <f>Greenleaf[[#This Row],[Unit Price]]*Greenleaf[[#This Row],[Quantity Sold]]</f>
        <v>120</v>
      </c>
      <c r="O500" s="13">
        <f>Greenleaf[[#This Row],[Unit Cost]]*Greenleaf[[#This Row],[Quantity Sold]]</f>
        <v>28.56</v>
      </c>
      <c r="P500" s="13">
        <f>Greenleaf[[#This Row],[ Unit  price per quantity]]-Greenleaf[[#This Row],[ Unit cost per quantity]]</f>
        <v>91.44</v>
      </c>
      <c r="Q500" s="14">
        <f>Greenleaf[[#This Row],[Quantity Sold]]*Greenleaf[[#This Row],[Unit Price]]</f>
        <v>120</v>
      </c>
    </row>
    <row r="501" spans="1:17" x14ac:dyDescent="0.25">
      <c r="A501" t="s">
        <v>1927</v>
      </c>
      <c r="B501" s="5">
        <v>45466</v>
      </c>
      <c r="C501" s="5" t="str">
        <f>TEXT(Greenleaf[[#This Row],[Order Date]],"MMM")</f>
        <v>Jun</v>
      </c>
      <c r="D501" s="5" t="str">
        <f>TEXT(Greenleaf[[#This Row],[Order Date]],"YYYY")</f>
        <v>2024</v>
      </c>
      <c r="E501" t="s">
        <v>2464</v>
      </c>
      <c r="F501" s="7" t="s">
        <v>1012</v>
      </c>
      <c r="G501" s="9">
        <v>8</v>
      </c>
      <c r="H501" s="11">
        <v>40</v>
      </c>
      <c r="I501" s="13">
        <v>13.53</v>
      </c>
      <c r="J501" t="s">
        <v>1116</v>
      </c>
      <c r="K501" t="s">
        <v>2486</v>
      </c>
      <c r="L501" s="7" t="s">
        <v>1414</v>
      </c>
      <c r="M501" s="7" t="s">
        <v>1424</v>
      </c>
      <c r="N501" s="14">
        <f>Greenleaf[[#This Row],[Unit Price]]*Greenleaf[[#This Row],[Quantity Sold]]</f>
        <v>320</v>
      </c>
      <c r="O501" s="13">
        <f>Greenleaf[[#This Row],[Unit Cost]]*Greenleaf[[#This Row],[Quantity Sold]]</f>
        <v>108.24</v>
      </c>
      <c r="P501" s="13">
        <f>Greenleaf[[#This Row],[ Unit  price per quantity]]-Greenleaf[[#This Row],[ Unit cost per quantity]]</f>
        <v>211.76</v>
      </c>
      <c r="Q501" s="14">
        <f>Greenleaf[[#This Row],[Quantity Sold]]*Greenleaf[[#This Row],[Unit Price]]</f>
        <v>320</v>
      </c>
    </row>
    <row r="502" spans="1:17" x14ac:dyDescent="0.25">
      <c r="A502" t="s">
        <v>1928</v>
      </c>
      <c r="B502" s="5">
        <v>45467</v>
      </c>
      <c r="C502" s="5" t="str">
        <f>TEXT(Greenleaf[[#This Row],[Order Date]],"MMM")</f>
        <v>Jun</v>
      </c>
      <c r="D502" s="5" t="str">
        <f>TEXT(Greenleaf[[#This Row],[Order Date]],"YYYY")</f>
        <v>2024</v>
      </c>
      <c r="E502" t="s">
        <v>2464</v>
      </c>
      <c r="F502" s="7" t="s">
        <v>1012</v>
      </c>
      <c r="G502" s="9">
        <v>2</v>
      </c>
      <c r="H502" s="11">
        <v>40</v>
      </c>
      <c r="I502" s="13">
        <v>11.47</v>
      </c>
      <c r="J502" t="s">
        <v>1030</v>
      </c>
      <c r="K502" t="s">
        <v>2496</v>
      </c>
      <c r="L502" s="7" t="s">
        <v>1414</v>
      </c>
      <c r="M502" s="7" t="s">
        <v>1426</v>
      </c>
      <c r="N502" s="14">
        <f>Greenleaf[[#This Row],[Unit Price]]*Greenleaf[[#This Row],[Quantity Sold]]</f>
        <v>80</v>
      </c>
      <c r="O502" s="13">
        <f>Greenleaf[[#This Row],[Unit Cost]]*Greenleaf[[#This Row],[Quantity Sold]]</f>
        <v>22.94</v>
      </c>
      <c r="P502" s="13">
        <f>Greenleaf[[#This Row],[ Unit  price per quantity]]-Greenleaf[[#This Row],[ Unit cost per quantity]]</f>
        <v>57.06</v>
      </c>
      <c r="Q502" s="14">
        <f>Greenleaf[[#This Row],[Quantity Sold]]*Greenleaf[[#This Row],[Unit Price]]</f>
        <v>80</v>
      </c>
    </row>
    <row r="503" spans="1:17" x14ac:dyDescent="0.25">
      <c r="A503" t="s">
        <v>1929</v>
      </c>
      <c r="B503" s="5">
        <v>45467</v>
      </c>
      <c r="C503" s="5" t="str">
        <f>TEXT(Greenleaf[[#This Row],[Order Date]],"MMM")</f>
        <v>Jun</v>
      </c>
      <c r="D503" s="5" t="str">
        <f>TEXT(Greenleaf[[#This Row],[Order Date]],"YYYY")</f>
        <v>2024</v>
      </c>
      <c r="E503" t="s">
        <v>2462</v>
      </c>
      <c r="F503" s="7" t="s">
        <v>1013</v>
      </c>
      <c r="G503" s="9">
        <v>4</v>
      </c>
      <c r="H503" s="11">
        <v>25</v>
      </c>
      <c r="I503" s="13">
        <v>6.06</v>
      </c>
      <c r="J503" t="s">
        <v>1083</v>
      </c>
      <c r="K503" t="s">
        <v>2526</v>
      </c>
      <c r="L503" s="7" t="s">
        <v>1416</v>
      </c>
      <c r="M503" s="7" t="s">
        <v>1421</v>
      </c>
      <c r="N503" s="14">
        <f>Greenleaf[[#This Row],[Unit Price]]*Greenleaf[[#This Row],[Quantity Sold]]</f>
        <v>100</v>
      </c>
      <c r="O503" s="13">
        <f>Greenleaf[[#This Row],[Unit Cost]]*Greenleaf[[#This Row],[Quantity Sold]]</f>
        <v>24.24</v>
      </c>
      <c r="P503" s="13">
        <f>Greenleaf[[#This Row],[ Unit  price per quantity]]-Greenleaf[[#This Row],[ Unit cost per quantity]]</f>
        <v>75.760000000000005</v>
      </c>
      <c r="Q503" s="14">
        <f>Greenleaf[[#This Row],[Quantity Sold]]*Greenleaf[[#This Row],[Unit Price]]</f>
        <v>100</v>
      </c>
    </row>
    <row r="504" spans="1:17" x14ac:dyDescent="0.25">
      <c r="A504" t="s">
        <v>1930</v>
      </c>
      <c r="B504" s="5">
        <v>45468</v>
      </c>
      <c r="C504" s="5" t="str">
        <f>TEXT(Greenleaf[[#This Row],[Order Date]],"MMM")</f>
        <v>Jun</v>
      </c>
      <c r="D504" s="5" t="str">
        <f>TEXT(Greenleaf[[#This Row],[Order Date]],"YYYY")</f>
        <v>2024</v>
      </c>
      <c r="E504" t="s">
        <v>2463</v>
      </c>
      <c r="F504" s="7" t="s">
        <v>1014</v>
      </c>
      <c r="G504" s="9">
        <v>5</v>
      </c>
      <c r="H504" s="11">
        <v>15</v>
      </c>
      <c r="I504" s="13">
        <v>3.29</v>
      </c>
      <c r="J504" t="s">
        <v>1082</v>
      </c>
      <c r="K504" t="s">
        <v>2532</v>
      </c>
      <c r="L504" s="7" t="s">
        <v>1414</v>
      </c>
      <c r="M504" s="7" t="s">
        <v>1426</v>
      </c>
      <c r="N504" s="14">
        <f>Greenleaf[[#This Row],[Unit Price]]*Greenleaf[[#This Row],[Quantity Sold]]</f>
        <v>75</v>
      </c>
      <c r="O504" s="13">
        <f>Greenleaf[[#This Row],[Unit Cost]]*Greenleaf[[#This Row],[Quantity Sold]]</f>
        <v>16.45</v>
      </c>
      <c r="P504" s="13">
        <f>Greenleaf[[#This Row],[ Unit  price per quantity]]-Greenleaf[[#This Row],[ Unit cost per quantity]]</f>
        <v>58.55</v>
      </c>
      <c r="Q504" s="14">
        <f>Greenleaf[[#This Row],[Quantity Sold]]*Greenleaf[[#This Row],[Unit Price]]</f>
        <v>75</v>
      </c>
    </row>
    <row r="505" spans="1:17" x14ac:dyDescent="0.25">
      <c r="A505" t="s">
        <v>1931</v>
      </c>
      <c r="B505" s="5">
        <v>45468</v>
      </c>
      <c r="C505" s="5" t="str">
        <f>TEXT(Greenleaf[[#This Row],[Order Date]],"MMM")</f>
        <v>Jun</v>
      </c>
      <c r="D505" s="5" t="str">
        <f>TEXT(Greenleaf[[#This Row],[Order Date]],"YYYY")</f>
        <v>2024</v>
      </c>
      <c r="E505" t="s">
        <v>2461</v>
      </c>
      <c r="F505" s="7" t="s">
        <v>1011</v>
      </c>
      <c r="G505" s="9">
        <v>9</v>
      </c>
      <c r="H505" s="11">
        <v>12</v>
      </c>
      <c r="I505" s="13">
        <v>4.29</v>
      </c>
      <c r="J505" t="s">
        <v>1054</v>
      </c>
      <c r="K505" t="s">
        <v>2552</v>
      </c>
      <c r="L505" s="7" t="s">
        <v>1414</v>
      </c>
      <c r="M505" s="7" t="s">
        <v>1420</v>
      </c>
      <c r="N505" s="14">
        <f>Greenleaf[[#This Row],[Unit Price]]*Greenleaf[[#This Row],[Quantity Sold]]</f>
        <v>108</v>
      </c>
      <c r="O505" s="13">
        <f>Greenleaf[[#This Row],[Unit Cost]]*Greenleaf[[#This Row],[Quantity Sold]]</f>
        <v>38.61</v>
      </c>
      <c r="P505" s="13">
        <f>Greenleaf[[#This Row],[ Unit  price per quantity]]-Greenleaf[[#This Row],[ Unit cost per quantity]]</f>
        <v>69.39</v>
      </c>
      <c r="Q505" s="14">
        <f>Greenleaf[[#This Row],[Quantity Sold]]*Greenleaf[[#This Row],[Unit Price]]</f>
        <v>108</v>
      </c>
    </row>
    <row r="506" spans="1:17" x14ac:dyDescent="0.25">
      <c r="A506" t="s">
        <v>1932</v>
      </c>
      <c r="B506" s="5">
        <v>45468</v>
      </c>
      <c r="C506" s="5" t="str">
        <f>TEXT(Greenleaf[[#This Row],[Order Date]],"MMM")</f>
        <v>Jun</v>
      </c>
      <c r="D506" s="5" t="str">
        <f>TEXT(Greenleaf[[#This Row],[Order Date]],"YYYY")</f>
        <v>2024</v>
      </c>
      <c r="E506" t="s">
        <v>2461</v>
      </c>
      <c r="F506" s="7" t="s">
        <v>1011</v>
      </c>
      <c r="G506" s="9">
        <v>4</v>
      </c>
      <c r="H506" s="11">
        <v>12</v>
      </c>
      <c r="I506" s="13">
        <v>3.42</v>
      </c>
      <c r="J506" t="s">
        <v>1119</v>
      </c>
      <c r="K506" t="s">
        <v>2542</v>
      </c>
      <c r="L506" s="7" t="s">
        <v>1414</v>
      </c>
      <c r="M506" s="7" t="s">
        <v>1426</v>
      </c>
      <c r="N506" s="14">
        <f>Greenleaf[[#This Row],[Unit Price]]*Greenleaf[[#This Row],[Quantity Sold]]</f>
        <v>48</v>
      </c>
      <c r="O506" s="13">
        <f>Greenleaf[[#This Row],[Unit Cost]]*Greenleaf[[#This Row],[Quantity Sold]]</f>
        <v>13.68</v>
      </c>
      <c r="P506" s="13">
        <f>Greenleaf[[#This Row],[ Unit  price per quantity]]-Greenleaf[[#This Row],[ Unit cost per quantity]]</f>
        <v>34.32</v>
      </c>
      <c r="Q506" s="14">
        <f>Greenleaf[[#This Row],[Quantity Sold]]*Greenleaf[[#This Row],[Unit Price]]</f>
        <v>48</v>
      </c>
    </row>
    <row r="507" spans="1:17" x14ac:dyDescent="0.25">
      <c r="A507" t="s">
        <v>1933</v>
      </c>
      <c r="B507" s="5">
        <v>45469</v>
      </c>
      <c r="C507" s="5" t="str">
        <f>TEXT(Greenleaf[[#This Row],[Order Date]],"MMM")</f>
        <v>Jun</v>
      </c>
      <c r="D507" s="5" t="str">
        <f>TEXT(Greenleaf[[#This Row],[Order Date]],"YYYY")</f>
        <v>2024</v>
      </c>
      <c r="E507" t="s">
        <v>2463</v>
      </c>
      <c r="F507" s="7" t="s">
        <v>1014</v>
      </c>
      <c r="G507" s="9">
        <v>6</v>
      </c>
      <c r="H507" s="11">
        <v>15</v>
      </c>
      <c r="I507" s="13">
        <v>5.73</v>
      </c>
      <c r="J507" t="s">
        <v>1106</v>
      </c>
      <c r="K507" t="s">
        <v>2565</v>
      </c>
      <c r="L507" s="7" t="s">
        <v>1416</v>
      </c>
      <c r="M507" s="7" t="s">
        <v>1422</v>
      </c>
      <c r="N507" s="14">
        <f>Greenleaf[[#This Row],[Unit Price]]*Greenleaf[[#This Row],[Quantity Sold]]</f>
        <v>90</v>
      </c>
      <c r="O507" s="13">
        <f>Greenleaf[[#This Row],[Unit Cost]]*Greenleaf[[#This Row],[Quantity Sold]]</f>
        <v>34.380000000000003</v>
      </c>
      <c r="P507" s="13">
        <f>Greenleaf[[#This Row],[ Unit  price per quantity]]-Greenleaf[[#This Row],[ Unit cost per quantity]]</f>
        <v>55.62</v>
      </c>
      <c r="Q507" s="14">
        <f>Greenleaf[[#This Row],[Quantity Sold]]*Greenleaf[[#This Row],[Unit Price]]</f>
        <v>90</v>
      </c>
    </row>
    <row r="508" spans="1:17" x14ac:dyDescent="0.25">
      <c r="A508" t="s">
        <v>1934</v>
      </c>
      <c r="B508" s="5">
        <v>45470</v>
      </c>
      <c r="C508" s="5" t="str">
        <f>TEXT(Greenleaf[[#This Row],[Order Date]],"MMM")</f>
        <v>Jun</v>
      </c>
      <c r="D508" s="5" t="str">
        <f>TEXT(Greenleaf[[#This Row],[Order Date]],"YYYY")</f>
        <v>2024</v>
      </c>
      <c r="E508" t="s">
        <v>2461</v>
      </c>
      <c r="F508" s="7" t="s">
        <v>1011</v>
      </c>
      <c r="G508" s="9">
        <v>7</v>
      </c>
      <c r="H508" s="11">
        <v>12</v>
      </c>
      <c r="I508" s="13">
        <v>4.74</v>
      </c>
      <c r="J508" t="s">
        <v>1132</v>
      </c>
      <c r="K508" t="s">
        <v>2507</v>
      </c>
      <c r="L508" s="7" t="s">
        <v>1414</v>
      </c>
      <c r="M508" s="7" t="s">
        <v>1419</v>
      </c>
      <c r="N508" s="14">
        <f>Greenleaf[[#This Row],[Unit Price]]*Greenleaf[[#This Row],[Quantity Sold]]</f>
        <v>84</v>
      </c>
      <c r="O508" s="13">
        <f>Greenleaf[[#This Row],[Unit Cost]]*Greenleaf[[#This Row],[Quantity Sold]]</f>
        <v>33.18</v>
      </c>
      <c r="P508" s="13">
        <f>Greenleaf[[#This Row],[ Unit  price per quantity]]-Greenleaf[[#This Row],[ Unit cost per quantity]]</f>
        <v>50.82</v>
      </c>
      <c r="Q508" s="14">
        <f>Greenleaf[[#This Row],[Quantity Sold]]*Greenleaf[[#This Row],[Unit Price]]</f>
        <v>84</v>
      </c>
    </row>
    <row r="509" spans="1:17" x14ac:dyDescent="0.25">
      <c r="A509" t="s">
        <v>1935</v>
      </c>
      <c r="B509" s="5">
        <v>45470</v>
      </c>
      <c r="C509" s="5" t="str">
        <f>TEXT(Greenleaf[[#This Row],[Order Date]],"MMM")</f>
        <v>Jun</v>
      </c>
      <c r="D509" s="5" t="str">
        <f>TEXT(Greenleaf[[#This Row],[Order Date]],"YYYY")</f>
        <v>2024</v>
      </c>
      <c r="E509" t="s">
        <v>2461</v>
      </c>
      <c r="F509" s="7" t="s">
        <v>1011</v>
      </c>
      <c r="G509" s="9">
        <v>3</v>
      </c>
      <c r="H509" s="11">
        <v>12</v>
      </c>
      <c r="I509" s="13">
        <v>2.81</v>
      </c>
      <c r="J509" t="s">
        <v>1185</v>
      </c>
      <c r="K509" t="s">
        <v>2489</v>
      </c>
      <c r="L509" s="7" t="s">
        <v>1414</v>
      </c>
      <c r="M509" s="7" t="s">
        <v>1424</v>
      </c>
      <c r="N509" s="14">
        <f>Greenleaf[[#This Row],[Unit Price]]*Greenleaf[[#This Row],[Quantity Sold]]</f>
        <v>36</v>
      </c>
      <c r="O509" s="13">
        <f>Greenleaf[[#This Row],[Unit Cost]]*Greenleaf[[#This Row],[Quantity Sold]]</f>
        <v>8.43</v>
      </c>
      <c r="P509" s="13">
        <f>Greenleaf[[#This Row],[ Unit  price per quantity]]-Greenleaf[[#This Row],[ Unit cost per quantity]]</f>
        <v>27.57</v>
      </c>
      <c r="Q509" s="14">
        <f>Greenleaf[[#This Row],[Quantity Sold]]*Greenleaf[[#This Row],[Unit Price]]</f>
        <v>36</v>
      </c>
    </row>
    <row r="510" spans="1:17" x14ac:dyDescent="0.25">
      <c r="A510" t="s">
        <v>1936</v>
      </c>
      <c r="B510" s="5">
        <v>45470</v>
      </c>
      <c r="C510" s="5" t="str">
        <f>TEXT(Greenleaf[[#This Row],[Order Date]],"MMM")</f>
        <v>Jun</v>
      </c>
      <c r="D510" s="5" t="str">
        <f>TEXT(Greenleaf[[#This Row],[Order Date]],"YYYY")</f>
        <v>2024</v>
      </c>
      <c r="E510" t="s">
        <v>2464</v>
      </c>
      <c r="F510" s="7" t="s">
        <v>1012</v>
      </c>
      <c r="G510" s="9">
        <v>6</v>
      </c>
      <c r="H510" s="11">
        <v>40</v>
      </c>
      <c r="I510" s="13">
        <v>12.24</v>
      </c>
      <c r="J510" t="s">
        <v>1104</v>
      </c>
      <c r="K510" t="s">
        <v>2508</v>
      </c>
      <c r="L510" s="7" t="s">
        <v>1414</v>
      </c>
      <c r="M510" s="7" t="s">
        <v>1425</v>
      </c>
      <c r="N510" s="14">
        <f>Greenleaf[[#This Row],[Unit Price]]*Greenleaf[[#This Row],[Quantity Sold]]</f>
        <v>240</v>
      </c>
      <c r="O510" s="13">
        <f>Greenleaf[[#This Row],[Unit Cost]]*Greenleaf[[#This Row],[Quantity Sold]]</f>
        <v>73.44</v>
      </c>
      <c r="P510" s="13">
        <f>Greenleaf[[#This Row],[ Unit  price per quantity]]-Greenleaf[[#This Row],[ Unit cost per quantity]]</f>
        <v>166.56</v>
      </c>
      <c r="Q510" s="14">
        <f>Greenleaf[[#This Row],[Quantity Sold]]*Greenleaf[[#This Row],[Unit Price]]</f>
        <v>240</v>
      </c>
    </row>
    <row r="511" spans="1:17" x14ac:dyDescent="0.25">
      <c r="A511" t="s">
        <v>1937</v>
      </c>
      <c r="B511" s="5">
        <v>45472</v>
      </c>
      <c r="C511" s="5" t="str">
        <f>TEXT(Greenleaf[[#This Row],[Order Date]],"MMM")</f>
        <v>Jun</v>
      </c>
      <c r="D511" s="5" t="str">
        <f>TEXT(Greenleaf[[#This Row],[Order Date]],"YYYY")</f>
        <v>2024</v>
      </c>
      <c r="E511" t="s">
        <v>2461</v>
      </c>
      <c r="F511" s="7" t="s">
        <v>1011</v>
      </c>
      <c r="G511" s="9">
        <v>10</v>
      </c>
      <c r="H511" s="11">
        <v>12</v>
      </c>
      <c r="I511" s="13">
        <v>4.72</v>
      </c>
      <c r="J511" t="s">
        <v>1150</v>
      </c>
      <c r="K511" t="s">
        <v>2529</v>
      </c>
      <c r="L511" s="7" t="s">
        <v>1414</v>
      </c>
      <c r="M511" s="7" t="s">
        <v>1424</v>
      </c>
      <c r="N511" s="14">
        <f>Greenleaf[[#This Row],[Unit Price]]*Greenleaf[[#This Row],[Quantity Sold]]</f>
        <v>120</v>
      </c>
      <c r="O511" s="13">
        <f>Greenleaf[[#This Row],[Unit Cost]]*Greenleaf[[#This Row],[Quantity Sold]]</f>
        <v>47.199999999999996</v>
      </c>
      <c r="P511" s="13">
        <f>Greenleaf[[#This Row],[ Unit  price per quantity]]-Greenleaf[[#This Row],[ Unit cost per quantity]]</f>
        <v>72.800000000000011</v>
      </c>
      <c r="Q511" s="14">
        <f>Greenleaf[[#This Row],[Quantity Sold]]*Greenleaf[[#This Row],[Unit Price]]</f>
        <v>120</v>
      </c>
    </row>
    <row r="512" spans="1:17" x14ac:dyDescent="0.25">
      <c r="A512" t="s">
        <v>1938</v>
      </c>
      <c r="B512" s="5">
        <v>45473</v>
      </c>
      <c r="C512" s="5" t="str">
        <f>TEXT(Greenleaf[[#This Row],[Order Date]],"MMM")</f>
        <v>Jun</v>
      </c>
      <c r="D512" s="5" t="str">
        <f>TEXT(Greenleaf[[#This Row],[Order Date]],"YYYY")</f>
        <v>2024</v>
      </c>
      <c r="E512" t="s">
        <v>2461</v>
      </c>
      <c r="F512" s="7" t="s">
        <v>1011</v>
      </c>
      <c r="G512" s="9">
        <v>4</v>
      </c>
      <c r="H512" s="11">
        <v>12</v>
      </c>
      <c r="I512" s="13">
        <v>2.85</v>
      </c>
      <c r="J512" t="s">
        <v>1148</v>
      </c>
      <c r="K512" t="s">
        <v>2490</v>
      </c>
      <c r="L512" s="7" t="s">
        <v>1414</v>
      </c>
      <c r="M512" s="7" t="s">
        <v>1424</v>
      </c>
      <c r="N512" s="14">
        <f>Greenleaf[[#This Row],[Unit Price]]*Greenleaf[[#This Row],[Quantity Sold]]</f>
        <v>48</v>
      </c>
      <c r="O512" s="13">
        <f>Greenleaf[[#This Row],[Unit Cost]]*Greenleaf[[#This Row],[Quantity Sold]]</f>
        <v>11.4</v>
      </c>
      <c r="P512" s="13">
        <f>Greenleaf[[#This Row],[ Unit  price per quantity]]-Greenleaf[[#This Row],[ Unit cost per quantity]]</f>
        <v>36.6</v>
      </c>
      <c r="Q512" s="14">
        <f>Greenleaf[[#This Row],[Quantity Sold]]*Greenleaf[[#This Row],[Unit Price]]</f>
        <v>48</v>
      </c>
    </row>
    <row r="513" spans="1:17" x14ac:dyDescent="0.25">
      <c r="A513" t="s">
        <v>1939</v>
      </c>
      <c r="B513" s="5">
        <v>45473</v>
      </c>
      <c r="C513" s="5" t="str">
        <f>TEXT(Greenleaf[[#This Row],[Order Date]],"MMM")</f>
        <v>Jun</v>
      </c>
      <c r="D513" s="5" t="str">
        <f>TEXT(Greenleaf[[#This Row],[Order Date]],"YYYY")</f>
        <v>2024</v>
      </c>
      <c r="E513" t="s">
        <v>2463</v>
      </c>
      <c r="F513" s="7" t="s">
        <v>1014</v>
      </c>
      <c r="G513" s="9">
        <v>4</v>
      </c>
      <c r="H513" s="11">
        <v>15</v>
      </c>
      <c r="I513" s="13">
        <v>5.4</v>
      </c>
      <c r="J513" t="s">
        <v>1135</v>
      </c>
      <c r="K513" t="s">
        <v>2546</v>
      </c>
      <c r="L513" s="7" t="s">
        <v>1414</v>
      </c>
      <c r="M513" s="7" t="s">
        <v>1418</v>
      </c>
      <c r="N513" s="14">
        <f>Greenleaf[[#This Row],[Unit Price]]*Greenleaf[[#This Row],[Quantity Sold]]</f>
        <v>60</v>
      </c>
      <c r="O513" s="13">
        <f>Greenleaf[[#This Row],[Unit Cost]]*Greenleaf[[#This Row],[Quantity Sold]]</f>
        <v>21.6</v>
      </c>
      <c r="P513" s="13">
        <f>Greenleaf[[#This Row],[ Unit  price per quantity]]-Greenleaf[[#This Row],[ Unit cost per quantity]]</f>
        <v>38.4</v>
      </c>
      <c r="Q513" s="14">
        <f>Greenleaf[[#This Row],[Quantity Sold]]*Greenleaf[[#This Row],[Unit Price]]</f>
        <v>60</v>
      </c>
    </row>
    <row r="514" spans="1:17" x14ac:dyDescent="0.25">
      <c r="A514" t="s">
        <v>1940</v>
      </c>
      <c r="B514" s="5">
        <v>45473</v>
      </c>
      <c r="C514" s="5" t="str">
        <f>TEXT(Greenleaf[[#This Row],[Order Date]],"MMM")</f>
        <v>Jun</v>
      </c>
      <c r="D514" s="5" t="str">
        <f>TEXT(Greenleaf[[#This Row],[Order Date]],"YYYY")</f>
        <v>2024</v>
      </c>
      <c r="E514" t="s">
        <v>2460</v>
      </c>
      <c r="F514" s="7" t="s">
        <v>1015</v>
      </c>
      <c r="G514" s="9">
        <v>6</v>
      </c>
      <c r="H514" s="11">
        <v>10</v>
      </c>
      <c r="I514" s="13">
        <v>3.63</v>
      </c>
      <c r="J514" t="s">
        <v>1069</v>
      </c>
      <c r="K514" t="s">
        <v>2471</v>
      </c>
      <c r="L514" s="7" t="s">
        <v>1416</v>
      </c>
      <c r="M514" s="7" t="s">
        <v>1419</v>
      </c>
      <c r="N514" s="14">
        <f>Greenleaf[[#This Row],[Unit Price]]*Greenleaf[[#This Row],[Quantity Sold]]</f>
        <v>60</v>
      </c>
      <c r="O514" s="13">
        <f>Greenleaf[[#This Row],[Unit Cost]]*Greenleaf[[#This Row],[Quantity Sold]]</f>
        <v>21.78</v>
      </c>
      <c r="P514" s="13">
        <f>Greenleaf[[#This Row],[ Unit  price per quantity]]-Greenleaf[[#This Row],[ Unit cost per quantity]]</f>
        <v>38.22</v>
      </c>
      <c r="Q514" s="14">
        <f>Greenleaf[[#This Row],[Quantity Sold]]*Greenleaf[[#This Row],[Unit Price]]</f>
        <v>60</v>
      </c>
    </row>
    <row r="515" spans="1:17" x14ac:dyDescent="0.25">
      <c r="A515" t="s">
        <v>1941</v>
      </c>
      <c r="B515" s="5">
        <v>45473</v>
      </c>
      <c r="C515" s="5" t="str">
        <f>TEXT(Greenleaf[[#This Row],[Order Date]],"MMM")</f>
        <v>Jun</v>
      </c>
      <c r="D515" s="5" t="str">
        <f>TEXT(Greenleaf[[#This Row],[Order Date]],"YYYY")</f>
        <v>2024</v>
      </c>
      <c r="E515" t="s">
        <v>2464</v>
      </c>
      <c r="F515" s="7" t="s">
        <v>1012</v>
      </c>
      <c r="G515" s="9">
        <v>9</v>
      </c>
      <c r="H515" s="11">
        <v>40</v>
      </c>
      <c r="I515" s="13">
        <v>10.5</v>
      </c>
      <c r="J515" t="s">
        <v>1082</v>
      </c>
      <c r="K515" t="s">
        <v>2532</v>
      </c>
      <c r="L515" s="7" t="s">
        <v>1416</v>
      </c>
      <c r="M515" s="7" t="s">
        <v>1427</v>
      </c>
      <c r="N515" s="14">
        <f>Greenleaf[[#This Row],[Unit Price]]*Greenleaf[[#This Row],[Quantity Sold]]</f>
        <v>360</v>
      </c>
      <c r="O515" s="13">
        <f>Greenleaf[[#This Row],[Unit Cost]]*Greenleaf[[#This Row],[Quantity Sold]]</f>
        <v>94.5</v>
      </c>
      <c r="P515" s="13">
        <f>Greenleaf[[#This Row],[ Unit  price per quantity]]-Greenleaf[[#This Row],[ Unit cost per quantity]]</f>
        <v>265.5</v>
      </c>
      <c r="Q515" s="14">
        <f>Greenleaf[[#This Row],[Quantity Sold]]*Greenleaf[[#This Row],[Unit Price]]</f>
        <v>360</v>
      </c>
    </row>
    <row r="516" spans="1:17" x14ac:dyDescent="0.25">
      <c r="A516" t="s">
        <v>1942</v>
      </c>
      <c r="B516" s="5">
        <v>45473</v>
      </c>
      <c r="C516" s="5" t="str">
        <f>TEXT(Greenleaf[[#This Row],[Order Date]],"MMM")</f>
        <v>Jun</v>
      </c>
      <c r="D516" s="5" t="str">
        <f>TEXT(Greenleaf[[#This Row],[Order Date]],"YYYY")</f>
        <v>2024</v>
      </c>
      <c r="E516" t="s">
        <v>2462</v>
      </c>
      <c r="F516" s="7" t="s">
        <v>1013</v>
      </c>
      <c r="G516" s="9">
        <v>10</v>
      </c>
      <c r="H516" s="11">
        <v>25</v>
      </c>
      <c r="I516" s="13">
        <v>9.86</v>
      </c>
      <c r="J516" t="s">
        <v>1045</v>
      </c>
      <c r="K516" t="s">
        <v>2585</v>
      </c>
      <c r="L516" s="7" t="s">
        <v>1414</v>
      </c>
      <c r="M516" s="7" t="s">
        <v>1427</v>
      </c>
      <c r="N516" s="14">
        <f>Greenleaf[[#This Row],[Unit Price]]*Greenleaf[[#This Row],[Quantity Sold]]</f>
        <v>250</v>
      </c>
      <c r="O516" s="13">
        <f>Greenleaf[[#This Row],[Unit Cost]]*Greenleaf[[#This Row],[Quantity Sold]]</f>
        <v>98.6</v>
      </c>
      <c r="P516" s="13">
        <f>Greenleaf[[#This Row],[ Unit  price per quantity]]-Greenleaf[[#This Row],[ Unit cost per quantity]]</f>
        <v>151.4</v>
      </c>
      <c r="Q516" s="14">
        <f>Greenleaf[[#This Row],[Quantity Sold]]*Greenleaf[[#This Row],[Unit Price]]</f>
        <v>250</v>
      </c>
    </row>
    <row r="517" spans="1:17" x14ac:dyDescent="0.25">
      <c r="A517" t="s">
        <v>1943</v>
      </c>
      <c r="B517" s="5">
        <v>45474</v>
      </c>
      <c r="C517" s="5" t="str">
        <f>TEXT(Greenleaf[[#This Row],[Order Date]],"MMM")</f>
        <v>Jul</v>
      </c>
      <c r="D517" s="5" t="str">
        <f>TEXT(Greenleaf[[#This Row],[Order Date]],"YYYY")</f>
        <v>2024</v>
      </c>
      <c r="E517" t="s">
        <v>2462</v>
      </c>
      <c r="F517" s="7" t="s">
        <v>1013</v>
      </c>
      <c r="G517" s="9">
        <v>6</v>
      </c>
      <c r="H517" s="11">
        <v>25</v>
      </c>
      <c r="I517" s="13">
        <v>9.43</v>
      </c>
      <c r="J517" t="s">
        <v>1020</v>
      </c>
      <c r="K517" t="s">
        <v>2533</v>
      </c>
      <c r="L517" s="7" t="s">
        <v>1414</v>
      </c>
      <c r="M517" s="7" t="s">
        <v>1421</v>
      </c>
      <c r="N517" s="14">
        <f>Greenleaf[[#This Row],[Unit Price]]*Greenleaf[[#This Row],[Quantity Sold]]</f>
        <v>150</v>
      </c>
      <c r="O517" s="13">
        <f>Greenleaf[[#This Row],[Unit Cost]]*Greenleaf[[#This Row],[Quantity Sold]]</f>
        <v>56.58</v>
      </c>
      <c r="P517" s="13">
        <f>Greenleaf[[#This Row],[ Unit  price per quantity]]-Greenleaf[[#This Row],[ Unit cost per quantity]]</f>
        <v>93.42</v>
      </c>
      <c r="Q517" s="14">
        <f>Greenleaf[[#This Row],[Quantity Sold]]*Greenleaf[[#This Row],[Unit Price]]</f>
        <v>150</v>
      </c>
    </row>
    <row r="518" spans="1:17" x14ac:dyDescent="0.25">
      <c r="A518" t="s">
        <v>1944</v>
      </c>
      <c r="B518" s="5">
        <v>45474</v>
      </c>
      <c r="C518" s="5" t="str">
        <f>TEXT(Greenleaf[[#This Row],[Order Date]],"MMM")</f>
        <v>Jul</v>
      </c>
      <c r="D518" s="5" t="str">
        <f>TEXT(Greenleaf[[#This Row],[Order Date]],"YYYY")</f>
        <v>2024</v>
      </c>
      <c r="E518" t="s">
        <v>2462</v>
      </c>
      <c r="F518" s="7" t="s">
        <v>1013</v>
      </c>
      <c r="G518" s="9">
        <v>10</v>
      </c>
      <c r="H518" s="11">
        <v>25</v>
      </c>
      <c r="I518" s="13">
        <v>6.74</v>
      </c>
      <c r="J518" t="s">
        <v>1061</v>
      </c>
      <c r="K518" t="s">
        <v>2500</v>
      </c>
      <c r="L518" s="7" t="s">
        <v>1414</v>
      </c>
      <c r="M518" s="7" t="s">
        <v>1420</v>
      </c>
      <c r="N518" s="14">
        <f>Greenleaf[[#This Row],[Unit Price]]*Greenleaf[[#This Row],[Quantity Sold]]</f>
        <v>250</v>
      </c>
      <c r="O518" s="13">
        <f>Greenleaf[[#This Row],[Unit Cost]]*Greenleaf[[#This Row],[Quantity Sold]]</f>
        <v>67.400000000000006</v>
      </c>
      <c r="P518" s="13">
        <f>Greenleaf[[#This Row],[ Unit  price per quantity]]-Greenleaf[[#This Row],[ Unit cost per quantity]]</f>
        <v>182.6</v>
      </c>
      <c r="Q518" s="14">
        <f>Greenleaf[[#This Row],[Quantity Sold]]*Greenleaf[[#This Row],[Unit Price]]</f>
        <v>250</v>
      </c>
    </row>
    <row r="519" spans="1:17" x14ac:dyDescent="0.25">
      <c r="A519" t="s">
        <v>1945</v>
      </c>
      <c r="B519" s="5">
        <v>45474</v>
      </c>
      <c r="C519" s="5" t="str">
        <f>TEXT(Greenleaf[[#This Row],[Order Date]],"MMM")</f>
        <v>Jul</v>
      </c>
      <c r="D519" s="5" t="str">
        <f>TEXT(Greenleaf[[#This Row],[Order Date]],"YYYY")</f>
        <v>2024</v>
      </c>
      <c r="E519" t="s">
        <v>2460</v>
      </c>
      <c r="F519" s="7" t="s">
        <v>1015</v>
      </c>
      <c r="G519" s="9">
        <v>3</v>
      </c>
      <c r="H519" s="11">
        <v>10</v>
      </c>
      <c r="I519" s="13">
        <v>2.65</v>
      </c>
      <c r="J519" t="s">
        <v>1115</v>
      </c>
      <c r="K519" t="s">
        <v>2530</v>
      </c>
      <c r="L519" s="7" t="s">
        <v>1414</v>
      </c>
      <c r="M519" s="7" t="s">
        <v>1422</v>
      </c>
      <c r="N519" s="14">
        <f>Greenleaf[[#This Row],[Unit Price]]*Greenleaf[[#This Row],[Quantity Sold]]</f>
        <v>30</v>
      </c>
      <c r="O519" s="13">
        <f>Greenleaf[[#This Row],[Unit Cost]]*Greenleaf[[#This Row],[Quantity Sold]]</f>
        <v>7.9499999999999993</v>
      </c>
      <c r="P519" s="13">
        <f>Greenleaf[[#This Row],[ Unit  price per quantity]]-Greenleaf[[#This Row],[ Unit cost per quantity]]</f>
        <v>22.05</v>
      </c>
      <c r="Q519" s="14">
        <f>Greenleaf[[#This Row],[Quantity Sold]]*Greenleaf[[#This Row],[Unit Price]]</f>
        <v>30</v>
      </c>
    </row>
    <row r="520" spans="1:17" x14ac:dyDescent="0.25">
      <c r="A520" t="s">
        <v>1946</v>
      </c>
      <c r="B520" s="5">
        <v>45474</v>
      </c>
      <c r="C520" s="5" t="str">
        <f>TEXT(Greenleaf[[#This Row],[Order Date]],"MMM")</f>
        <v>Jul</v>
      </c>
      <c r="D520" s="5" t="str">
        <f>TEXT(Greenleaf[[#This Row],[Order Date]],"YYYY")</f>
        <v>2024</v>
      </c>
      <c r="E520" t="s">
        <v>2462</v>
      </c>
      <c r="F520" s="7" t="s">
        <v>1013</v>
      </c>
      <c r="G520" s="9">
        <v>4</v>
      </c>
      <c r="H520" s="11">
        <v>25</v>
      </c>
      <c r="I520" s="13">
        <v>6.09</v>
      </c>
      <c r="J520" t="s">
        <v>1172</v>
      </c>
      <c r="K520" t="s">
        <v>2502</v>
      </c>
      <c r="L520" s="7" t="s">
        <v>1414</v>
      </c>
      <c r="M520" s="7" t="s">
        <v>1423</v>
      </c>
      <c r="N520" s="14">
        <f>Greenleaf[[#This Row],[Unit Price]]*Greenleaf[[#This Row],[Quantity Sold]]</f>
        <v>100</v>
      </c>
      <c r="O520" s="13">
        <f>Greenleaf[[#This Row],[Unit Cost]]*Greenleaf[[#This Row],[Quantity Sold]]</f>
        <v>24.36</v>
      </c>
      <c r="P520" s="13">
        <f>Greenleaf[[#This Row],[ Unit  price per quantity]]-Greenleaf[[#This Row],[ Unit cost per quantity]]</f>
        <v>75.64</v>
      </c>
      <c r="Q520" s="14">
        <f>Greenleaf[[#This Row],[Quantity Sold]]*Greenleaf[[#This Row],[Unit Price]]</f>
        <v>100</v>
      </c>
    </row>
    <row r="521" spans="1:17" x14ac:dyDescent="0.25">
      <c r="A521" t="s">
        <v>1947</v>
      </c>
      <c r="B521" s="5">
        <v>45475</v>
      </c>
      <c r="C521" s="5" t="str">
        <f>TEXT(Greenleaf[[#This Row],[Order Date]],"MMM")</f>
        <v>Jul</v>
      </c>
      <c r="D521" s="5" t="str">
        <f>TEXT(Greenleaf[[#This Row],[Order Date]],"YYYY")</f>
        <v>2024</v>
      </c>
      <c r="E521" t="s">
        <v>2460</v>
      </c>
      <c r="F521" s="7" t="s">
        <v>1015</v>
      </c>
      <c r="G521" s="9">
        <v>4</v>
      </c>
      <c r="H521" s="11">
        <v>10</v>
      </c>
      <c r="I521" s="13">
        <v>3.41</v>
      </c>
      <c r="J521" t="s">
        <v>1174</v>
      </c>
      <c r="K521" t="s">
        <v>2586</v>
      </c>
      <c r="L521" s="7" t="s">
        <v>1414</v>
      </c>
      <c r="M521" s="7" t="s">
        <v>1426</v>
      </c>
      <c r="N521" s="14">
        <f>Greenleaf[[#This Row],[Unit Price]]*Greenleaf[[#This Row],[Quantity Sold]]</f>
        <v>40</v>
      </c>
      <c r="O521" s="13">
        <f>Greenleaf[[#This Row],[Unit Cost]]*Greenleaf[[#This Row],[Quantity Sold]]</f>
        <v>13.64</v>
      </c>
      <c r="P521" s="13">
        <f>Greenleaf[[#This Row],[ Unit  price per quantity]]-Greenleaf[[#This Row],[ Unit cost per quantity]]</f>
        <v>26.36</v>
      </c>
      <c r="Q521" s="14">
        <f>Greenleaf[[#This Row],[Quantity Sold]]*Greenleaf[[#This Row],[Unit Price]]</f>
        <v>40</v>
      </c>
    </row>
    <row r="522" spans="1:17" x14ac:dyDescent="0.25">
      <c r="A522" t="s">
        <v>1948</v>
      </c>
      <c r="B522" s="5">
        <v>45475</v>
      </c>
      <c r="C522" s="5" t="str">
        <f>TEXT(Greenleaf[[#This Row],[Order Date]],"MMM")</f>
        <v>Jul</v>
      </c>
      <c r="D522" s="5" t="str">
        <f>TEXT(Greenleaf[[#This Row],[Order Date]],"YYYY")</f>
        <v>2024</v>
      </c>
      <c r="E522" t="s">
        <v>2464</v>
      </c>
      <c r="F522" s="7" t="s">
        <v>1012</v>
      </c>
      <c r="G522" s="9">
        <v>10</v>
      </c>
      <c r="H522" s="11">
        <v>40</v>
      </c>
      <c r="I522" s="13">
        <v>14.88</v>
      </c>
      <c r="J522" t="s">
        <v>1188</v>
      </c>
      <c r="K522" t="s">
        <v>2476</v>
      </c>
      <c r="L522" s="7" t="s">
        <v>1415</v>
      </c>
      <c r="M522" s="7" t="s">
        <v>1422</v>
      </c>
      <c r="N522" s="14">
        <f>Greenleaf[[#This Row],[Unit Price]]*Greenleaf[[#This Row],[Quantity Sold]]</f>
        <v>400</v>
      </c>
      <c r="O522" s="13">
        <f>Greenleaf[[#This Row],[Unit Cost]]*Greenleaf[[#This Row],[Quantity Sold]]</f>
        <v>148.80000000000001</v>
      </c>
      <c r="P522" s="13">
        <f>Greenleaf[[#This Row],[ Unit  price per quantity]]-Greenleaf[[#This Row],[ Unit cost per quantity]]</f>
        <v>251.2</v>
      </c>
      <c r="Q522" s="14">
        <f>Greenleaf[[#This Row],[Quantity Sold]]*Greenleaf[[#This Row],[Unit Price]]</f>
        <v>400</v>
      </c>
    </row>
    <row r="523" spans="1:17" x14ac:dyDescent="0.25">
      <c r="A523" t="s">
        <v>1949</v>
      </c>
      <c r="B523" s="5">
        <v>45476</v>
      </c>
      <c r="C523" s="5" t="str">
        <f>TEXT(Greenleaf[[#This Row],[Order Date]],"MMM")</f>
        <v>Jul</v>
      </c>
      <c r="D523" s="5" t="str">
        <f>TEXT(Greenleaf[[#This Row],[Order Date]],"YYYY")</f>
        <v>2024</v>
      </c>
      <c r="E523" t="s">
        <v>2464</v>
      </c>
      <c r="F523" s="7" t="s">
        <v>1012</v>
      </c>
      <c r="G523" s="9">
        <v>8</v>
      </c>
      <c r="H523" s="11">
        <v>40</v>
      </c>
      <c r="I523" s="13">
        <v>13.65</v>
      </c>
      <c r="J523" t="s">
        <v>1113</v>
      </c>
      <c r="K523" t="s">
        <v>2540</v>
      </c>
      <c r="L523" s="7" t="s">
        <v>1416</v>
      </c>
      <c r="M523" s="7" t="s">
        <v>1426</v>
      </c>
      <c r="N523" s="14">
        <f>Greenleaf[[#This Row],[Unit Price]]*Greenleaf[[#This Row],[Quantity Sold]]</f>
        <v>320</v>
      </c>
      <c r="O523" s="13">
        <f>Greenleaf[[#This Row],[Unit Cost]]*Greenleaf[[#This Row],[Quantity Sold]]</f>
        <v>109.2</v>
      </c>
      <c r="P523" s="13">
        <f>Greenleaf[[#This Row],[ Unit  price per quantity]]-Greenleaf[[#This Row],[ Unit cost per quantity]]</f>
        <v>210.8</v>
      </c>
      <c r="Q523" s="14">
        <f>Greenleaf[[#This Row],[Quantity Sold]]*Greenleaf[[#This Row],[Unit Price]]</f>
        <v>320</v>
      </c>
    </row>
    <row r="524" spans="1:17" x14ac:dyDescent="0.25">
      <c r="A524" t="s">
        <v>1950</v>
      </c>
      <c r="B524" s="5">
        <v>45476</v>
      </c>
      <c r="C524" s="5" t="str">
        <f>TEXT(Greenleaf[[#This Row],[Order Date]],"MMM")</f>
        <v>Jul</v>
      </c>
      <c r="D524" s="5" t="str">
        <f>TEXT(Greenleaf[[#This Row],[Order Date]],"YYYY")</f>
        <v>2024</v>
      </c>
      <c r="E524" t="s">
        <v>2462</v>
      </c>
      <c r="F524" s="7" t="s">
        <v>1013</v>
      </c>
      <c r="G524" s="9">
        <v>6</v>
      </c>
      <c r="H524" s="11">
        <v>25</v>
      </c>
      <c r="I524" s="13">
        <v>5.28</v>
      </c>
      <c r="J524" t="s">
        <v>1055</v>
      </c>
      <c r="K524" t="s">
        <v>2553</v>
      </c>
      <c r="L524" s="7" t="s">
        <v>1415</v>
      </c>
      <c r="M524" s="7" t="s">
        <v>1427</v>
      </c>
      <c r="N524" s="14">
        <f>Greenleaf[[#This Row],[Unit Price]]*Greenleaf[[#This Row],[Quantity Sold]]</f>
        <v>150</v>
      </c>
      <c r="O524" s="13">
        <f>Greenleaf[[#This Row],[Unit Cost]]*Greenleaf[[#This Row],[Quantity Sold]]</f>
        <v>31.68</v>
      </c>
      <c r="P524" s="13">
        <f>Greenleaf[[#This Row],[ Unit  price per quantity]]-Greenleaf[[#This Row],[ Unit cost per quantity]]</f>
        <v>118.32</v>
      </c>
      <c r="Q524" s="14">
        <f>Greenleaf[[#This Row],[Quantity Sold]]*Greenleaf[[#This Row],[Unit Price]]</f>
        <v>150</v>
      </c>
    </row>
    <row r="525" spans="1:17" x14ac:dyDescent="0.25">
      <c r="A525" t="s">
        <v>1951</v>
      </c>
      <c r="B525" s="5">
        <v>45476</v>
      </c>
      <c r="C525" s="5" t="str">
        <f>TEXT(Greenleaf[[#This Row],[Order Date]],"MMM")</f>
        <v>Jul</v>
      </c>
      <c r="D525" s="5" t="str">
        <f>TEXT(Greenleaf[[#This Row],[Order Date]],"YYYY")</f>
        <v>2024</v>
      </c>
      <c r="E525" t="s">
        <v>2462</v>
      </c>
      <c r="F525" s="7" t="s">
        <v>1013</v>
      </c>
      <c r="G525" s="9">
        <v>2</v>
      </c>
      <c r="H525" s="11">
        <v>25</v>
      </c>
      <c r="I525" s="13">
        <v>8.89</v>
      </c>
      <c r="J525" t="s">
        <v>1082</v>
      </c>
      <c r="K525" t="s">
        <v>2532</v>
      </c>
      <c r="L525" s="7" t="s">
        <v>1414</v>
      </c>
      <c r="M525" s="7" t="s">
        <v>1424</v>
      </c>
      <c r="N525" s="14">
        <f>Greenleaf[[#This Row],[Unit Price]]*Greenleaf[[#This Row],[Quantity Sold]]</f>
        <v>50</v>
      </c>
      <c r="O525" s="13">
        <f>Greenleaf[[#This Row],[Unit Cost]]*Greenleaf[[#This Row],[Quantity Sold]]</f>
        <v>17.78</v>
      </c>
      <c r="P525" s="13">
        <f>Greenleaf[[#This Row],[ Unit  price per quantity]]-Greenleaf[[#This Row],[ Unit cost per quantity]]</f>
        <v>32.22</v>
      </c>
      <c r="Q525" s="14">
        <f>Greenleaf[[#This Row],[Quantity Sold]]*Greenleaf[[#This Row],[Unit Price]]</f>
        <v>50</v>
      </c>
    </row>
    <row r="526" spans="1:17" x14ac:dyDescent="0.25">
      <c r="A526" t="s">
        <v>1952</v>
      </c>
      <c r="B526" s="5">
        <v>45476</v>
      </c>
      <c r="C526" s="5" t="str">
        <f>TEXT(Greenleaf[[#This Row],[Order Date]],"MMM")</f>
        <v>Jul</v>
      </c>
      <c r="D526" s="5" t="str">
        <f>TEXT(Greenleaf[[#This Row],[Order Date]],"YYYY")</f>
        <v>2024</v>
      </c>
      <c r="E526" t="s">
        <v>2461</v>
      </c>
      <c r="F526" s="7" t="s">
        <v>1011</v>
      </c>
      <c r="G526" s="9">
        <v>6</v>
      </c>
      <c r="H526" s="11">
        <v>12</v>
      </c>
      <c r="I526" s="13">
        <v>4.28</v>
      </c>
      <c r="J526" t="s">
        <v>1093</v>
      </c>
      <c r="K526" t="s">
        <v>2527</v>
      </c>
      <c r="L526" s="7" t="s">
        <v>1417</v>
      </c>
      <c r="M526" s="7" t="s">
        <v>1420</v>
      </c>
      <c r="N526" s="14">
        <f>Greenleaf[[#This Row],[Unit Price]]*Greenleaf[[#This Row],[Quantity Sold]]</f>
        <v>72</v>
      </c>
      <c r="O526" s="13">
        <f>Greenleaf[[#This Row],[Unit Cost]]*Greenleaf[[#This Row],[Quantity Sold]]</f>
        <v>25.68</v>
      </c>
      <c r="P526" s="13">
        <f>Greenleaf[[#This Row],[ Unit  price per quantity]]-Greenleaf[[#This Row],[ Unit cost per quantity]]</f>
        <v>46.32</v>
      </c>
      <c r="Q526" s="14">
        <f>Greenleaf[[#This Row],[Quantity Sold]]*Greenleaf[[#This Row],[Unit Price]]</f>
        <v>72</v>
      </c>
    </row>
    <row r="527" spans="1:17" x14ac:dyDescent="0.25">
      <c r="A527" t="s">
        <v>1953</v>
      </c>
      <c r="B527" s="5">
        <v>45477</v>
      </c>
      <c r="C527" s="5" t="str">
        <f>TEXT(Greenleaf[[#This Row],[Order Date]],"MMM")</f>
        <v>Jul</v>
      </c>
      <c r="D527" s="5" t="str">
        <f>TEXT(Greenleaf[[#This Row],[Order Date]],"YYYY")</f>
        <v>2024</v>
      </c>
      <c r="E527" t="s">
        <v>2460</v>
      </c>
      <c r="F527" s="7" t="s">
        <v>1015</v>
      </c>
      <c r="G527" s="9">
        <v>8</v>
      </c>
      <c r="H527" s="11">
        <v>10</v>
      </c>
      <c r="I527" s="13">
        <v>3.74</v>
      </c>
      <c r="J527" t="s">
        <v>1137</v>
      </c>
      <c r="K527" t="s">
        <v>2485</v>
      </c>
      <c r="L527" s="7" t="s">
        <v>1416</v>
      </c>
      <c r="M527" s="7" t="s">
        <v>1422</v>
      </c>
      <c r="N527" s="14">
        <f>Greenleaf[[#This Row],[Unit Price]]*Greenleaf[[#This Row],[Quantity Sold]]</f>
        <v>80</v>
      </c>
      <c r="O527" s="13">
        <f>Greenleaf[[#This Row],[Unit Cost]]*Greenleaf[[#This Row],[Quantity Sold]]</f>
        <v>29.92</v>
      </c>
      <c r="P527" s="13">
        <f>Greenleaf[[#This Row],[ Unit  price per quantity]]-Greenleaf[[#This Row],[ Unit cost per quantity]]</f>
        <v>50.08</v>
      </c>
      <c r="Q527" s="14">
        <f>Greenleaf[[#This Row],[Quantity Sold]]*Greenleaf[[#This Row],[Unit Price]]</f>
        <v>80</v>
      </c>
    </row>
    <row r="528" spans="1:17" x14ac:dyDescent="0.25">
      <c r="A528" t="s">
        <v>1954</v>
      </c>
      <c r="B528" s="5">
        <v>45477</v>
      </c>
      <c r="C528" s="5" t="str">
        <f>TEXT(Greenleaf[[#This Row],[Order Date]],"MMM")</f>
        <v>Jul</v>
      </c>
      <c r="D528" s="5" t="str">
        <f>TEXT(Greenleaf[[#This Row],[Order Date]],"YYYY")</f>
        <v>2024</v>
      </c>
      <c r="E528" t="s">
        <v>2462</v>
      </c>
      <c r="F528" s="7" t="s">
        <v>1013</v>
      </c>
      <c r="G528" s="9">
        <v>3</v>
      </c>
      <c r="H528" s="11">
        <v>25</v>
      </c>
      <c r="I528" s="13">
        <v>5.52</v>
      </c>
      <c r="J528" t="s">
        <v>1017</v>
      </c>
      <c r="K528" t="s">
        <v>2512</v>
      </c>
      <c r="L528" s="7" t="s">
        <v>1414</v>
      </c>
      <c r="M528" s="7" t="s">
        <v>1425</v>
      </c>
      <c r="N528" s="14">
        <f>Greenleaf[[#This Row],[Unit Price]]*Greenleaf[[#This Row],[Quantity Sold]]</f>
        <v>75</v>
      </c>
      <c r="O528" s="13">
        <f>Greenleaf[[#This Row],[Unit Cost]]*Greenleaf[[#This Row],[Quantity Sold]]</f>
        <v>16.559999999999999</v>
      </c>
      <c r="P528" s="13">
        <f>Greenleaf[[#This Row],[ Unit  price per quantity]]-Greenleaf[[#This Row],[ Unit cost per quantity]]</f>
        <v>58.44</v>
      </c>
      <c r="Q528" s="14">
        <f>Greenleaf[[#This Row],[Quantity Sold]]*Greenleaf[[#This Row],[Unit Price]]</f>
        <v>75</v>
      </c>
    </row>
    <row r="529" spans="1:17" x14ac:dyDescent="0.25">
      <c r="A529" t="s">
        <v>1955</v>
      </c>
      <c r="B529" s="5">
        <v>45477</v>
      </c>
      <c r="C529" s="5" t="str">
        <f>TEXT(Greenleaf[[#This Row],[Order Date]],"MMM")</f>
        <v>Jul</v>
      </c>
      <c r="D529" s="5" t="str">
        <f>TEXT(Greenleaf[[#This Row],[Order Date]],"YYYY")</f>
        <v>2024</v>
      </c>
      <c r="E529" t="s">
        <v>2464</v>
      </c>
      <c r="F529" s="7" t="s">
        <v>1012</v>
      </c>
      <c r="G529" s="9">
        <v>6</v>
      </c>
      <c r="H529" s="11">
        <v>40</v>
      </c>
      <c r="I529" s="13">
        <v>11.74</v>
      </c>
      <c r="J529" t="s">
        <v>1023</v>
      </c>
      <c r="K529" t="s">
        <v>2473</v>
      </c>
      <c r="L529" s="7" t="s">
        <v>1414</v>
      </c>
      <c r="M529" s="7" t="s">
        <v>1418</v>
      </c>
      <c r="N529" s="14">
        <f>Greenleaf[[#This Row],[Unit Price]]*Greenleaf[[#This Row],[Quantity Sold]]</f>
        <v>240</v>
      </c>
      <c r="O529" s="13">
        <f>Greenleaf[[#This Row],[Unit Cost]]*Greenleaf[[#This Row],[Quantity Sold]]</f>
        <v>70.44</v>
      </c>
      <c r="P529" s="13">
        <f>Greenleaf[[#This Row],[ Unit  price per quantity]]-Greenleaf[[#This Row],[ Unit cost per quantity]]</f>
        <v>169.56</v>
      </c>
      <c r="Q529" s="14">
        <f>Greenleaf[[#This Row],[Quantity Sold]]*Greenleaf[[#This Row],[Unit Price]]</f>
        <v>240</v>
      </c>
    </row>
    <row r="530" spans="1:17" x14ac:dyDescent="0.25">
      <c r="A530" t="s">
        <v>1956</v>
      </c>
      <c r="B530" s="5">
        <v>45478</v>
      </c>
      <c r="C530" s="5" t="str">
        <f>TEXT(Greenleaf[[#This Row],[Order Date]],"MMM")</f>
        <v>Jul</v>
      </c>
      <c r="D530" s="5" t="str">
        <f>TEXT(Greenleaf[[#This Row],[Order Date]],"YYYY")</f>
        <v>2024</v>
      </c>
      <c r="E530" t="s">
        <v>2463</v>
      </c>
      <c r="F530" s="7" t="s">
        <v>1014</v>
      </c>
      <c r="G530" s="9">
        <v>2</v>
      </c>
      <c r="H530" s="11">
        <v>15</v>
      </c>
      <c r="I530" s="13">
        <v>4.2699999999999996</v>
      </c>
      <c r="J530" t="s">
        <v>1108</v>
      </c>
      <c r="K530" t="s">
        <v>2549</v>
      </c>
      <c r="L530" s="7" t="s">
        <v>1416</v>
      </c>
      <c r="M530" s="7" t="s">
        <v>1425</v>
      </c>
      <c r="N530" s="14">
        <f>Greenleaf[[#This Row],[Unit Price]]*Greenleaf[[#This Row],[Quantity Sold]]</f>
        <v>30</v>
      </c>
      <c r="O530" s="13">
        <f>Greenleaf[[#This Row],[Unit Cost]]*Greenleaf[[#This Row],[Quantity Sold]]</f>
        <v>8.5399999999999991</v>
      </c>
      <c r="P530" s="13">
        <f>Greenleaf[[#This Row],[ Unit  price per quantity]]-Greenleaf[[#This Row],[ Unit cost per quantity]]</f>
        <v>21.46</v>
      </c>
      <c r="Q530" s="14">
        <f>Greenleaf[[#This Row],[Quantity Sold]]*Greenleaf[[#This Row],[Unit Price]]</f>
        <v>30</v>
      </c>
    </row>
    <row r="531" spans="1:17" x14ac:dyDescent="0.25">
      <c r="A531" t="s">
        <v>1957</v>
      </c>
      <c r="B531" s="5">
        <v>45478</v>
      </c>
      <c r="C531" s="5" t="str">
        <f>TEXT(Greenleaf[[#This Row],[Order Date]],"MMM")</f>
        <v>Jul</v>
      </c>
      <c r="D531" s="5" t="str">
        <f>TEXT(Greenleaf[[#This Row],[Order Date]],"YYYY")</f>
        <v>2024</v>
      </c>
      <c r="E531" t="s">
        <v>2462</v>
      </c>
      <c r="F531" s="7" t="s">
        <v>1013</v>
      </c>
      <c r="G531" s="9">
        <v>10</v>
      </c>
      <c r="H531" s="11">
        <v>25</v>
      </c>
      <c r="I531" s="13">
        <v>9.14</v>
      </c>
      <c r="J531" t="s">
        <v>1098</v>
      </c>
      <c r="K531" t="s">
        <v>2492</v>
      </c>
      <c r="L531" s="7" t="s">
        <v>1416</v>
      </c>
      <c r="M531" s="7" t="s">
        <v>1422</v>
      </c>
      <c r="N531" s="14">
        <f>Greenleaf[[#This Row],[Unit Price]]*Greenleaf[[#This Row],[Quantity Sold]]</f>
        <v>250</v>
      </c>
      <c r="O531" s="13">
        <f>Greenleaf[[#This Row],[Unit Cost]]*Greenleaf[[#This Row],[Quantity Sold]]</f>
        <v>91.4</v>
      </c>
      <c r="P531" s="13">
        <f>Greenleaf[[#This Row],[ Unit  price per quantity]]-Greenleaf[[#This Row],[ Unit cost per quantity]]</f>
        <v>158.6</v>
      </c>
      <c r="Q531" s="14">
        <f>Greenleaf[[#This Row],[Quantity Sold]]*Greenleaf[[#This Row],[Unit Price]]</f>
        <v>250</v>
      </c>
    </row>
    <row r="532" spans="1:17" x14ac:dyDescent="0.25">
      <c r="A532" t="s">
        <v>1958</v>
      </c>
      <c r="B532" s="5">
        <v>45478</v>
      </c>
      <c r="C532" s="5" t="str">
        <f>TEXT(Greenleaf[[#This Row],[Order Date]],"MMM")</f>
        <v>Jul</v>
      </c>
      <c r="D532" s="5" t="str">
        <f>TEXT(Greenleaf[[#This Row],[Order Date]],"YYYY")</f>
        <v>2024</v>
      </c>
      <c r="E532" t="s">
        <v>2464</v>
      </c>
      <c r="F532" s="7" t="s">
        <v>1012</v>
      </c>
      <c r="G532" s="9">
        <v>9</v>
      </c>
      <c r="H532" s="11">
        <v>40</v>
      </c>
      <c r="I532" s="13">
        <v>15.55</v>
      </c>
      <c r="J532" t="s">
        <v>1129</v>
      </c>
      <c r="K532" t="s">
        <v>2535</v>
      </c>
      <c r="L532" s="7" t="s">
        <v>1414</v>
      </c>
      <c r="M532" s="7" t="s">
        <v>1422</v>
      </c>
      <c r="N532" s="14">
        <f>Greenleaf[[#This Row],[Unit Price]]*Greenleaf[[#This Row],[Quantity Sold]]</f>
        <v>360</v>
      </c>
      <c r="O532" s="13">
        <f>Greenleaf[[#This Row],[Unit Cost]]*Greenleaf[[#This Row],[Quantity Sold]]</f>
        <v>139.95000000000002</v>
      </c>
      <c r="P532" s="13">
        <f>Greenleaf[[#This Row],[ Unit  price per quantity]]-Greenleaf[[#This Row],[ Unit cost per quantity]]</f>
        <v>220.04999999999998</v>
      </c>
      <c r="Q532" s="14">
        <f>Greenleaf[[#This Row],[Quantity Sold]]*Greenleaf[[#This Row],[Unit Price]]</f>
        <v>360</v>
      </c>
    </row>
    <row r="533" spans="1:17" x14ac:dyDescent="0.25">
      <c r="A533" t="s">
        <v>1959</v>
      </c>
      <c r="B533" s="5">
        <v>45478</v>
      </c>
      <c r="C533" s="5" t="str">
        <f>TEXT(Greenleaf[[#This Row],[Order Date]],"MMM")</f>
        <v>Jul</v>
      </c>
      <c r="D533" s="5" t="str">
        <f>TEXT(Greenleaf[[#This Row],[Order Date]],"YYYY")</f>
        <v>2024</v>
      </c>
      <c r="E533" t="s">
        <v>2464</v>
      </c>
      <c r="F533" s="7" t="s">
        <v>1012</v>
      </c>
      <c r="G533" s="9">
        <v>7</v>
      </c>
      <c r="H533" s="11">
        <v>40</v>
      </c>
      <c r="I533" s="13">
        <v>11.99</v>
      </c>
      <c r="J533" t="s">
        <v>1077</v>
      </c>
      <c r="K533" t="s">
        <v>2538</v>
      </c>
      <c r="L533" s="7" t="s">
        <v>1414</v>
      </c>
      <c r="M533" s="7" t="s">
        <v>1425</v>
      </c>
      <c r="N533" s="14">
        <f>Greenleaf[[#This Row],[Unit Price]]*Greenleaf[[#This Row],[Quantity Sold]]</f>
        <v>280</v>
      </c>
      <c r="O533" s="13">
        <f>Greenleaf[[#This Row],[Unit Cost]]*Greenleaf[[#This Row],[Quantity Sold]]</f>
        <v>83.93</v>
      </c>
      <c r="P533" s="13">
        <f>Greenleaf[[#This Row],[ Unit  price per quantity]]-Greenleaf[[#This Row],[ Unit cost per quantity]]</f>
        <v>196.07</v>
      </c>
      <c r="Q533" s="14">
        <f>Greenleaf[[#This Row],[Quantity Sold]]*Greenleaf[[#This Row],[Unit Price]]</f>
        <v>280</v>
      </c>
    </row>
    <row r="534" spans="1:17" x14ac:dyDescent="0.25">
      <c r="A534" t="s">
        <v>1960</v>
      </c>
      <c r="B534" s="5">
        <v>45479</v>
      </c>
      <c r="C534" s="5" t="str">
        <f>TEXT(Greenleaf[[#This Row],[Order Date]],"MMM")</f>
        <v>Jul</v>
      </c>
      <c r="D534" s="5" t="str">
        <f>TEXT(Greenleaf[[#This Row],[Order Date]],"YYYY")</f>
        <v>2024</v>
      </c>
      <c r="E534" t="s">
        <v>2463</v>
      </c>
      <c r="F534" s="7" t="s">
        <v>1014</v>
      </c>
      <c r="G534" s="9">
        <v>4</v>
      </c>
      <c r="H534" s="11">
        <v>15</v>
      </c>
      <c r="I534" s="13">
        <v>4.22</v>
      </c>
      <c r="J534" t="s">
        <v>1201</v>
      </c>
      <c r="K534" t="s">
        <v>2482</v>
      </c>
      <c r="L534" s="7" t="s">
        <v>1415</v>
      </c>
      <c r="M534" s="7" t="s">
        <v>1423</v>
      </c>
      <c r="N534" s="14">
        <f>Greenleaf[[#This Row],[Unit Price]]*Greenleaf[[#This Row],[Quantity Sold]]</f>
        <v>60</v>
      </c>
      <c r="O534" s="13">
        <f>Greenleaf[[#This Row],[Unit Cost]]*Greenleaf[[#This Row],[Quantity Sold]]</f>
        <v>16.88</v>
      </c>
      <c r="P534" s="13">
        <f>Greenleaf[[#This Row],[ Unit  price per quantity]]-Greenleaf[[#This Row],[ Unit cost per quantity]]</f>
        <v>43.120000000000005</v>
      </c>
      <c r="Q534" s="14">
        <f>Greenleaf[[#This Row],[Quantity Sold]]*Greenleaf[[#This Row],[Unit Price]]</f>
        <v>60</v>
      </c>
    </row>
    <row r="535" spans="1:17" x14ac:dyDescent="0.25">
      <c r="A535" t="s">
        <v>1961</v>
      </c>
      <c r="B535" s="5">
        <v>45480</v>
      </c>
      <c r="C535" s="5" t="str">
        <f>TEXT(Greenleaf[[#This Row],[Order Date]],"MMM")</f>
        <v>Jul</v>
      </c>
      <c r="D535" s="5" t="str">
        <f>TEXT(Greenleaf[[#This Row],[Order Date]],"YYYY")</f>
        <v>2024</v>
      </c>
      <c r="E535" t="s">
        <v>2461</v>
      </c>
      <c r="F535" s="7" t="s">
        <v>1011</v>
      </c>
      <c r="G535" s="9">
        <v>5</v>
      </c>
      <c r="H535" s="11">
        <v>12</v>
      </c>
      <c r="I535" s="13">
        <v>4.4800000000000004</v>
      </c>
      <c r="J535" t="s">
        <v>1024</v>
      </c>
      <c r="K535" t="s">
        <v>2518</v>
      </c>
      <c r="L535" s="7" t="s">
        <v>1415</v>
      </c>
      <c r="M535" s="7" t="s">
        <v>1423</v>
      </c>
      <c r="N535" s="14">
        <f>Greenleaf[[#This Row],[Unit Price]]*Greenleaf[[#This Row],[Quantity Sold]]</f>
        <v>60</v>
      </c>
      <c r="O535" s="13">
        <f>Greenleaf[[#This Row],[Unit Cost]]*Greenleaf[[#This Row],[Quantity Sold]]</f>
        <v>22.400000000000002</v>
      </c>
      <c r="P535" s="13">
        <f>Greenleaf[[#This Row],[ Unit  price per quantity]]-Greenleaf[[#This Row],[ Unit cost per quantity]]</f>
        <v>37.599999999999994</v>
      </c>
      <c r="Q535" s="14">
        <f>Greenleaf[[#This Row],[Quantity Sold]]*Greenleaf[[#This Row],[Unit Price]]</f>
        <v>60</v>
      </c>
    </row>
    <row r="536" spans="1:17" x14ac:dyDescent="0.25">
      <c r="A536" t="s">
        <v>1962</v>
      </c>
      <c r="B536" s="5">
        <v>45480</v>
      </c>
      <c r="C536" s="5" t="str">
        <f>TEXT(Greenleaf[[#This Row],[Order Date]],"MMM")</f>
        <v>Jul</v>
      </c>
      <c r="D536" s="5" t="str">
        <f>TEXT(Greenleaf[[#This Row],[Order Date]],"YYYY")</f>
        <v>2024</v>
      </c>
      <c r="E536" t="s">
        <v>2463</v>
      </c>
      <c r="F536" s="7" t="s">
        <v>1014</v>
      </c>
      <c r="G536" s="9">
        <v>2</v>
      </c>
      <c r="H536" s="11">
        <v>15</v>
      </c>
      <c r="I536" s="13">
        <v>4.96</v>
      </c>
      <c r="J536" t="s">
        <v>1057</v>
      </c>
      <c r="K536" t="s">
        <v>2528</v>
      </c>
      <c r="L536" s="7" t="s">
        <v>1416</v>
      </c>
      <c r="M536" s="7" t="s">
        <v>1423</v>
      </c>
      <c r="N536" s="14">
        <f>Greenleaf[[#This Row],[Unit Price]]*Greenleaf[[#This Row],[Quantity Sold]]</f>
        <v>30</v>
      </c>
      <c r="O536" s="13">
        <f>Greenleaf[[#This Row],[Unit Cost]]*Greenleaf[[#This Row],[Quantity Sold]]</f>
        <v>9.92</v>
      </c>
      <c r="P536" s="13">
        <f>Greenleaf[[#This Row],[ Unit  price per quantity]]-Greenleaf[[#This Row],[ Unit cost per quantity]]</f>
        <v>20.079999999999998</v>
      </c>
      <c r="Q536" s="14">
        <f>Greenleaf[[#This Row],[Quantity Sold]]*Greenleaf[[#This Row],[Unit Price]]</f>
        <v>30</v>
      </c>
    </row>
    <row r="537" spans="1:17" x14ac:dyDescent="0.25">
      <c r="A537" t="s">
        <v>1963</v>
      </c>
      <c r="B537" s="5">
        <v>45482</v>
      </c>
      <c r="C537" s="5" t="str">
        <f>TEXT(Greenleaf[[#This Row],[Order Date]],"MMM")</f>
        <v>Jul</v>
      </c>
      <c r="D537" s="5" t="str">
        <f>TEXT(Greenleaf[[#This Row],[Order Date]],"YYYY")</f>
        <v>2024</v>
      </c>
      <c r="E537" t="s">
        <v>2462</v>
      </c>
      <c r="F537" s="7" t="s">
        <v>1013</v>
      </c>
      <c r="G537" s="9">
        <v>5</v>
      </c>
      <c r="H537" s="11">
        <v>25</v>
      </c>
      <c r="I537" s="13">
        <v>7.6</v>
      </c>
      <c r="J537" t="s">
        <v>1074</v>
      </c>
      <c r="K537" t="s">
        <v>2506</v>
      </c>
      <c r="L537" s="7" t="s">
        <v>1414</v>
      </c>
      <c r="M537" s="7" t="s">
        <v>1420</v>
      </c>
      <c r="N537" s="14">
        <f>Greenleaf[[#This Row],[Unit Price]]*Greenleaf[[#This Row],[Quantity Sold]]</f>
        <v>125</v>
      </c>
      <c r="O537" s="13">
        <f>Greenleaf[[#This Row],[Unit Cost]]*Greenleaf[[#This Row],[Quantity Sold]]</f>
        <v>38</v>
      </c>
      <c r="P537" s="13">
        <f>Greenleaf[[#This Row],[ Unit  price per quantity]]-Greenleaf[[#This Row],[ Unit cost per quantity]]</f>
        <v>87</v>
      </c>
      <c r="Q537" s="14">
        <f>Greenleaf[[#This Row],[Quantity Sold]]*Greenleaf[[#This Row],[Unit Price]]</f>
        <v>125</v>
      </c>
    </row>
    <row r="538" spans="1:17" x14ac:dyDescent="0.25">
      <c r="A538" t="s">
        <v>1964</v>
      </c>
      <c r="B538" s="5">
        <v>45483</v>
      </c>
      <c r="C538" s="5" t="str">
        <f>TEXT(Greenleaf[[#This Row],[Order Date]],"MMM")</f>
        <v>Jul</v>
      </c>
      <c r="D538" s="5" t="str">
        <f>TEXT(Greenleaf[[#This Row],[Order Date]],"YYYY")</f>
        <v>2024</v>
      </c>
      <c r="E538" t="s">
        <v>2461</v>
      </c>
      <c r="F538" s="7" t="s">
        <v>1011</v>
      </c>
      <c r="G538" s="9">
        <v>5</v>
      </c>
      <c r="H538" s="11">
        <v>12</v>
      </c>
      <c r="I538" s="13">
        <v>3.87</v>
      </c>
      <c r="J538" t="s">
        <v>1151</v>
      </c>
      <c r="K538" t="s">
        <v>2568</v>
      </c>
      <c r="L538" s="7" t="s">
        <v>1416</v>
      </c>
      <c r="M538" s="7" t="s">
        <v>1424</v>
      </c>
      <c r="N538" s="14">
        <f>Greenleaf[[#This Row],[Unit Price]]*Greenleaf[[#This Row],[Quantity Sold]]</f>
        <v>60</v>
      </c>
      <c r="O538" s="13">
        <f>Greenleaf[[#This Row],[Unit Cost]]*Greenleaf[[#This Row],[Quantity Sold]]</f>
        <v>19.350000000000001</v>
      </c>
      <c r="P538" s="13">
        <f>Greenleaf[[#This Row],[ Unit  price per quantity]]-Greenleaf[[#This Row],[ Unit cost per quantity]]</f>
        <v>40.65</v>
      </c>
      <c r="Q538" s="14">
        <f>Greenleaf[[#This Row],[Quantity Sold]]*Greenleaf[[#This Row],[Unit Price]]</f>
        <v>60</v>
      </c>
    </row>
    <row r="539" spans="1:17" x14ac:dyDescent="0.25">
      <c r="A539" t="s">
        <v>1965</v>
      </c>
      <c r="B539" s="5">
        <v>45483</v>
      </c>
      <c r="C539" s="5" t="str">
        <f>TEXT(Greenleaf[[#This Row],[Order Date]],"MMM")</f>
        <v>Jul</v>
      </c>
      <c r="D539" s="5" t="str">
        <f>TEXT(Greenleaf[[#This Row],[Order Date]],"YYYY")</f>
        <v>2024</v>
      </c>
      <c r="E539" t="s">
        <v>2463</v>
      </c>
      <c r="F539" s="7" t="s">
        <v>1014</v>
      </c>
      <c r="G539" s="9">
        <v>6</v>
      </c>
      <c r="H539" s="11">
        <v>15</v>
      </c>
      <c r="I539" s="13">
        <v>3.58</v>
      </c>
      <c r="J539" t="s">
        <v>1026</v>
      </c>
      <c r="K539" t="s">
        <v>2486</v>
      </c>
      <c r="L539" s="7" t="s">
        <v>1414</v>
      </c>
      <c r="M539" s="7" t="s">
        <v>1426</v>
      </c>
      <c r="N539" s="14">
        <f>Greenleaf[[#This Row],[Unit Price]]*Greenleaf[[#This Row],[Quantity Sold]]</f>
        <v>90</v>
      </c>
      <c r="O539" s="13">
        <f>Greenleaf[[#This Row],[Unit Cost]]*Greenleaf[[#This Row],[Quantity Sold]]</f>
        <v>21.48</v>
      </c>
      <c r="P539" s="13">
        <f>Greenleaf[[#This Row],[ Unit  price per quantity]]-Greenleaf[[#This Row],[ Unit cost per quantity]]</f>
        <v>68.52</v>
      </c>
      <c r="Q539" s="14">
        <f>Greenleaf[[#This Row],[Quantity Sold]]*Greenleaf[[#This Row],[Unit Price]]</f>
        <v>90</v>
      </c>
    </row>
    <row r="540" spans="1:17" x14ac:dyDescent="0.25">
      <c r="A540" t="s">
        <v>1966</v>
      </c>
      <c r="B540" s="5">
        <v>45484</v>
      </c>
      <c r="C540" s="5" t="str">
        <f>TEXT(Greenleaf[[#This Row],[Order Date]],"MMM")</f>
        <v>Jul</v>
      </c>
      <c r="D540" s="5" t="str">
        <f>TEXT(Greenleaf[[#This Row],[Order Date]],"YYYY")</f>
        <v>2024</v>
      </c>
      <c r="E540" t="s">
        <v>2463</v>
      </c>
      <c r="F540" s="7" t="s">
        <v>1014</v>
      </c>
      <c r="G540" s="9">
        <v>10</v>
      </c>
      <c r="H540" s="11">
        <v>15</v>
      </c>
      <c r="I540" s="13">
        <v>5.77</v>
      </c>
      <c r="J540" t="s">
        <v>1094</v>
      </c>
      <c r="K540" t="s">
        <v>2548</v>
      </c>
      <c r="L540" s="7" t="s">
        <v>1414</v>
      </c>
      <c r="M540" s="7" t="s">
        <v>1426</v>
      </c>
      <c r="N540" s="14">
        <f>Greenleaf[[#This Row],[Unit Price]]*Greenleaf[[#This Row],[Quantity Sold]]</f>
        <v>150</v>
      </c>
      <c r="O540" s="13">
        <f>Greenleaf[[#This Row],[Unit Cost]]*Greenleaf[[#This Row],[Quantity Sold]]</f>
        <v>57.699999999999996</v>
      </c>
      <c r="P540" s="13">
        <f>Greenleaf[[#This Row],[ Unit  price per quantity]]-Greenleaf[[#This Row],[ Unit cost per quantity]]</f>
        <v>92.300000000000011</v>
      </c>
      <c r="Q540" s="14">
        <f>Greenleaf[[#This Row],[Quantity Sold]]*Greenleaf[[#This Row],[Unit Price]]</f>
        <v>150</v>
      </c>
    </row>
    <row r="541" spans="1:17" x14ac:dyDescent="0.25">
      <c r="A541" t="s">
        <v>1967</v>
      </c>
      <c r="B541" s="5">
        <v>45485</v>
      </c>
      <c r="C541" s="5" t="str">
        <f>TEXT(Greenleaf[[#This Row],[Order Date]],"MMM")</f>
        <v>Jul</v>
      </c>
      <c r="D541" s="5" t="str">
        <f>TEXT(Greenleaf[[#This Row],[Order Date]],"YYYY")</f>
        <v>2024</v>
      </c>
      <c r="E541" t="s">
        <v>2464</v>
      </c>
      <c r="F541" s="7" t="s">
        <v>1012</v>
      </c>
      <c r="G541" s="9">
        <v>3</v>
      </c>
      <c r="H541" s="11">
        <v>40</v>
      </c>
      <c r="I541" s="13">
        <v>12.58</v>
      </c>
      <c r="J541" t="s">
        <v>1065</v>
      </c>
      <c r="K541" t="s">
        <v>2579</v>
      </c>
      <c r="L541" s="7" t="s">
        <v>1414</v>
      </c>
      <c r="M541" s="7" t="s">
        <v>1418</v>
      </c>
      <c r="N541" s="14">
        <f>Greenleaf[[#This Row],[Unit Price]]*Greenleaf[[#This Row],[Quantity Sold]]</f>
        <v>120</v>
      </c>
      <c r="O541" s="13">
        <f>Greenleaf[[#This Row],[Unit Cost]]*Greenleaf[[#This Row],[Quantity Sold]]</f>
        <v>37.74</v>
      </c>
      <c r="P541" s="13">
        <f>Greenleaf[[#This Row],[ Unit  price per quantity]]-Greenleaf[[#This Row],[ Unit cost per quantity]]</f>
        <v>82.259999999999991</v>
      </c>
      <c r="Q541" s="14">
        <f>Greenleaf[[#This Row],[Quantity Sold]]*Greenleaf[[#This Row],[Unit Price]]</f>
        <v>120</v>
      </c>
    </row>
    <row r="542" spans="1:17" x14ac:dyDescent="0.25">
      <c r="A542" t="s">
        <v>1968</v>
      </c>
      <c r="B542" s="5">
        <v>45485</v>
      </c>
      <c r="C542" s="5" t="str">
        <f>TEXT(Greenleaf[[#This Row],[Order Date]],"MMM")</f>
        <v>Jul</v>
      </c>
      <c r="D542" s="5" t="str">
        <f>TEXT(Greenleaf[[#This Row],[Order Date]],"YYYY")</f>
        <v>2024</v>
      </c>
      <c r="E542" t="s">
        <v>2463</v>
      </c>
      <c r="F542" s="7" t="s">
        <v>1014</v>
      </c>
      <c r="G542" s="9">
        <v>9</v>
      </c>
      <c r="H542" s="11">
        <v>15</v>
      </c>
      <c r="I542" s="13">
        <v>5.0599999999999996</v>
      </c>
      <c r="J542" t="s">
        <v>1144</v>
      </c>
      <c r="K542" t="s">
        <v>2534</v>
      </c>
      <c r="L542" s="7" t="s">
        <v>1415</v>
      </c>
      <c r="M542" s="7" t="s">
        <v>1418</v>
      </c>
      <c r="N542" s="14">
        <f>Greenleaf[[#This Row],[Unit Price]]*Greenleaf[[#This Row],[Quantity Sold]]</f>
        <v>135</v>
      </c>
      <c r="O542" s="13">
        <f>Greenleaf[[#This Row],[Unit Cost]]*Greenleaf[[#This Row],[Quantity Sold]]</f>
        <v>45.54</v>
      </c>
      <c r="P542" s="13">
        <f>Greenleaf[[#This Row],[ Unit  price per quantity]]-Greenleaf[[#This Row],[ Unit cost per quantity]]</f>
        <v>89.460000000000008</v>
      </c>
      <c r="Q542" s="14">
        <f>Greenleaf[[#This Row],[Quantity Sold]]*Greenleaf[[#This Row],[Unit Price]]</f>
        <v>135</v>
      </c>
    </row>
    <row r="543" spans="1:17" x14ac:dyDescent="0.25">
      <c r="A543" t="s">
        <v>1969</v>
      </c>
      <c r="B543" s="5">
        <v>45485</v>
      </c>
      <c r="C543" s="5" t="str">
        <f>TEXT(Greenleaf[[#This Row],[Order Date]],"MMM")</f>
        <v>Jul</v>
      </c>
      <c r="D543" s="5" t="str">
        <f>TEXT(Greenleaf[[#This Row],[Order Date]],"YYYY")</f>
        <v>2024</v>
      </c>
      <c r="E543" t="s">
        <v>2463</v>
      </c>
      <c r="F543" s="7" t="s">
        <v>1014</v>
      </c>
      <c r="G543" s="9">
        <v>9</v>
      </c>
      <c r="H543" s="11">
        <v>15</v>
      </c>
      <c r="I543" s="13">
        <v>4.67</v>
      </c>
      <c r="J543" t="s">
        <v>1055</v>
      </c>
      <c r="K543" t="s">
        <v>2553</v>
      </c>
      <c r="L543" s="7" t="s">
        <v>1414</v>
      </c>
      <c r="M543" s="7" t="s">
        <v>1427</v>
      </c>
      <c r="N543" s="14">
        <f>Greenleaf[[#This Row],[Unit Price]]*Greenleaf[[#This Row],[Quantity Sold]]</f>
        <v>135</v>
      </c>
      <c r="O543" s="13">
        <f>Greenleaf[[#This Row],[Unit Cost]]*Greenleaf[[#This Row],[Quantity Sold]]</f>
        <v>42.03</v>
      </c>
      <c r="P543" s="13">
        <f>Greenleaf[[#This Row],[ Unit  price per quantity]]-Greenleaf[[#This Row],[ Unit cost per quantity]]</f>
        <v>92.97</v>
      </c>
      <c r="Q543" s="14">
        <f>Greenleaf[[#This Row],[Quantity Sold]]*Greenleaf[[#This Row],[Unit Price]]</f>
        <v>135</v>
      </c>
    </row>
    <row r="544" spans="1:17" x14ac:dyDescent="0.25">
      <c r="A544" t="s">
        <v>1970</v>
      </c>
      <c r="B544" s="5">
        <v>45486</v>
      </c>
      <c r="C544" s="5" t="str">
        <f>TEXT(Greenleaf[[#This Row],[Order Date]],"MMM")</f>
        <v>Jul</v>
      </c>
      <c r="D544" s="5" t="str">
        <f>TEXT(Greenleaf[[#This Row],[Order Date]],"YYYY")</f>
        <v>2024</v>
      </c>
      <c r="E544" t="s">
        <v>2460</v>
      </c>
      <c r="F544" s="7" t="s">
        <v>1015</v>
      </c>
      <c r="G544" s="9">
        <v>10</v>
      </c>
      <c r="H544" s="11">
        <v>10</v>
      </c>
      <c r="I544" s="13">
        <v>2.2200000000000002</v>
      </c>
      <c r="J544" t="s">
        <v>1180</v>
      </c>
      <c r="K544" t="s">
        <v>2554</v>
      </c>
      <c r="L544" s="7" t="s">
        <v>1417</v>
      </c>
      <c r="M544" s="7" t="s">
        <v>1423</v>
      </c>
      <c r="N544" s="14">
        <f>Greenleaf[[#This Row],[Unit Price]]*Greenleaf[[#This Row],[Quantity Sold]]</f>
        <v>100</v>
      </c>
      <c r="O544" s="13">
        <f>Greenleaf[[#This Row],[Unit Cost]]*Greenleaf[[#This Row],[Quantity Sold]]</f>
        <v>22.200000000000003</v>
      </c>
      <c r="P544" s="13">
        <f>Greenleaf[[#This Row],[ Unit  price per quantity]]-Greenleaf[[#This Row],[ Unit cost per quantity]]</f>
        <v>77.8</v>
      </c>
      <c r="Q544" s="14">
        <f>Greenleaf[[#This Row],[Quantity Sold]]*Greenleaf[[#This Row],[Unit Price]]</f>
        <v>100</v>
      </c>
    </row>
    <row r="545" spans="1:17" x14ac:dyDescent="0.25">
      <c r="A545" t="s">
        <v>1971</v>
      </c>
      <c r="B545" s="5">
        <v>45487</v>
      </c>
      <c r="C545" s="5" t="str">
        <f>TEXT(Greenleaf[[#This Row],[Order Date]],"MMM")</f>
        <v>Jul</v>
      </c>
      <c r="D545" s="5" t="str">
        <f>TEXT(Greenleaf[[#This Row],[Order Date]],"YYYY")</f>
        <v>2024</v>
      </c>
      <c r="E545" t="s">
        <v>2460</v>
      </c>
      <c r="F545" s="7" t="s">
        <v>1015</v>
      </c>
      <c r="G545" s="9">
        <v>2</v>
      </c>
      <c r="H545" s="11">
        <v>10</v>
      </c>
      <c r="I545" s="13">
        <v>2.02</v>
      </c>
      <c r="J545" t="s">
        <v>1130</v>
      </c>
      <c r="K545" t="s">
        <v>2587</v>
      </c>
      <c r="L545" s="7" t="s">
        <v>1416</v>
      </c>
      <c r="M545" s="7" t="s">
        <v>1421</v>
      </c>
      <c r="N545" s="14">
        <f>Greenleaf[[#This Row],[Unit Price]]*Greenleaf[[#This Row],[Quantity Sold]]</f>
        <v>20</v>
      </c>
      <c r="O545" s="13">
        <f>Greenleaf[[#This Row],[Unit Cost]]*Greenleaf[[#This Row],[Quantity Sold]]</f>
        <v>4.04</v>
      </c>
      <c r="P545" s="13">
        <f>Greenleaf[[#This Row],[ Unit  price per quantity]]-Greenleaf[[#This Row],[ Unit cost per quantity]]</f>
        <v>15.96</v>
      </c>
      <c r="Q545" s="14">
        <f>Greenleaf[[#This Row],[Quantity Sold]]*Greenleaf[[#This Row],[Unit Price]]</f>
        <v>20</v>
      </c>
    </row>
    <row r="546" spans="1:17" x14ac:dyDescent="0.25">
      <c r="A546" t="s">
        <v>1972</v>
      </c>
      <c r="B546" s="5">
        <v>45487</v>
      </c>
      <c r="C546" s="5" t="str">
        <f>TEXT(Greenleaf[[#This Row],[Order Date]],"MMM")</f>
        <v>Jul</v>
      </c>
      <c r="D546" s="5" t="str">
        <f>TEXT(Greenleaf[[#This Row],[Order Date]],"YYYY")</f>
        <v>2024</v>
      </c>
      <c r="E546" t="s">
        <v>2461</v>
      </c>
      <c r="F546" s="7" t="s">
        <v>1011</v>
      </c>
      <c r="G546" s="9">
        <v>5</v>
      </c>
      <c r="H546" s="11">
        <v>12</v>
      </c>
      <c r="I546" s="13">
        <v>2.5099999999999998</v>
      </c>
      <c r="J546" t="s">
        <v>1034</v>
      </c>
      <c r="K546" t="s">
        <v>2473</v>
      </c>
      <c r="L546" s="7" t="s">
        <v>1414</v>
      </c>
      <c r="M546" s="7" t="s">
        <v>1425</v>
      </c>
      <c r="N546" s="14">
        <f>Greenleaf[[#This Row],[Unit Price]]*Greenleaf[[#This Row],[Quantity Sold]]</f>
        <v>60</v>
      </c>
      <c r="O546" s="13">
        <f>Greenleaf[[#This Row],[Unit Cost]]*Greenleaf[[#This Row],[Quantity Sold]]</f>
        <v>12.549999999999999</v>
      </c>
      <c r="P546" s="13">
        <f>Greenleaf[[#This Row],[ Unit  price per quantity]]-Greenleaf[[#This Row],[ Unit cost per quantity]]</f>
        <v>47.45</v>
      </c>
      <c r="Q546" s="14">
        <f>Greenleaf[[#This Row],[Quantity Sold]]*Greenleaf[[#This Row],[Unit Price]]</f>
        <v>60</v>
      </c>
    </row>
    <row r="547" spans="1:17" x14ac:dyDescent="0.25">
      <c r="A547" t="s">
        <v>1973</v>
      </c>
      <c r="B547" s="5">
        <v>45487</v>
      </c>
      <c r="C547" s="5" t="str">
        <f>TEXT(Greenleaf[[#This Row],[Order Date]],"MMM")</f>
        <v>Jul</v>
      </c>
      <c r="D547" s="5" t="str">
        <f>TEXT(Greenleaf[[#This Row],[Order Date]],"YYYY")</f>
        <v>2024</v>
      </c>
      <c r="E547" t="s">
        <v>2460</v>
      </c>
      <c r="F547" s="7" t="s">
        <v>1015</v>
      </c>
      <c r="G547" s="9">
        <v>4</v>
      </c>
      <c r="H547" s="11">
        <v>10</v>
      </c>
      <c r="I547" s="13">
        <v>3.9</v>
      </c>
      <c r="J547" t="s">
        <v>1089</v>
      </c>
      <c r="K547" t="s">
        <v>2528</v>
      </c>
      <c r="L547" s="7" t="s">
        <v>1416</v>
      </c>
      <c r="M547" s="7" t="s">
        <v>1423</v>
      </c>
      <c r="N547" s="14">
        <f>Greenleaf[[#This Row],[Unit Price]]*Greenleaf[[#This Row],[Quantity Sold]]</f>
        <v>40</v>
      </c>
      <c r="O547" s="13">
        <f>Greenleaf[[#This Row],[Unit Cost]]*Greenleaf[[#This Row],[Quantity Sold]]</f>
        <v>15.6</v>
      </c>
      <c r="P547" s="13">
        <f>Greenleaf[[#This Row],[ Unit  price per quantity]]-Greenleaf[[#This Row],[ Unit cost per quantity]]</f>
        <v>24.4</v>
      </c>
      <c r="Q547" s="14">
        <f>Greenleaf[[#This Row],[Quantity Sold]]*Greenleaf[[#This Row],[Unit Price]]</f>
        <v>40</v>
      </c>
    </row>
    <row r="548" spans="1:17" x14ac:dyDescent="0.25">
      <c r="A548" t="s">
        <v>1974</v>
      </c>
      <c r="B548" s="5">
        <v>45487</v>
      </c>
      <c r="C548" s="5" t="str">
        <f>TEXT(Greenleaf[[#This Row],[Order Date]],"MMM")</f>
        <v>Jul</v>
      </c>
      <c r="D548" s="5" t="str">
        <f>TEXT(Greenleaf[[#This Row],[Order Date]],"YYYY")</f>
        <v>2024</v>
      </c>
      <c r="E548" t="s">
        <v>2464</v>
      </c>
      <c r="F548" s="7" t="s">
        <v>1012</v>
      </c>
      <c r="G548" s="9">
        <v>10</v>
      </c>
      <c r="H548" s="11">
        <v>40</v>
      </c>
      <c r="I548" s="13">
        <v>14.94</v>
      </c>
      <c r="J548" t="s">
        <v>1146</v>
      </c>
      <c r="K548" t="s">
        <v>2575</v>
      </c>
      <c r="L548" s="7" t="s">
        <v>1416</v>
      </c>
      <c r="M548" s="7" t="s">
        <v>1424</v>
      </c>
      <c r="N548" s="14">
        <f>Greenleaf[[#This Row],[Unit Price]]*Greenleaf[[#This Row],[Quantity Sold]]</f>
        <v>400</v>
      </c>
      <c r="O548" s="13">
        <f>Greenleaf[[#This Row],[Unit Cost]]*Greenleaf[[#This Row],[Quantity Sold]]</f>
        <v>149.4</v>
      </c>
      <c r="P548" s="13">
        <f>Greenleaf[[#This Row],[ Unit  price per quantity]]-Greenleaf[[#This Row],[ Unit cost per quantity]]</f>
        <v>250.6</v>
      </c>
      <c r="Q548" s="14">
        <f>Greenleaf[[#This Row],[Quantity Sold]]*Greenleaf[[#This Row],[Unit Price]]</f>
        <v>400</v>
      </c>
    </row>
    <row r="549" spans="1:17" x14ac:dyDescent="0.25">
      <c r="A549" t="s">
        <v>1975</v>
      </c>
      <c r="B549" s="5">
        <v>45488</v>
      </c>
      <c r="C549" s="5" t="str">
        <f>TEXT(Greenleaf[[#This Row],[Order Date]],"MMM")</f>
        <v>Jul</v>
      </c>
      <c r="D549" s="5" t="str">
        <f>TEXT(Greenleaf[[#This Row],[Order Date]],"YYYY")</f>
        <v>2024</v>
      </c>
      <c r="E549" t="s">
        <v>2463</v>
      </c>
      <c r="F549" s="7" t="s">
        <v>1014</v>
      </c>
      <c r="G549" s="9">
        <v>6</v>
      </c>
      <c r="H549" s="11">
        <v>15</v>
      </c>
      <c r="I549" s="13">
        <v>3.49</v>
      </c>
      <c r="J549" t="s">
        <v>1031</v>
      </c>
      <c r="K549" t="s">
        <v>2491</v>
      </c>
      <c r="L549" s="7" t="s">
        <v>1415</v>
      </c>
      <c r="M549" s="7" t="s">
        <v>1419</v>
      </c>
      <c r="N549" s="14">
        <f>Greenleaf[[#This Row],[Unit Price]]*Greenleaf[[#This Row],[Quantity Sold]]</f>
        <v>90</v>
      </c>
      <c r="O549" s="13">
        <f>Greenleaf[[#This Row],[Unit Cost]]*Greenleaf[[#This Row],[Quantity Sold]]</f>
        <v>20.94</v>
      </c>
      <c r="P549" s="13">
        <f>Greenleaf[[#This Row],[ Unit  price per quantity]]-Greenleaf[[#This Row],[ Unit cost per quantity]]</f>
        <v>69.06</v>
      </c>
      <c r="Q549" s="14">
        <f>Greenleaf[[#This Row],[Quantity Sold]]*Greenleaf[[#This Row],[Unit Price]]</f>
        <v>90</v>
      </c>
    </row>
    <row r="550" spans="1:17" x14ac:dyDescent="0.25">
      <c r="A550" t="s">
        <v>1976</v>
      </c>
      <c r="B550" s="5">
        <v>45488</v>
      </c>
      <c r="C550" s="5" t="str">
        <f>TEXT(Greenleaf[[#This Row],[Order Date]],"MMM")</f>
        <v>Jul</v>
      </c>
      <c r="D550" s="5" t="str">
        <f>TEXT(Greenleaf[[#This Row],[Order Date]],"YYYY")</f>
        <v>2024</v>
      </c>
      <c r="E550" t="s">
        <v>2464</v>
      </c>
      <c r="F550" s="7" t="s">
        <v>1012</v>
      </c>
      <c r="G550" s="9">
        <v>1</v>
      </c>
      <c r="H550" s="11">
        <v>40</v>
      </c>
      <c r="I550" s="13">
        <v>10.89</v>
      </c>
      <c r="J550" t="s">
        <v>1080</v>
      </c>
      <c r="K550" t="s">
        <v>2470</v>
      </c>
      <c r="L550" s="7" t="s">
        <v>1414</v>
      </c>
      <c r="M550" s="7" t="s">
        <v>1425</v>
      </c>
      <c r="N550" s="14">
        <f>Greenleaf[[#This Row],[Unit Price]]*Greenleaf[[#This Row],[Quantity Sold]]</f>
        <v>40</v>
      </c>
      <c r="O550" s="13">
        <f>Greenleaf[[#This Row],[Unit Cost]]*Greenleaf[[#This Row],[Quantity Sold]]</f>
        <v>10.89</v>
      </c>
      <c r="P550" s="13">
        <f>Greenleaf[[#This Row],[ Unit  price per quantity]]-Greenleaf[[#This Row],[ Unit cost per quantity]]</f>
        <v>29.11</v>
      </c>
      <c r="Q550" s="14">
        <f>Greenleaf[[#This Row],[Quantity Sold]]*Greenleaf[[#This Row],[Unit Price]]</f>
        <v>40</v>
      </c>
    </row>
    <row r="551" spans="1:17" x14ac:dyDescent="0.25">
      <c r="A551" t="s">
        <v>1977</v>
      </c>
      <c r="B551" s="5">
        <v>45488</v>
      </c>
      <c r="C551" s="5" t="str">
        <f>TEXT(Greenleaf[[#This Row],[Order Date]],"MMM")</f>
        <v>Jul</v>
      </c>
      <c r="D551" s="5" t="str">
        <f>TEXT(Greenleaf[[#This Row],[Order Date]],"YYYY")</f>
        <v>2024</v>
      </c>
      <c r="E551" t="s">
        <v>2462</v>
      </c>
      <c r="F551" s="7" t="s">
        <v>1013</v>
      </c>
      <c r="G551" s="9">
        <v>3</v>
      </c>
      <c r="H551" s="11">
        <v>25</v>
      </c>
      <c r="I551" s="13">
        <v>6.64</v>
      </c>
      <c r="J551" t="s">
        <v>1182</v>
      </c>
      <c r="K551" t="s">
        <v>2580</v>
      </c>
      <c r="L551" s="7" t="s">
        <v>1414</v>
      </c>
      <c r="M551" s="7" t="s">
        <v>1422</v>
      </c>
      <c r="N551" s="14">
        <f>Greenleaf[[#This Row],[Unit Price]]*Greenleaf[[#This Row],[Quantity Sold]]</f>
        <v>75</v>
      </c>
      <c r="O551" s="13">
        <f>Greenleaf[[#This Row],[Unit Cost]]*Greenleaf[[#This Row],[Quantity Sold]]</f>
        <v>19.919999999999998</v>
      </c>
      <c r="P551" s="13">
        <f>Greenleaf[[#This Row],[ Unit  price per quantity]]-Greenleaf[[#This Row],[ Unit cost per quantity]]</f>
        <v>55.08</v>
      </c>
      <c r="Q551" s="14">
        <f>Greenleaf[[#This Row],[Quantity Sold]]*Greenleaf[[#This Row],[Unit Price]]</f>
        <v>75</v>
      </c>
    </row>
    <row r="552" spans="1:17" x14ac:dyDescent="0.25">
      <c r="A552" t="s">
        <v>1978</v>
      </c>
      <c r="B552" s="5">
        <v>45488</v>
      </c>
      <c r="C552" s="5" t="str">
        <f>TEXT(Greenleaf[[#This Row],[Order Date]],"MMM")</f>
        <v>Jul</v>
      </c>
      <c r="D552" s="5" t="str">
        <f>TEXT(Greenleaf[[#This Row],[Order Date]],"YYYY")</f>
        <v>2024</v>
      </c>
      <c r="E552" t="s">
        <v>2462</v>
      </c>
      <c r="F552" s="7" t="s">
        <v>1013</v>
      </c>
      <c r="G552" s="9">
        <v>5</v>
      </c>
      <c r="H552" s="11">
        <v>25</v>
      </c>
      <c r="I552" s="13">
        <v>5.76</v>
      </c>
      <c r="J552" t="s">
        <v>1078</v>
      </c>
      <c r="K552" t="s">
        <v>2539</v>
      </c>
      <c r="L552" s="7" t="s">
        <v>1414</v>
      </c>
      <c r="M552" s="7" t="s">
        <v>1422</v>
      </c>
      <c r="N552" s="14">
        <f>Greenleaf[[#This Row],[Unit Price]]*Greenleaf[[#This Row],[Quantity Sold]]</f>
        <v>125</v>
      </c>
      <c r="O552" s="13">
        <f>Greenleaf[[#This Row],[Unit Cost]]*Greenleaf[[#This Row],[Quantity Sold]]</f>
        <v>28.799999999999997</v>
      </c>
      <c r="P552" s="13">
        <f>Greenleaf[[#This Row],[ Unit  price per quantity]]-Greenleaf[[#This Row],[ Unit cost per quantity]]</f>
        <v>96.2</v>
      </c>
      <c r="Q552" s="14">
        <f>Greenleaf[[#This Row],[Quantity Sold]]*Greenleaf[[#This Row],[Unit Price]]</f>
        <v>125</v>
      </c>
    </row>
    <row r="553" spans="1:17" x14ac:dyDescent="0.25">
      <c r="A553" t="s">
        <v>1979</v>
      </c>
      <c r="B553" s="5">
        <v>45488</v>
      </c>
      <c r="C553" s="5" t="str">
        <f>TEXT(Greenleaf[[#This Row],[Order Date]],"MMM")</f>
        <v>Jul</v>
      </c>
      <c r="D553" s="5" t="str">
        <f>TEXT(Greenleaf[[#This Row],[Order Date]],"YYYY")</f>
        <v>2024</v>
      </c>
      <c r="E553" t="s">
        <v>2463</v>
      </c>
      <c r="F553" s="7" t="s">
        <v>1014</v>
      </c>
      <c r="G553" s="9">
        <v>2</v>
      </c>
      <c r="H553" s="11">
        <v>15</v>
      </c>
      <c r="I553" s="13">
        <v>5.21</v>
      </c>
      <c r="J553" t="s">
        <v>1151</v>
      </c>
      <c r="K553" t="s">
        <v>2568</v>
      </c>
      <c r="L553" s="7" t="s">
        <v>1414</v>
      </c>
      <c r="M553" s="7" t="s">
        <v>1420</v>
      </c>
      <c r="N553" s="14">
        <f>Greenleaf[[#This Row],[Unit Price]]*Greenleaf[[#This Row],[Quantity Sold]]</f>
        <v>30</v>
      </c>
      <c r="O553" s="13">
        <f>Greenleaf[[#This Row],[Unit Cost]]*Greenleaf[[#This Row],[Quantity Sold]]</f>
        <v>10.42</v>
      </c>
      <c r="P553" s="13">
        <f>Greenleaf[[#This Row],[ Unit  price per quantity]]-Greenleaf[[#This Row],[ Unit cost per quantity]]</f>
        <v>19.579999999999998</v>
      </c>
      <c r="Q553" s="14">
        <f>Greenleaf[[#This Row],[Quantity Sold]]*Greenleaf[[#This Row],[Unit Price]]</f>
        <v>30</v>
      </c>
    </row>
    <row r="554" spans="1:17" x14ac:dyDescent="0.25">
      <c r="A554" t="s">
        <v>1980</v>
      </c>
      <c r="B554" s="5">
        <v>45489</v>
      </c>
      <c r="C554" s="5" t="str">
        <f>TEXT(Greenleaf[[#This Row],[Order Date]],"MMM")</f>
        <v>Jul</v>
      </c>
      <c r="D554" s="5" t="str">
        <f>TEXT(Greenleaf[[#This Row],[Order Date]],"YYYY")</f>
        <v>2024</v>
      </c>
      <c r="E554" t="s">
        <v>2460</v>
      </c>
      <c r="F554" s="7" t="s">
        <v>1015</v>
      </c>
      <c r="G554" s="9">
        <v>3</v>
      </c>
      <c r="H554" s="11">
        <v>10</v>
      </c>
      <c r="I554" s="13">
        <v>3.27</v>
      </c>
      <c r="J554" t="s">
        <v>1109</v>
      </c>
      <c r="K554" t="s">
        <v>2560</v>
      </c>
      <c r="L554" s="7" t="s">
        <v>1416</v>
      </c>
      <c r="M554" s="7" t="s">
        <v>1421</v>
      </c>
      <c r="N554" s="14">
        <f>Greenleaf[[#This Row],[Unit Price]]*Greenleaf[[#This Row],[Quantity Sold]]</f>
        <v>30</v>
      </c>
      <c r="O554" s="13">
        <f>Greenleaf[[#This Row],[Unit Cost]]*Greenleaf[[#This Row],[Quantity Sold]]</f>
        <v>9.81</v>
      </c>
      <c r="P554" s="13">
        <f>Greenleaf[[#This Row],[ Unit  price per quantity]]-Greenleaf[[#This Row],[ Unit cost per quantity]]</f>
        <v>20.189999999999998</v>
      </c>
      <c r="Q554" s="14">
        <f>Greenleaf[[#This Row],[Quantity Sold]]*Greenleaf[[#This Row],[Unit Price]]</f>
        <v>30</v>
      </c>
    </row>
    <row r="555" spans="1:17" x14ac:dyDescent="0.25">
      <c r="A555" t="s">
        <v>1981</v>
      </c>
      <c r="B555" s="5">
        <v>45489</v>
      </c>
      <c r="C555" s="5" t="str">
        <f>TEXT(Greenleaf[[#This Row],[Order Date]],"MMM")</f>
        <v>Jul</v>
      </c>
      <c r="D555" s="5" t="str">
        <f>TEXT(Greenleaf[[#This Row],[Order Date]],"YYYY")</f>
        <v>2024</v>
      </c>
      <c r="E555" t="s">
        <v>2463</v>
      </c>
      <c r="F555" s="7" t="s">
        <v>1014</v>
      </c>
      <c r="G555" s="9">
        <v>4</v>
      </c>
      <c r="H555" s="11">
        <v>15</v>
      </c>
      <c r="I555" s="13">
        <v>5.98</v>
      </c>
      <c r="J555" t="s">
        <v>1146</v>
      </c>
      <c r="K555" t="s">
        <v>2575</v>
      </c>
      <c r="L555" s="7" t="s">
        <v>1414</v>
      </c>
      <c r="M555" s="7" t="s">
        <v>1422</v>
      </c>
      <c r="N555" s="14">
        <f>Greenleaf[[#This Row],[Unit Price]]*Greenleaf[[#This Row],[Quantity Sold]]</f>
        <v>60</v>
      </c>
      <c r="O555" s="13">
        <f>Greenleaf[[#This Row],[Unit Cost]]*Greenleaf[[#This Row],[Quantity Sold]]</f>
        <v>23.92</v>
      </c>
      <c r="P555" s="13">
        <f>Greenleaf[[#This Row],[ Unit  price per quantity]]-Greenleaf[[#This Row],[ Unit cost per quantity]]</f>
        <v>36.08</v>
      </c>
      <c r="Q555" s="14">
        <f>Greenleaf[[#This Row],[Quantity Sold]]*Greenleaf[[#This Row],[Unit Price]]</f>
        <v>60</v>
      </c>
    </row>
    <row r="556" spans="1:17" x14ac:dyDescent="0.25">
      <c r="A556" t="s">
        <v>1982</v>
      </c>
      <c r="B556" s="5">
        <v>45490</v>
      </c>
      <c r="C556" s="5" t="str">
        <f>TEXT(Greenleaf[[#This Row],[Order Date]],"MMM")</f>
        <v>Jul</v>
      </c>
      <c r="D556" s="5" t="str">
        <f>TEXT(Greenleaf[[#This Row],[Order Date]],"YYYY")</f>
        <v>2024</v>
      </c>
      <c r="E556" t="s">
        <v>2460</v>
      </c>
      <c r="F556" s="7" t="s">
        <v>1015</v>
      </c>
      <c r="G556" s="9">
        <v>4</v>
      </c>
      <c r="H556" s="11">
        <v>10</v>
      </c>
      <c r="I556" s="13">
        <v>2.38</v>
      </c>
      <c r="J556" t="s">
        <v>1042</v>
      </c>
      <c r="K556" t="s">
        <v>2544</v>
      </c>
      <c r="L556" s="7" t="s">
        <v>1417</v>
      </c>
      <c r="M556" s="7" t="s">
        <v>1420</v>
      </c>
      <c r="N556" s="14">
        <f>Greenleaf[[#This Row],[Unit Price]]*Greenleaf[[#This Row],[Quantity Sold]]</f>
        <v>40</v>
      </c>
      <c r="O556" s="13">
        <f>Greenleaf[[#This Row],[Unit Cost]]*Greenleaf[[#This Row],[Quantity Sold]]</f>
        <v>9.52</v>
      </c>
      <c r="P556" s="13">
        <f>Greenleaf[[#This Row],[ Unit  price per quantity]]-Greenleaf[[#This Row],[ Unit cost per quantity]]</f>
        <v>30.48</v>
      </c>
      <c r="Q556" s="14">
        <f>Greenleaf[[#This Row],[Quantity Sold]]*Greenleaf[[#This Row],[Unit Price]]</f>
        <v>40</v>
      </c>
    </row>
    <row r="557" spans="1:17" x14ac:dyDescent="0.25">
      <c r="A557" t="s">
        <v>1983</v>
      </c>
      <c r="B557" s="5">
        <v>45490</v>
      </c>
      <c r="C557" s="5" t="str">
        <f>TEXT(Greenleaf[[#This Row],[Order Date]],"MMM")</f>
        <v>Jul</v>
      </c>
      <c r="D557" s="5" t="str">
        <f>TEXT(Greenleaf[[#This Row],[Order Date]],"YYYY")</f>
        <v>2024</v>
      </c>
      <c r="E557" t="s">
        <v>2463</v>
      </c>
      <c r="F557" s="7" t="s">
        <v>1014</v>
      </c>
      <c r="G557" s="9">
        <v>7</v>
      </c>
      <c r="H557" s="11">
        <v>15</v>
      </c>
      <c r="I557" s="13">
        <v>4.13</v>
      </c>
      <c r="J557" t="s">
        <v>1165</v>
      </c>
      <c r="K557" t="s">
        <v>2515</v>
      </c>
      <c r="L557" s="7" t="s">
        <v>1414</v>
      </c>
      <c r="M557" s="7" t="s">
        <v>1427</v>
      </c>
      <c r="N557" s="14">
        <f>Greenleaf[[#This Row],[Unit Price]]*Greenleaf[[#This Row],[Quantity Sold]]</f>
        <v>105</v>
      </c>
      <c r="O557" s="13">
        <f>Greenleaf[[#This Row],[Unit Cost]]*Greenleaf[[#This Row],[Quantity Sold]]</f>
        <v>28.91</v>
      </c>
      <c r="P557" s="13">
        <f>Greenleaf[[#This Row],[ Unit  price per quantity]]-Greenleaf[[#This Row],[ Unit cost per quantity]]</f>
        <v>76.09</v>
      </c>
      <c r="Q557" s="14">
        <f>Greenleaf[[#This Row],[Quantity Sold]]*Greenleaf[[#This Row],[Unit Price]]</f>
        <v>105</v>
      </c>
    </row>
    <row r="558" spans="1:17" x14ac:dyDescent="0.25">
      <c r="A558" t="s">
        <v>1984</v>
      </c>
      <c r="B558" s="5">
        <v>45490</v>
      </c>
      <c r="C558" s="5" t="str">
        <f>TEXT(Greenleaf[[#This Row],[Order Date]],"MMM")</f>
        <v>Jul</v>
      </c>
      <c r="D558" s="5" t="str">
        <f>TEXT(Greenleaf[[#This Row],[Order Date]],"YYYY")</f>
        <v>2024</v>
      </c>
      <c r="E558" t="s">
        <v>2462</v>
      </c>
      <c r="F558" s="7" t="s">
        <v>1013</v>
      </c>
      <c r="G558" s="9">
        <v>5</v>
      </c>
      <c r="H558" s="11">
        <v>25</v>
      </c>
      <c r="I558" s="13">
        <v>9.35</v>
      </c>
      <c r="J558" t="s">
        <v>1143</v>
      </c>
      <c r="K558" t="s">
        <v>2537</v>
      </c>
      <c r="L558" s="7" t="s">
        <v>1414</v>
      </c>
      <c r="M558" s="7" t="s">
        <v>1426</v>
      </c>
      <c r="N558" s="14">
        <f>Greenleaf[[#This Row],[Unit Price]]*Greenleaf[[#This Row],[Quantity Sold]]</f>
        <v>125</v>
      </c>
      <c r="O558" s="13">
        <f>Greenleaf[[#This Row],[Unit Cost]]*Greenleaf[[#This Row],[Quantity Sold]]</f>
        <v>46.75</v>
      </c>
      <c r="P558" s="13">
        <f>Greenleaf[[#This Row],[ Unit  price per quantity]]-Greenleaf[[#This Row],[ Unit cost per quantity]]</f>
        <v>78.25</v>
      </c>
      <c r="Q558" s="14">
        <f>Greenleaf[[#This Row],[Quantity Sold]]*Greenleaf[[#This Row],[Unit Price]]</f>
        <v>125</v>
      </c>
    </row>
    <row r="559" spans="1:17" x14ac:dyDescent="0.25">
      <c r="A559" t="s">
        <v>1985</v>
      </c>
      <c r="B559" s="5">
        <v>45490</v>
      </c>
      <c r="C559" s="5" t="str">
        <f>TEXT(Greenleaf[[#This Row],[Order Date]],"MMM")</f>
        <v>Jul</v>
      </c>
      <c r="D559" s="5" t="str">
        <f>TEXT(Greenleaf[[#This Row],[Order Date]],"YYYY")</f>
        <v>2024</v>
      </c>
      <c r="E559" t="s">
        <v>2463</v>
      </c>
      <c r="F559" s="7" t="s">
        <v>1014</v>
      </c>
      <c r="G559" s="9">
        <v>8</v>
      </c>
      <c r="H559" s="11">
        <v>15</v>
      </c>
      <c r="I559" s="13">
        <v>3.62</v>
      </c>
      <c r="J559" t="s">
        <v>1120</v>
      </c>
      <c r="K559" t="s">
        <v>2481</v>
      </c>
      <c r="L559" s="7" t="s">
        <v>1417</v>
      </c>
      <c r="M559" s="7" t="s">
        <v>1421</v>
      </c>
      <c r="N559" s="14">
        <f>Greenleaf[[#This Row],[Unit Price]]*Greenleaf[[#This Row],[Quantity Sold]]</f>
        <v>120</v>
      </c>
      <c r="O559" s="13">
        <f>Greenleaf[[#This Row],[Unit Cost]]*Greenleaf[[#This Row],[Quantity Sold]]</f>
        <v>28.96</v>
      </c>
      <c r="P559" s="13">
        <f>Greenleaf[[#This Row],[ Unit  price per quantity]]-Greenleaf[[#This Row],[ Unit cost per quantity]]</f>
        <v>91.039999999999992</v>
      </c>
      <c r="Q559" s="14">
        <f>Greenleaf[[#This Row],[Quantity Sold]]*Greenleaf[[#This Row],[Unit Price]]</f>
        <v>120</v>
      </c>
    </row>
    <row r="560" spans="1:17" x14ac:dyDescent="0.25">
      <c r="A560" t="s">
        <v>1986</v>
      </c>
      <c r="B560" s="5">
        <v>45491</v>
      </c>
      <c r="C560" s="5" t="str">
        <f>TEXT(Greenleaf[[#This Row],[Order Date]],"MMM")</f>
        <v>Jul</v>
      </c>
      <c r="D560" s="5" t="str">
        <f>TEXT(Greenleaf[[#This Row],[Order Date]],"YYYY")</f>
        <v>2024</v>
      </c>
      <c r="E560" t="s">
        <v>2462</v>
      </c>
      <c r="F560" s="7" t="s">
        <v>1013</v>
      </c>
      <c r="G560" s="9">
        <v>5</v>
      </c>
      <c r="H560" s="11">
        <v>25</v>
      </c>
      <c r="I560" s="13">
        <v>8.68</v>
      </c>
      <c r="J560" t="s">
        <v>1042</v>
      </c>
      <c r="K560" t="s">
        <v>2544</v>
      </c>
      <c r="L560" s="7" t="s">
        <v>1414</v>
      </c>
      <c r="M560" s="7" t="s">
        <v>1418</v>
      </c>
      <c r="N560" s="14">
        <f>Greenleaf[[#This Row],[Unit Price]]*Greenleaf[[#This Row],[Quantity Sold]]</f>
        <v>125</v>
      </c>
      <c r="O560" s="13">
        <f>Greenleaf[[#This Row],[Unit Cost]]*Greenleaf[[#This Row],[Quantity Sold]]</f>
        <v>43.4</v>
      </c>
      <c r="P560" s="13">
        <f>Greenleaf[[#This Row],[ Unit  price per quantity]]-Greenleaf[[#This Row],[ Unit cost per quantity]]</f>
        <v>81.599999999999994</v>
      </c>
      <c r="Q560" s="14">
        <f>Greenleaf[[#This Row],[Quantity Sold]]*Greenleaf[[#This Row],[Unit Price]]</f>
        <v>125</v>
      </c>
    </row>
    <row r="561" spans="1:17" x14ac:dyDescent="0.25">
      <c r="A561" t="s">
        <v>1987</v>
      </c>
      <c r="B561" s="5">
        <v>45491</v>
      </c>
      <c r="C561" s="5" t="str">
        <f>TEXT(Greenleaf[[#This Row],[Order Date]],"MMM")</f>
        <v>Jul</v>
      </c>
      <c r="D561" s="5" t="str">
        <f>TEXT(Greenleaf[[#This Row],[Order Date]],"YYYY")</f>
        <v>2024</v>
      </c>
      <c r="E561" t="s">
        <v>2463</v>
      </c>
      <c r="F561" s="7" t="s">
        <v>1014</v>
      </c>
      <c r="G561" s="9">
        <v>10</v>
      </c>
      <c r="H561" s="11">
        <v>15</v>
      </c>
      <c r="I561" s="13">
        <v>3.4</v>
      </c>
      <c r="J561" t="s">
        <v>1092</v>
      </c>
      <c r="K561" t="s">
        <v>2547</v>
      </c>
      <c r="L561" s="7" t="s">
        <v>1415</v>
      </c>
      <c r="M561" s="7" t="s">
        <v>1420</v>
      </c>
      <c r="N561" s="14">
        <f>Greenleaf[[#This Row],[Unit Price]]*Greenleaf[[#This Row],[Quantity Sold]]</f>
        <v>150</v>
      </c>
      <c r="O561" s="13">
        <f>Greenleaf[[#This Row],[Unit Cost]]*Greenleaf[[#This Row],[Quantity Sold]]</f>
        <v>34</v>
      </c>
      <c r="P561" s="13">
        <f>Greenleaf[[#This Row],[ Unit  price per quantity]]-Greenleaf[[#This Row],[ Unit cost per quantity]]</f>
        <v>116</v>
      </c>
      <c r="Q561" s="14">
        <f>Greenleaf[[#This Row],[Quantity Sold]]*Greenleaf[[#This Row],[Unit Price]]</f>
        <v>150</v>
      </c>
    </row>
    <row r="562" spans="1:17" x14ac:dyDescent="0.25">
      <c r="A562" t="s">
        <v>1988</v>
      </c>
      <c r="B562" s="5">
        <v>45491</v>
      </c>
      <c r="C562" s="5" t="str">
        <f>TEXT(Greenleaf[[#This Row],[Order Date]],"MMM")</f>
        <v>Jul</v>
      </c>
      <c r="D562" s="5" t="str">
        <f>TEXT(Greenleaf[[#This Row],[Order Date]],"YYYY")</f>
        <v>2024</v>
      </c>
      <c r="E562" t="s">
        <v>2464</v>
      </c>
      <c r="F562" s="7" t="s">
        <v>1012</v>
      </c>
      <c r="G562" s="9">
        <v>2</v>
      </c>
      <c r="H562" s="11">
        <v>40</v>
      </c>
      <c r="I562" s="13">
        <v>9.3000000000000007</v>
      </c>
      <c r="J562" t="s">
        <v>1016</v>
      </c>
      <c r="K562" t="s">
        <v>2478</v>
      </c>
      <c r="L562" s="7" t="s">
        <v>1414</v>
      </c>
      <c r="M562" s="7" t="s">
        <v>1427</v>
      </c>
      <c r="N562" s="14">
        <f>Greenleaf[[#This Row],[Unit Price]]*Greenleaf[[#This Row],[Quantity Sold]]</f>
        <v>80</v>
      </c>
      <c r="O562" s="13">
        <f>Greenleaf[[#This Row],[Unit Cost]]*Greenleaf[[#This Row],[Quantity Sold]]</f>
        <v>18.600000000000001</v>
      </c>
      <c r="P562" s="13">
        <f>Greenleaf[[#This Row],[ Unit  price per quantity]]-Greenleaf[[#This Row],[ Unit cost per quantity]]</f>
        <v>61.4</v>
      </c>
      <c r="Q562" s="14">
        <f>Greenleaf[[#This Row],[Quantity Sold]]*Greenleaf[[#This Row],[Unit Price]]</f>
        <v>80</v>
      </c>
    </row>
    <row r="563" spans="1:17" x14ac:dyDescent="0.25">
      <c r="A563" t="s">
        <v>1989</v>
      </c>
      <c r="B563" s="5">
        <v>45491</v>
      </c>
      <c r="C563" s="5" t="str">
        <f>TEXT(Greenleaf[[#This Row],[Order Date]],"MMM")</f>
        <v>Jul</v>
      </c>
      <c r="D563" s="5" t="str">
        <f>TEXT(Greenleaf[[#This Row],[Order Date]],"YYYY")</f>
        <v>2024</v>
      </c>
      <c r="E563" t="s">
        <v>2463</v>
      </c>
      <c r="F563" s="7" t="s">
        <v>1014</v>
      </c>
      <c r="G563" s="9">
        <v>7</v>
      </c>
      <c r="H563" s="11">
        <v>15</v>
      </c>
      <c r="I563" s="13">
        <v>3.65</v>
      </c>
      <c r="J563" t="s">
        <v>1063</v>
      </c>
      <c r="K563" t="s">
        <v>2588</v>
      </c>
      <c r="L563" s="7" t="s">
        <v>1417</v>
      </c>
      <c r="M563" s="7" t="s">
        <v>1418</v>
      </c>
      <c r="N563" s="14">
        <f>Greenleaf[[#This Row],[Unit Price]]*Greenleaf[[#This Row],[Quantity Sold]]</f>
        <v>105</v>
      </c>
      <c r="O563" s="13">
        <f>Greenleaf[[#This Row],[Unit Cost]]*Greenleaf[[#This Row],[Quantity Sold]]</f>
        <v>25.55</v>
      </c>
      <c r="P563" s="13">
        <f>Greenleaf[[#This Row],[ Unit  price per quantity]]-Greenleaf[[#This Row],[ Unit cost per quantity]]</f>
        <v>79.45</v>
      </c>
      <c r="Q563" s="14">
        <f>Greenleaf[[#This Row],[Quantity Sold]]*Greenleaf[[#This Row],[Unit Price]]</f>
        <v>105</v>
      </c>
    </row>
    <row r="564" spans="1:17" x14ac:dyDescent="0.25">
      <c r="A564" t="s">
        <v>1990</v>
      </c>
      <c r="B564" s="5">
        <v>45491</v>
      </c>
      <c r="C564" s="5" t="str">
        <f>TEXT(Greenleaf[[#This Row],[Order Date]],"MMM")</f>
        <v>Jul</v>
      </c>
      <c r="D564" s="5" t="str">
        <f>TEXT(Greenleaf[[#This Row],[Order Date]],"YYYY")</f>
        <v>2024</v>
      </c>
      <c r="E564" t="s">
        <v>2464</v>
      </c>
      <c r="F564" s="7" t="s">
        <v>1012</v>
      </c>
      <c r="G564" s="9">
        <v>2</v>
      </c>
      <c r="H564" s="11">
        <v>40</v>
      </c>
      <c r="I564" s="13">
        <v>14.04</v>
      </c>
      <c r="J564" t="s">
        <v>1077</v>
      </c>
      <c r="K564" t="s">
        <v>2538</v>
      </c>
      <c r="L564" s="7" t="s">
        <v>1416</v>
      </c>
      <c r="M564" s="7" t="s">
        <v>1419</v>
      </c>
      <c r="N564" s="14">
        <f>Greenleaf[[#This Row],[Unit Price]]*Greenleaf[[#This Row],[Quantity Sold]]</f>
        <v>80</v>
      </c>
      <c r="O564" s="13">
        <f>Greenleaf[[#This Row],[Unit Cost]]*Greenleaf[[#This Row],[Quantity Sold]]</f>
        <v>28.08</v>
      </c>
      <c r="P564" s="13">
        <f>Greenleaf[[#This Row],[ Unit  price per quantity]]-Greenleaf[[#This Row],[ Unit cost per quantity]]</f>
        <v>51.92</v>
      </c>
      <c r="Q564" s="14">
        <f>Greenleaf[[#This Row],[Quantity Sold]]*Greenleaf[[#This Row],[Unit Price]]</f>
        <v>80</v>
      </c>
    </row>
    <row r="565" spans="1:17" x14ac:dyDescent="0.25">
      <c r="A565" t="s">
        <v>1991</v>
      </c>
      <c r="B565" s="5">
        <v>45492</v>
      </c>
      <c r="C565" s="5" t="str">
        <f>TEXT(Greenleaf[[#This Row],[Order Date]],"MMM")</f>
        <v>Jul</v>
      </c>
      <c r="D565" s="5" t="str">
        <f>TEXT(Greenleaf[[#This Row],[Order Date]],"YYYY")</f>
        <v>2024</v>
      </c>
      <c r="E565" t="s">
        <v>2462</v>
      </c>
      <c r="F565" s="7" t="s">
        <v>1013</v>
      </c>
      <c r="G565" s="9">
        <v>2</v>
      </c>
      <c r="H565" s="11">
        <v>25</v>
      </c>
      <c r="I565" s="13">
        <v>9.57</v>
      </c>
      <c r="J565" t="s">
        <v>1176</v>
      </c>
      <c r="K565" t="s">
        <v>2513</v>
      </c>
      <c r="L565" s="7" t="s">
        <v>1414</v>
      </c>
      <c r="M565" s="7" t="s">
        <v>1425</v>
      </c>
      <c r="N565" s="14">
        <f>Greenleaf[[#This Row],[Unit Price]]*Greenleaf[[#This Row],[Quantity Sold]]</f>
        <v>50</v>
      </c>
      <c r="O565" s="13">
        <f>Greenleaf[[#This Row],[Unit Cost]]*Greenleaf[[#This Row],[Quantity Sold]]</f>
        <v>19.14</v>
      </c>
      <c r="P565" s="13">
        <f>Greenleaf[[#This Row],[ Unit  price per quantity]]-Greenleaf[[#This Row],[ Unit cost per quantity]]</f>
        <v>30.86</v>
      </c>
      <c r="Q565" s="14">
        <f>Greenleaf[[#This Row],[Quantity Sold]]*Greenleaf[[#This Row],[Unit Price]]</f>
        <v>50</v>
      </c>
    </row>
    <row r="566" spans="1:17" x14ac:dyDescent="0.25">
      <c r="A566" t="s">
        <v>1992</v>
      </c>
      <c r="B566" s="5">
        <v>45493</v>
      </c>
      <c r="C566" s="5" t="str">
        <f>TEXT(Greenleaf[[#This Row],[Order Date]],"MMM")</f>
        <v>Jul</v>
      </c>
      <c r="D566" s="5" t="str">
        <f>TEXT(Greenleaf[[#This Row],[Order Date]],"YYYY")</f>
        <v>2024</v>
      </c>
      <c r="E566" t="s">
        <v>2464</v>
      </c>
      <c r="F566" s="7" t="s">
        <v>1012</v>
      </c>
      <c r="G566" s="9">
        <v>3</v>
      </c>
      <c r="H566" s="11">
        <v>40</v>
      </c>
      <c r="I566" s="13">
        <v>12.77</v>
      </c>
      <c r="J566" t="s">
        <v>1062</v>
      </c>
      <c r="K566" t="s">
        <v>2541</v>
      </c>
      <c r="L566" s="7" t="s">
        <v>1414</v>
      </c>
      <c r="M566" s="7" t="s">
        <v>1421</v>
      </c>
      <c r="N566" s="14">
        <f>Greenleaf[[#This Row],[Unit Price]]*Greenleaf[[#This Row],[Quantity Sold]]</f>
        <v>120</v>
      </c>
      <c r="O566" s="13">
        <f>Greenleaf[[#This Row],[Unit Cost]]*Greenleaf[[#This Row],[Quantity Sold]]</f>
        <v>38.31</v>
      </c>
      <c r="P566" s="13">
        <f>Greenleaf[[#This Row],[ Unit  price per quantity]]-Greenleaf[[#This Row],[ Unit cost per quantity]]</f>
        <v>81.69</v>
      </c>
      <c r="Q566" s="14">
        <f>Greenleaf[[#This Row],[Quantity Sold]]*Greenleaf[[#This Row],[Unit Price]]</f>
        <v>120</v>
      </c>
    </row>
    <row r="567" spans="1:17" x14ac:dyDescent="0.25">
      <c r="A567" t="s">
        <v>1993</v>
      </c>
      <c r="B567" s="5">
        <v>45494</v>
      </c>
      <c r="C567" s="5" t="str">
        <f>TEXT(Greenleaf[[#This Row],[Order Date]],"MMM")</f>
        <v>Jul</v>
      </c>
      <c r="D567" s="5" t="str">
        <f>TEXT(Greenleaf[[#This Row],[Order Date]],"YYYY")</f>
        <v>2024</v>
      </c>
      <c r="E567" t="s">
        <v>2463</v>
      </c>
      <c r="F567" s="7" t="s">
        <v>1014</v>
      </c>
      <c r="G567" s="9">
        <v>8</v>
      </c>
      <c r="H567" s="11">
        <v>15</v>
      </c>
      <c r="I567" s="13">
        <v>4.2699999999999996</v>
      </c>
      <c r="J567" t="s">
        <v>1052</v>
      </c>
      <c r="K567" t="s">
        <v>2504</v>
      </c>
      <c r="L567" s="7" t="s">
        <v>1416</v>
      </c>
      <c r="M567" s="7" t="s">
        <v>1424</v>
      </c>
      <c r="N567" s="14">
        <f>Greenleaf[[#This Row],[Unit Price]]*Greenleaf[[#This Row],[Quantity Sold]]</f>
        <v>120</v>
      </c>
      <c r="O567" s="13">
        <f>Greenleaf[[#This Row],[Unit Cost]]*Greenleaf[[#This Row],[Quantity Sold]]</f>
        <v>34.159999999999997</v>
      </c>
      <c r="P567" s="13">
        <f>Greenleaf[[#This Row],[ Unit  price per quantity]]-Greenleaf[[#This Row],[ Unit cost per quantity]]</f>
        <v>85.84</v>
      </c>
      <c r="Q567" s="14">
        <f>Greenleaf[[#This Row],[Quantity Sold]]*Greenleaf[[#This Row],[Unit Price]]</f>
        <v>120</v>
      </c>
    </row>
    <row r="568" spans="1:17" x14ac:dyDescent="0.25">
      <c r="A568" t="s">
        <v>1994</v>
      </c>
      <c r="B568" s="5">
        <v>45494</v>
      </c>
      <c r="C568" s="5" t="str">
        <f>TEXT(Greenleaf[[#This Row],[Order Date]],"MMM")</f>
        <v>Jul</v>
      </c>
      <c r="D568" s="5" t="str">
        <f>TEXT(Greenleaf[[#This Row],[Order Date]],"YYYY")</f>
        <v>2024</v>
      </c>
      <c r="E568" t="s">
        <v>2462</v>
      </c>
      <c r="F568" s="7" t="s">
        <v>1013</v>
      </c>
      <c r="G568" s="9">
        <v>4</v>
      </c>
      <c r="H568" s="11">
        <v>25</v>
      </c>
      <c r="I568" s="13">
        <v>8.75</v>
      </c>
      <c r="J568" t="s">
        <v>1162</v>
      </c>
      <c r="K568" t="s">
        <v>2496</v>
      </c>
      <c r="L568" s="7" t="s">
        <v>1414</v>
      </c>
      <c r="M568" s="7" t="s">
        <v>1424</v>
      </c>
      <c r="N568" s="14">
        <f>Greenleaf[[#This Row],[Unit Price]]*Greenleaf[[#This Row],[Quantity Sold]]</f>
        <v>100</v>
      </c>
      <c r="O568" s="13">
        <f>Greenleaf[[#This Row],[Unit Cost]]*Greenleaf[[#This Row],[Quantity Sold]]</f>
        <v>35</v>
      </c>
      <c r="P568" s="13">
        <f>Greenleaf[[#This Row],[ Unit  price per quantity]]-Greenleaf[[#This Row],[ Unit cost per quantity]]</f>
        <v>65</v>
      </c>
      <c r="Q568" s="14">
        <f>Greenleaf[[#This Row],[Quantity Sold]]*Greenleaf[[#This Row],[Unit Price]]</f>
        <v>100</v>
      </c>
    </row>
    <row r="569" spans="1:17" x14ac:dyDescent="0.25">
      <c r="A569" t="s">
        <v>1995</v>
      </c>
      <c r="B569" s="5">
        <v>45494</v>
      </c>
      <c r="C569" s="5" t="str">
        <f>TEXT(Greenleaf[[#This Row],[Order Date]],"MMM")</f>
        <v>Jul</v>
      </c>
      <c r="D569" s="5" t="str">
        <f>TEXT(Greenleaf[[#This Row],[Order Date]],"YYYY")</f>
        <v>2024</v>
      </c>
      <c r="E569" t="s">
        <v>2464</v>
      </c>
      <c r="F569" s="7" t="s">
        <v>1012</v>
      </c>
      <c r="G569" s="9">
        <v>3</v>
      </c>
      <c r="H569" s="11">
        <v>40</v>
      </c>
      <c r="I569" s="13">
        <v>9.3699999999999992</v>
      </c>
      <c r="J569" t="s">
        <v>1175</v>
      </c>
      <c r="K569" t="s">
        <v>2518</v>
      </c>
      <c r="L569" s="7" t="s">
        <v>1414</v>
      </c>
      <c r="M569" s="7" t="s">
        <v>1418</v>
      </c>
      <c r="N569" s="14">
        <f>Greenleaf[[#This Row],[Unit Price]]*Greenleaf[[#This Row],[Quantity Sold]]</f>
        <v>120</v>
      </c>
      <c r="O569" s="13">
        <f>Greenleaf[[#This Row],[Unit Cost]]*Greenleaf[[#This Row],[Quantity Sold]]</f>
        <v>28.11</v>
      </c>
      <c r="P569" s="13">
        <f>Greenleaf[[#This Row],[ Unit  price per quantity]]-Greenleaf[[#This Row],[ Unit cost per quantity]]</f>
        <v>91.89</v>
      </c>
      <c r="Q569" s="14">
        <f>Greenleaf[[#This Row],[Quantity Sold]]*Greenleaf[[#This Row],[Unit Price]]</f>
        <v>120</v>
      </c>
    </row>
    <row r="570" spans="1:17" x14ac:dyDescent="0.25">
      <c r="A570" t="s">
        <v>1996</v>
      </c>
      <c r="B570" s="5">
        <v>45495</v>
      </c>
      <c r="C570" s="5" t="str">
        <f>TEXT(Greenleaf[[#This Row],[Order Date]],"MMM")</f>
        <v>Jul</v>
      </c>
      <c r="D570" s="5" t="str">
        <f>TEXT(Greenleaf[[#This Row],[Order Date]],"YYYY")</f>
        <v>2024</v>
      </c>
      <c r="E570" t="s">
        <v>2464</v>
      </c>
      <c r="F570" s="7" t="s">
        <v>1012</v>
      </c>
      <c r="G570" s="9">
        <v>5</v>
      </c>
      <c r="H570" s="11">
        <v>40</v>
      </c>
      <c r="I570" s="13">
        <v>11</v>
      </c>
      <c r="J570" t="s">
        <v>1133</v>
      </c>
      <c r="K570" t="s">
        <v>2488</v>
      </c>
      <c r="L570" s="7" t="s">
        <v>1414</v>
      </c>
      <c r="M570" s="7" t="s">
        <v>1421</v>
      </c>
      <c r="N570" s="14">
        <f>Greenleaf[[#This Row],[Unit Price]]*Greenleaf[[#This Row],[Quantity Sold]]</f>
        <v>200</v>
      </c>
      <c r="O570" s="13">
        <f>Greenleaf[[#This Row],[Unit Cost]]*Greenleaf[[#This Row],[Quantity Sold]]</f>
        <v>55</v>
      </c>
      <c r="P570" s="13">
        <f>Greenleaf[[#This Row],[ Unit  price per quantity]]-Greenleaf[[#This Row],[ Unit cost per quantity]]</f>
        <v>145</v>
      </c>
      <c r="Q570" s="14">
        <f>Greenleaf[[#This Row],[Quantity Sold]]*Greenleaf[[#This Row],[Unit Price]]</f>
        <v>200</v>
      </c>
    </row>
    <row r="571" spans="1:17" x14ac:dyDescent="0.25">
      <c r="A571" t="s">
        <v>1997</v>
      </c>
      <c r="B571" s="5">
        <v>45495</v>
      </c>
      <c r="C571" s="5" t="str">
        <f>TEXT(Greenleaf[[#This Row],[Order Date]],"MMM")</f>
        <v>Jul</v>
      </c>
      <c r="D571" s="5" t="str">
        <f>TEXT(Greenleaf[[#This Row],[Order Date]],"YYYY")</f>
        <v>2024</v>
      </c>
      <c r="E571" t="s">
        <v>2462</v>
      </c>
      <c r="F571" s="7" t="s">
        <v>1013</v>
      </c>
      <c r="G571" s="9">
        <v>10</v>
      </c>
      <c r="H571" s="11">
        <v>25</v>
      </c>
      <c r="I571" s="13">
        <v>5.0999999999999996</v>
      </c>
      <c r="J571" t="s">
        <v>1126</v>
      </c>
      <c r="K571" t="s">
        <v>2499</v>
      </c>
      <c r="L571" s="7" t="s">
        <v>1414</v>
      </c>
      <c r="M571" s="7" t="s">
        <v>1426</v>
      </c>
      <c r="N571" s="14">
        <f>Greenleaf[[#This Row],[Unit Price]]*Greenleaf[[#This Row],[Quantity Sold]]</f>
        <v>250</v>
      </c>
      <c r="O571" s="13">
        <f>Greenleaf[[#This Row],[Unit Cost]]*Greenleaf[[#This Row],[Quantity Sold]]</f>
        <v>51</v>
      </c>
      <c r="P571" s="13">
        <f>Greenleaf[[#This Row],[ Unit  price per quantity]]-Greenleaf[[#This Row],[ Unit cost per quantity]]</f>
        <v>199</v>
      </c>
      <c r="Q571" s="14">
        <f>Greenleaf[[#This Row],[Quantity Sold]]*Greenleaf[[#This Row],[Unit Price]]</f>
        <v>250</v>
      </c>
    </row>
    <row r="572" spans="1:17" x14ac:dyDescent="0.25">
      <c r="A572" t="s">
        <v>1998</v>
      </c>
      <c r="B572" s="5">
        <v>45495</v>
      </c>
      <c r="C572" s="5" t="str">
        <f>TEXT(Greenleaf[[#This Row],[Order Date]],"MMM")</f>
        <v>Jul</v>
      </c>
      <c r="D572" s="5" t="str">
        <f>TEXT(Greenleaf[[#This Row],[Order Date]],"YYYY")</f>
        <v>2024</v>
      </c>
      <c r="E572" t="s">
        <v>2464</v>
      </c>
      <c r="F572" s="7" t="s">
        <v>1012</v>
      </c>
      <c r="G572" s="9">
        <v>8</v>
      </c>
      <c r="H572" s="11">
        <v>40</v>
      </c>
      <c r="I572" s="13">
        <v>10.119999999999999</v>
      </c>
      <c r="J572" t="s">
        <v>1206</v>
      </c>
      <c r="K572" t="s">
        <v>2507</v>
      </c>
      <c r="L572" s="7" t="s">
        <v>1414</v>
      </c>
      <c r="M572" s="7" t="s">
        <v>1427</v>
      </c>
      <c r="N572" s="14">
        <f>Greenleaf[[#This Row],[Unit Price]]*Greenleaf[[#This Row],[Quantity Sold]]</f>
        <v>320</v>
      </c>
      <c r="O572" s="13">
        <f>Greenleaf[[#This Row],[Unit Cost]]*Greenleaf[[#This Row],[Quantity Sold]]</f>
        <v>80.959999999999994</v>
      </c>
      <c r="P572" s="13">
        <f>Greenleaf[[#This Row],[ Unit  price per quantity]]-Greenleaf[[#This Row],[ Unit cost per quantity]]</f>
        <v>239.04000000000002</v>
      </c>
      <c r="Q572" s="14">
        <f>Greenleaf[[#This Row],[Quantity Sold]]*Greenleaf[[#This Row],[Unit Price]]</f>
        <v>320</v>
      </c>
    </row>
    <row r="573" spans="1:17" x14ac:dyDescent="0.25">
      <c r="A573" t="s">
        <v>1999</v>
      </c>
      <c r="B573" s="5">
        <v>45496</v>
      </c>
      <c r="C573" s="5" t="str">
        <f>TEXT(Greenleaf[[#This Row],[Order Date]],"MMM")</f>
        <v>Jul</v>
      </c>
      <c r="D573" s="5" t="str">
        <f>TEXT(Greenleaf[[#This Row],[Order Date]],"YYYY")</f>
        <v>2024</v>
      </c>
      <c r="E573" t="s">
        <v>2463</v>
      </c>
      <c r="F573" s="7" t="s">
        <v>1014</v>
      </c>
      <c r="G573" s="9">
        <v>7</v>
      </c>
      <c r="H573" s="11">
        <v>15</v>
      </c>
      <c r="I573" s="13">
        <v>5.88</v>
      </c>
      <c r="J573" t="s">
        <v>1157</v>
      </c>
      <c r="K573" t="s">
        <v>2491</v>
      </c>
      <c r="L573" s="7" t="s">
        <v>1415</v>
      </c>
      <c r="M573" s="7" t="s">
        <v>1418</v>
      </c>
      <c r="N573" s="14">
        <f>Greenleaf[[#This Row],[Unit Price]]*Greenleaf[[#This Row],[Quantity Sold]]</f>
        <v>105</v>
      </c>
      <c r="O573" s="13">
        <f>Greenleaf[[#This Row],[Unit Cost]]*Greenleaf[[#This Row],[Quantity Sold]]</f>
        <v>41.16</v>
      </c>
      <c r="P573" s="13">
        <f>Greenleaf[[#This Row],[ Unit  price per quantity]]-Greenleaf[[#This Row],[ Unit cost per quantity]]</f>
        <v>63.84</v>
      </c>
      <c r="Q573" s="14">
        <f>Greenleaf[[#This Row],[Quantity Sold]]*Greenleaf[[#This Row],[Unit Price]]</f>
        <v>105</v>
      </c>
    </row>
    <row r="574" spans="1:17" x14ac:dyDescent="0.25">
      <c r="A574" t="s">
        <v>2000</v>
      </c>
      <c r="B574" s="5">
        <v>45496</v>
      </c>
      <c r="C574" s="5" t="str">
        <f>TEXT(Greenleaf[[#This Row],[Order Date]],"MMM")</f>
        <v>Jul</v>
      </c>
      <c r="D574" s="5" t="str">
        <f>TEXT(Greenleaf[[#This Row],[Order Date]],"YYYY")</f>
        <v>2024</v>
      </c>
      <c r="E574" t="s">
        <v>2460</v>
      </c>
      <c r="F574" s="7" t="s">
        <v>1015</v>
      </c>
      <c r="G574" s="9">
        <v>1</v>
      </c>
      <c r="H574" s="11">
        <v>10</v>
      </c>
      <c r="I574" s="13">
        <v>2.21</v>
      </c>
      <c r="J574" t="s">
        <v>1062</v>
      </c>
      <c r="K574" t="s">
        <v>2541</v>
      </c>
      <c r="L574" s="7" t="s">
        <v>1414</v>
      </c>
      <c r="M574" s="7" t="s">
        <v>1420</v>
      </c>
      <c r="N574" s="14">
        <f>Greenleaf[[#This Row],[Unit Price]]*Greenleaf[[#This Row],[Quantity Sold]]</f>
        <v>10</v>
      </c>
      <c r="O574" s="13">
        <f>Greenleaf[[#This Row],[Unit Cost]]*Greenleaf[[#This Row],[Quantity Sold]]</f>
        <v>2.21</v>
      </c>
      <c r="P574" s="13">
        <f>Greenleaf[[#This Row],[ Unit  price per quantity]]-Greenleaf[[#This Row],[ Unit cost per quantity]]</f>
        <v>7.79</v>
      </c>
      <c r="Q574" s="14">
        <f>Greenleaf[[#This Row],[Quantity Sold]]*Greenleaf[[#This Row],[Unit Price]]</f>
        <v>10</v>
      </c>
    </row>
    <row r="575" spans="1:17" x14ac:dyDescent="0.25">
      <c r="A575" t="s">
        <v>2001</v>
      </c>
      <c r="B575" s="5">
        <v>45496</v>
      </c>
      <c r="C575" s="5" t="str">
        <f>TEXT(Greenleaf[[#This Row],[Order Date]],"MMM")</f>
        <v>Jul</v>
      </c>
      <c r="D575" s="5" t="str">
        <f>TEXT(Greenleaf[[#This Row],[Order Date]],"YYYY")</f>
        <v>2024</v>
      </c>
      <c r="E575" t="s">
        <v>2464</v>
      </c>
      <c r="F575" s="7" t="s">
        <v>1012</v>
      </c>
      <c r="G575" s="9">
        <v>3</v>
      </c>
      <c r="H575" s="11">
        <v>40</v>
      </c>
      <c r="I575" s="13">
        <v>8.3800000000000008</v>
      </c>
      <c r="J575" t="s">
        <v>1149</v>
      </c>
      <c r="K575" t="s">
        <v>2505</v>
      </c>
      <c r="L575" s="7" t="s">
        <v>1414</v>
      </c>
      <c r="M575" s="7" t="s">
        <v>1422</v>
      </c>
      <c r="N575" s="14">
        <f>Greenleaf[[#This Row],[Unit Price]]*Greenleaf[[#This Row],[Quantity Sold]]</f>
        <v>120</v>
      </c>
      <c r="O575" s="13">
        <f>Greenleaf[[#This Row],[Unit Cost]]*Greenleaf[[#This Row],[Quantity Sold]]</f>
        <v>25.14</v>
      </c>
      <c r="P575" s="13">
        <f>Greenleaf[[#This Row],[ Unit  price per quantity]]-Greenleaf[[#This Row],[ Unit cost per quantity]]</f>
        <v>94.86</v>
      </c>
      <c r="Q575" s="14">
        <f>Greenleaf[[#This Row],[Quantity Sold]]*Greenleaf[[#This Row],[Unit Price]]</f>
        <v>120</v>
      </c>
    </row>
    <row r="576" spans="1:17" x14ac:dyDescent="0.25">
      <c r="A576" t="s">
        <v>2002</v>
      </c>
      <c r="B576" s="5">
        <v>45496</v>
      </c>
      <c r="C576" s="5" t="str">
        <f>TEXT(Greenleaf[[#This Row],[Order Date]],"MMM")</f>
        <v>Jul</v>
      </c>
      <c r="D576" s="5" t="str">
        <f>TEXT(Greenleaf[[#This Row],[Order Date]],"YYYY")</f>
        <v>2024</v>
      </c>
      <c r="E576" t="s">
        <v>2461</v>
      </c>
      <c r="F576" s="7" t="s">
        <v>1011</v>
      </c>
      <c r="G576" s="9">
        <v>6</v>
      </c>
      <c r="H576" s="11">
        <v>12</v>
      </c>
      <c r="I576" s="13">
        <v>2.68</v>
      </c>
      <c r="J576" t="s">
        <v>1159</v>
      </c>
      <c r="K576" t="s">
        <v>2480</v>
      </c>
      <c r="L576" s="7" t="s">
        <v>1414</v>
      </c>
      <c r="M576" s="7" t="s">
        <v>1418</v>
      </c>
      <c r="N576" s="14">
        <f>Greenleaf[[#This Row],[Unit Price]]*Greenleaf[[#This Row],[Quantity Sold]]</f>
        <v>72</v>
      </c>
      <c r="O576" s="13">
        <f>Greenleaf[[#This Row],[Unit Cost]]*Greenleaf[[#This Row],[Quantity Sold]]</f>
        <v>16.080000000000002</v>
      </c>
      <c r="P576" s="13">
        <f>Greenleaf[[#This Row],[ Unit  price per quantity]]-Greenleaf[[#This Row],[ Unit cost per quantity]]</f>
        <v>55.92</v>
      </c>
      <c r="Q576" s="14">
        <f>Greenleaf[[#This Row],[Quantity Sold]]*Greenleaf[[#This Row],[Unit Price]]</f>
        <v>72</v>
      </c>
    </row>
    <row r="577" spans="1:17" x14ac:dyDescent="0.25">
      <c r="A577" t="s">
        <v>2003</v>
      </c>
      <c r="B577" s="5">
        <v>45498</v>
      </c>
      <c r="C577" s="5" t="str">
        <f>TEXT(Greenleaf[[#This Row],[Order Date]],"MMM")</f>
        <v>Jul</v>
      </c>
      <c r="D577" s="5" t="str">
        <f>TEXT(Greenleaf[[#This Row],[Order Date]],"YYYY")</f>
        <v>2024</v>
      </c>
      <c r="E577" t="s">
        <v>2462</v>
      </c>
      <c r="F577" s="7" t="s">
        <v>1013</v>
      </c>
      <c r="G577" s="9">
        <v>8</v>
      </c>
      <c r="H577" s="11">
        <v>25</v>
      </c>
      <c r="I577" s="13">
        <v>6.6</v>
      </c>
      <c r="J577" t="s">
        <v>1024</v>
      </c>
      <c r="K577" t="s">
        <v>2518</v>
      </c>
      <c r="L577" s="7" t="s">
        <v>1414</v>
      </c>
      <c r="M577" s="7" t="s">
        <v>1423</v>
      </c>
      <c r="N577" s="14">
        <f>Greenleaf[[#This Row],[Unit Price]]*Greenleaf[[#This Row],[Quantity Sold]]</f>
        <v>200</v>
      </c>
      <c r="O577" s="13">
        <f>Greenleaf[[#This Row],[Unit Cost]]*Greenleaf[[#This Row],[Quantity Sold]]</f>
        <v>52.8</v>
      </c>
      <c r="P577" s="13">
        <f>Greenleaf[[#This Row],[ Unit  price per quantity]]-Greenleaf[[#This Row],[ Unit cost per quantity]]</f>
        <v>147.19999999999999</v>
      </c>
      <c r="Q577" s="14">
        <f>Greenleaf[[#This Row],[Quantity Sold]]*Greenleaf[[#This Row],[Unit Price]]</f>
        <v>200</v>
      </c>
    </row>
    <row r="578" spans="1:17" x14ac:dyDescent="0.25">
      <c r="A578" t="s">
        <v>2004</v>
      </c>
      <c r="B578" s="5">
        <v>45498</v>
      </c>
      <c r="C578" s="5" t="str">
        <f>TEXT(Greenleaf[[#This Row],[Order Date]],"MMM")</f>
        <v>Jul</v>
      </c>
      <c r="D578" s="5" t="str">
        <f>TEXT(Greenleaf[[#This Row],[Order Date]],"YYYY")</f>
        <v>2024</v>
      </c>
      <c r="E578" t="s">
        <v>2464</v>
      </c>
      <c r="F578" s="7" t="s">
        <v>1012</v>
      </c>
      <c r="G578" s="9">
        <v>4</v>
      </c>
      <c r="H578" s="11">
        <v>40</v>
      </c>
      <c r="I578" s="13">
        <v>14.82</v>
      </c>
      <c r="J578" t="s">
        <v>1041</v>
      </c>
      <c r="K578" t="s">
        <v>2538</v>
      </c>
      <c r="L578" s="7" t="s">
        <v>1414</v>
      </c>
      <c r="M578" s="7" t="s">
        <v>1420</v>
      </c>
      <c r="N578" s="14">
        <f>Greenleaf[[#This Row],[Unit Price]]*Greenleaf[[#This Row],[Quantity Sold]]</f>
        <v>160</v>
      </c>
      <c r="O578" s="13">
        <f>Greenleaf[[#This Row],[Unit Cost]]*Greenleaf[[#This Row],[Quantity Sold]]</f>
        <v>59.28</v>
      </c>
      <c r="P578" s="13">
        <f>Greenleaf[[#This Row],[ Unit  price per quantity]]-Greenleaf[[#This Row],[ Unit cost per quantity]]</f>
        <v>100.72</v>
      </c>
      <c r="Q578" s="14">
        <f>Greenleaf[[#This Row],[Quantity Sold]]*Greenleaf[[#This Row],[Unit Price]]</f>
        <v>160</v>
      </c>
    </row>
    <row r="579" spans="1:17" x14ac:dyDescent="0.25">
      <c r="A579" t="s">
        <v>2005</v>
      </c>
      <c r="B579" s="5">
        <v>45498</v>
      </c>
      <c r="C579" s="5" t="str">
        <f>TEXT(Greenleaf[[#This Row],[Order Date]],"MMM")</f>
        <v>Jul</v>
      </c>
      <c r="D579" s="5" t="str">
        <f>TEXT(Greenleaf[[#This Row],[Order Date]],"YYYY")</f>
        <v>2024</v>
      </c>
      <c r="E579" t="s">
        <v>2462</v>
      </c>
      <c r="F579" s="7" t="s">
        <v>1013</v>
      </c>
      <c r="G579" s="9">
        <v>7</v>
      </c>
      <c r="H579" s="11">
        <v>25</v>
      </c>
      <c r="I579" s="13">
        <v>8.67</v>
      </c>
      <c r="J579" t="s">
        <v>1142</v>
      </c>
      <c r="K579" t="s">
        <v>2489</v>
      </c>
      <c r="L579" s="7" t="s">
        <v>1416</v>
      </c>
      <c r="M579" s="7" t="s">
        <v>1419</v>
      </c>
      <c r="N579" s="14">
        <f>Greenleaf[[#This Row],[Unit Price]]*Greenleaf[[#This Row],[Quantity Sold]]</f>
        <v>175</v>
      </c>
      <c r="O579" s="13">
        <f>Greenleaf[[#This Row],[Unit Cost]]*Greenleaf[[#This Row],[Quantity Sold]]</f>
        <v>60.69</v>
      </c>
      <c r="P579" s="13">
        <f>Greenleaf[[#This Row],[ Unit  price per quantity]]-Greenleaf[[#This Row],[ Unit cost per quantity]]</f>
        <v>114.31</v>
      </c>
      <c r="Q579" s="14">
        <f>Greenleaf[[#This Row],[Quantity Sold]]*Greenleaf[[#This Row],[Unit Price]]</f>
        <v>175</v>
      </c>
    </row>
    <row r="580" spans="1:17" x14ac:dyDescent="0.25">
      <c r="A580" t="s">
        <v>2006</v>
      </c>
      <c r="B580" s="5">
        <v>45498</v>
      </c>
      <c r="C580" s="5" t="str">
        <f>TEXT(Greenleaf[[#This Row],[Order Date]],"MMM")</f>
        <v>Jul</v>
      </c>
      <c r="D580" s="5" t="str">
        <f>TEXT(Greenleaf[[#This Row],[Order Date]],"YYYY")</f>
        <v>2024</v>
      </c>
      <c r="E580" t="s">
        <v>2463</v>
      </c>
      <c r="F580" s="7" t="s">
        <v>1014</v>
      </c>
      <c r="G580" s="9">
        <v>8</v>
      </c>
      <c r="H580" s="11">
        <v>15</v>
      </c>
      <c r="I580" s="13">
        <v>5.97</v>
      </c>
      <c r="J580" t="s">
        <v>1046</v>
      </c>
      <c r="K580" t="s">
        <v>2500</v>
      </c>
      <c r="L580" s="7" t="s">
        <v>1414</v>
      </c>
      <c r="M580" s="7" t="s">
        <v>1419</v>
      </c>
      <c r="N580" s="14">
        <f>Greenleaf[[#This Row],[Unit Price]]*Greenleaf[[#This Row],[Quantity Sold]]</f>
        <v>120</v>
      </c>
      <c r="O580" s="13">
        <f>Greenleaf[[#This Row],[Unit Cost]]*Greenleaf[[#This Row],[Quantity Sold]]</f>
        <v>47.76</v>
      </c>
      <c r="P580" s="13">
        <f>Greenleaf[[#This Row],[ Unit  price per quantity]]-Greenleaf[[#This Row],[ Unit cost per quantity]]</f>
        <v>72.240000000000009</v>
      </c>
      <c r="Q580" s="14">
        <f>Greenleaf[[#This Row],[Quantity Sold]]*Greenleaf[[#This Row],[Unit Price]]</f>
        <v>120</v>
      </c>
    </row>
    <row r="581" spans="1:17" x14ac:dyDescent="0.25">
      <c r="A581" t="s">
        <v>2007</v>
      </c>
      <c r="B581" s="5">
        <v>45498</v>
      </c>
      <c r="C581" s="5" t="str">
        <f>TEXT(Greenleaf[[#This Row],[Order Date]],"MMM")</f>
        <v>Jul</v>
      </c>
      <c r="D581" s="5" t="str">
        <f>TEXT(Greenleaf[[#This Row],[Order Date]],"YYYY")</f>
        <v>2024</v>
      </c>
      <c r="E581" t="s">
        <v>2461</v>
      </c>
      <c r="F581" s="7" t="s">
        <v>1011</v>
      </c>
      <c r="G581" s="9">
        <v>4</v>
      </c>
      <c r="H581" s="11">
        <v>12</v>
      </c>
      <c r="I581" s="13">
        <v>3.9</v>
      </c>
      <c r="J581" t="s">
        <v>1192</v>
      </c>
      <c r="K581" t="s">
        <v>2589</v>
      </c>
      <c r="L581" s="7" t="s">
        <v>1414</v>
      </c>
      <c r="M581" s="7" t="s">
        <v>1420</v>
      </c>
      <c r="N581" s="14">
        <f>Greenleaf[[#This Row],[Unit Price]]*Greenleaf[[#This Row],[Quantity Sold]]</f>
        <v>48</v>
      </c>
      <c r="O581" s="13">
        <f>Greenleaf[[#This Row],[Unit Cost]]*Greenleaf[[#This Row],[Quantity Sold]]</f>
        <v>15.6</v>
      </c>
      <c r="P581" s="13">
        <f>Greenleaf[[#This Row],[ Unit  price per quantity]]-Greenleaf[[#This Row],[ Unit cost per quantity]]</f>
        <v>32.4</v>
      </c>
      <c r="Q581" s="14">
        <f>Greenleaf[[#This Row],[Quantity Sold]]*Greenleaf[[#This Row],[Unit Price]]</f>
        <v>48</v>
      </c>
    </row>
    <row r="582" spans="1:17" x14ac:dyDescent="0.25">
      <c r="A582" t="s">
        <v>2008</v>
      </c>
      <c r="B582" s="5">
        <v>45498</v>
      </c>
      <c r="C582" s="5" t="str">
        <f>TEXT(Greenleaf[[#This Row],[Order Date]],"MMM")</f>
        <v>Jul</v>
      </c>
      <c r="D582" s="5" t="str">
        <f>TEXT(Greenleaf[[#This Row],[Order Date]],"YYYY")</f>
        <v>2024</v>
      </c>
      <c r="E582" t="s">
        <v>2460</v>
      </c>
      <c r="F582" s="7" t="s">
        <v>1015</v>
      </c>
      <c r="G582" s="9">
        <v>6</v>
      </c>
      <c r="H582" s="11">
        <v>10</v>
      </c>
      <c r="I582" s="13">
        <v>3.16</v>
      </c>
      <c r="J582" t="s">
        <v>1182</v>
      </c>
      <c r="K582" t="s">
        <v>2580</v>
      </c>
      <c r="L582" s="7" t="s">
        <v>1414</v>
      </c>
      <c r="M582" s="7" t="s">
        <v>1422</v>
      </c>
      <c r="N582" s="14">
        <f>Greenleaf[[#This Row],[Unit Price]]*Greenleaf[[#This Row],[Quantity Sold]]</f>
        <v>60</v>
      </c>
      <c r="O582" s="13">
        <f>Greenleaf[[#This Row],[Unit Cost]]*Greenleaf[[#This Row],[Quantity Sold]]</f>
        <v>18.96</v>
      </c>
      <c r="P582" s="13">
        <f>Greenleaf[[#This Row],[ Unit  price per quantity]]-Greenleaf[[#This Row],[ Unit cost per quantity]]</f>
        <v>41.04</v>
      </c>
      <c r="Q582" s="14">
        <f>Greenleaf[[#This Row],[Quantity Sold]]*Greenleaf[[#This Row],[Unit Price]]</f>
        <v>60</v>
      </c>
    </row>
    <row r="583" spans="1:17" x14ac:dyDescent="0.25">
      <c r="A583" t="s">
        <v>2009</v>
      </c>
      <c r="B583" s="5">
        <v>45498</v>
      </c>
      <c r="C583" s="5" t="str">
        <f>TEXT(Greenleaf[[#This Row],[Order Date]],"MMM")</f>
        <v>Jul</v>
      </c>
      <c r="D583" s="5" t="str">
        <f>TEXT(Greenleaf[[#This Row],[Order Date]],"YYYY")</f>
        <v>2024</v>
      </c>
      <c r="E583" t="s">
        <v>2464</v>
      </c>
      <c r="F583" s="7" t="s">
        <v>1012</v>
      </c>
      <c r="G583" s="9">
        <v>3</v>
      </c>
      <c r="H583" s="11">
        <v>40</v>
      </c>
      <c r="I583" s="13">
        <v>11.05</v>
      </c>
      <c r="J583" t="s">
        <v>1180</v>
      </c>
      <c r="K583" t="s">
        <v>2554</v>
      </c>
      <c r="L583" s="7" t="s">
        <v>1416</v>
      </c>
      <c r="M583" s="7" t="s">
        <v>1421</v>
      </c>
      <c r="N583" s="14">
        <f>Greenleaf[[#This Row],[Unit Price]]*Greenleaf[[#This Row],[Quantity Sold]]</f>
        <v>120</v>
      </c>
      <c r="O583" s="13">
        <f>Greenleaf[[#This Row],[Unit Cost]]*Greenleaf[[#This Row],[Quantity Sold]]</f>
        <v>33.150000000000006</v>
      </c>
      <c r="P583" s="13">
        <f>Greenleaf[[#This Row],[ Unit  price per quantity]]-Greenleaf[[#This Row],[ Unit cost per quantity]]</f>
        <v>86.85</v>
      </c>
      <c r="Q583" s="14">
        <f>Greenleaf[[#This Row],[Quantity Sold]]*Greenleaf[[#This Row],[Unit Price]]</f>
        <v>120</v>
      </c>
    </row>
    <row r="584" spans="1:17" x14ac:dyDescent="0.25">
      <c r="A584" t="s">
        <v>2010</v>
      </c>
      <c r="B584" s="5">
        <v>45499</v>
      </c>
      <c r="C584" s="5" t="str">
        <f>TEXT(Greenleaf[[#This Row],[Order Date]],"MMM")</f>
        <v>Jul</v>
      </c>
      <c r="D584" s="5" t="str">
        <f>TEXT(Greenleaf[[#This Row],[Order Date]],"YYYY")</f>
        <v>2024</v>
      </c>
      <c r="E584" t="s">
        <v>2464</v>
      </c>
      <c r="F584" s="7" t="s">
        <v>1012</v>
      </c>
      <c r="G584" s="9">
        <v>5</v>
      </c>
      <c r="H584" s="11">
        <v>40</v>
      </c>
      <c r="I584" s="13">
        <v>12.94</v>
      </c>
      <c r="J584" t="s">
        <v>1095</v>
      </c>
      <c r="K584" t="s">
        <v>2524</v>
      </c>
      <c r="L584" s="7" t="s">
        <v>1414</v>
      </c>
      <c r="M584" s="7" t="s">
        <v>1423</v>
      </c>
      <c r="N584" s="14">
        <f>Greenleaf[[#This Row],[Unit Price]]*Greenleaf[[#This Row],[Quantity Sold]]</f>
        <v>200</v>
      </c>
      <c r="O584" s="13">
        <f>Greenleaf[[#This Row],[Unit Cost]]*Greenleaf[[#This Row],[Quantity Sold]]</f>
        <v>64.7</v>
      </c>
      <c r="P584" s="13">
        <f>Greenleaf[[#This Row],[ Unit  price per quantity]]-Greenleaf[[#This Row],[ Unit cost per quantity]]</f>
        <v>135.30000000000001</v>
      </c>
      <c r="Q584" s="14">
        <f>Greenleaf[[#This Row],[Quantity Sold]]*Greenleaf[[#This Row],[Unit Price]]</f>
        <v>200</v>
      </c>
    </row>
    <row r="585" spans="1:17" x14ac:dyDescent="0.25">
      <c r="A585" t="s">
        <v>2011</v>
      </c>
      <c r="B585" s="5">
        <v>45499</v>
      </c>
      <c r="C585" s="5" t="str">
        <f>TEXT(Greenleaf[[#This Row],[Order Date]],"MMM")</f>
        <v>Jul</v>
      </c>
      <c r="D585" s="5" t="str">
        <f>TEXT(Greenleaf[[#This Row],[Order Date]],"YYYY")</f>
        <v>2024</v>
      </c>
      <c r="E585" t="s">
        <v>2460</v>
      </c>
      <c r="F585" s="7" t="s">
        <v>1015</v>
      </c>
      <c r="G585" s="9">
        <v>3</v>
      </c>
      <c r="H585" s="11">
        <v>10</v>
      </c>
      <c r="I585" s="13">
        <v>2.02</v>
      </c>
      <c r="J585" t="s">
        <v>1161</v>
      </c>
      <c r="K585" t="s">
        <v>2515</v>
      </c>
      <c r="L585" s="7" t="s">
        <v>1416</v>
      </c>
      <c r="M585" s="7" t="s">
        <v>1418</v>
      </c>
      <c r="N585" s="14">
        <f>Greenleaf[[#This Row],[Unit Price]]*Greenleaf[[#This Row],[Quantity Sold]]</f>
        <v>30</v>
      </c>
      <c r="O585" s="13">
        <f>Greenleaf[[#This Row],[Unit Cost]]*Greenleaf[[#This Row],[Quantity Sold]]</f>
        <v>6.0600000000000005</v>
      </c>
      <c r="P585" s="13">
        <f>Greenleaf[[#This Row],[ Unit  price per quantity]]-Greenleaf[[#This Row],[ Unit cost per quantity]]</f>
        <v>23.939999999999998</v>
      </c>
      <c r="Q585" s="14">
        <f>Greenleaf[[#This Row],[Quantity Sold]]*Greenleaf[[#This Row],[Unit Price]]</f>
        <v>30</v>
      </c>
    </row>
    <row r="586" spans="1:17" x14ac:dyDescent="0.25">
      <c r="A586" t="s">
        <v>2012</v>
      </c>
      <c r="B586" s="5">
        <v>45500</v>
      </c>
      <c r="C586" s="5" t="str">
        <f>TEXT(Greenleaf[[#This Row],[Order Date]],"MMM")</f>
        <v>Jul</v>
      </c>
      <c r="D586" s="5" t="str">
        <f>TEXT(Greenleaf[[#This Row],[Order Date]],"YYYY")</f>
        <v>2024</v>
      </c>
      <c r="E586" t="s">
        <v>2464</v>
      </c>
      <c r="F586" s="7" t="s">
        <v>1012</v>
      </c>
      <c r="G586" s="9">
        <v>6</v>
      </c>
      <c r="H586" s="11">
        <v>40</v>
      </c>
      <c r="I586" s="13">
        <v>13.06</v>
      </c>
      <c r="J586" t="s">
        <v>1160</v>
      </c>
      <c r="K586" t="s">
        <v>2519</v>
      </c>
      <c r="L586" s="7" t="s">
        <v>1414</v>
      </c>
      <c r="M586" s="7" t="s">
        <v>1423</v>
      </c>
      <c r="N586" s="14">
        <f>Greenleaf[[#This Row],[Unit Price]]*Greenleaf[[#This Row],[Quantity Sold]]</f>
        <v>240</v>
      </c>
      <c r="O586" s="13">
        <f>Greenleaf[[#This Row],[Unit Cost]]*Greenleaf[[#This Row],[Quantity Sold]]</f>
        <v>78.36</v>
      </c>
      <c r="P586" s="13">
        <f>Greenleaf[[#This Row],[ Unit  price per quantity]]-Greenleaf[[#This Row],[ Unit cost per quantity]]</f>
        <v>161.63999999999999</v>
      </c>
      <c r="Q586" s="14">
        <f>Greenleaf[[#This Row],[Quantity Sold]]*Greenleaf[[#This Row],[Unit Price]]</f>
        <v>240</v>
      </c>
    </row>
    <row r="587" spans="1:17" x14ac:dyDescent="0.25">
      <c r="A587" t="s">
        <v>2013</v>
      </c>
      <c r="B587" s="5">
        <v>45500</v>
      </c>
      <c r="C587" s="5" t="str">
        <f>TEXT(Greenleaf[[#This Row],[Order Date]],"MMM")</f>
        <v>Jul</v>
      </c>
      <c r="D587" s="5" t="str">
        <f>TEXT(Greenleaf[[#This Row],[Order Date]],"YYYY")</f>
        <v>2024</v>
      </c>
      <c r="E587" t="s">
        <v>2462</v>
      </c>
      <c r="F587" s="7" t="s">
        <v>1013</v>
      </c>
      <c r="G587" s="9">
        <v>3</v>
      </c>
      <c r="H587" s="11">
        <v>25</v>
      </c>
      <c r="I587" s="13">
        <v>5.33</v>
      </c>
      <c r="J587" t="s">
        <v>1097</v>
      </c>
      <c r="K587" t="s">
        <v>2557</v>
      </c>
      <c r="L587" s="7" t="s">
        <v>1414</v>
      </c>
      <c r="M587" s="7" t="s">
        <v>1419</v>
      </c>
      <c r="N587" s="14">
        <f>Greenleaf[[#This Row],[Unit Price]]*Greenleaf[[#This Row],[Quantity Sold]]</f>
        <v>75</v>
      </c>
      <c r="O587" s="13">
        <f>Greenleaf[[#This Row],[Unit Cost]]*Greenleaf[[#This Row],[Quantity Sold]]</f>
        <v>15.99</v>
      </c>
      <c r="P587" s="13">
        <f>Greenleaf[[#This Row],[ Unit  price per quantity]]-Greenleaf[[#This Row],[ Unit cost per quantity]]</f>
        <v>59.01</v>
      </c>
      <c r="Q587" s="14">
        <f>Greenleaf[[#This Row],[Quantity Sold]]*Greenleaf[[#This Row],[Unit Price]]</f>
        <v>75</v>
      </c>
    </row>
    <row r="588" spans="1:17" x14ac:dyDescent="0.25">
      <c r="A588" t="s">
        <v>2014</v>
      </c>
      <c r="B588" s="5">
        <v>45500</v>
      </c>
      <c r="C588" s="5" t="str">
        <f>TEXT(Greenleaf[[#This Row],[Order Date]],"MMM")</f>
        <v>Jul</v>
      </c>
      <c r="D588" s="5" t="str">
        <f>TEXT(Greenleaf[[#This Row],[Order Date]],"YYYY")</f>
        <v>2024</v>
      </c>
      <c r="E588" t="s">
        <v>2463</v>
      </c>
      <c r="F588" s="7" t="s">
        <v>1014</v>
      </c>
      <c r="G588" s="9">
        <v>6</v>
      </c>
      <c r="H588" s="11">
        <v>15</v>
      </c>
      <c r="I588" s="13">
        <v>5.32</v>
      </c>
      <c r="J588" t="s">
        <v>1089</v>
      </c>
      <c r="K588" t="s">
        <v>2528</v>
      </c>
      <c r="L588" s="7" t="s">
        <v>1414</v>
      </c>
      <c r="M588" s="7" t="s">
        <v>1423</v>
      </c>
      <c r="N588" s="14">
        <f>Greenleaf[[#This Row],[Unit Price]]*Greenleaf[[#This Row],[Quantity Sold]]</f>
        <v>90</v>
      </c>
      <c r="O588" s="13">
        <f>Greenleaf[[#This Row],[Unit Cost]]*Greenleaf[[#This Row],[Quantity Sold]]</f>
        <v>31.92</v>
      </c>
      <c r="P588" s="13">
        <f>Greenleaf[[#This Row],[ Unit  price per quantity]]-Greenleaf[[#This Row],[ Unit cost per quantity]]</f>
        <v>58.08</v>
      </c>
      <c r="Q588" s="14">
        <f>Greenleaf[[#This Row],[Quantity Sold]]*Greenleaf[[#This Row],[Unit Price]]</f>
        <v>90</v>
      </c>
    </row>
    <row r="589" spans="1:17" x14ac:dyDescent="0.25">
      <c r="A589" t="s">
        <v>2015</v>
      </c>
      <c r="B589" s="5">
        <v>45501</v>
      </c>
      <c r="C589" s="5" t="str">
        <f>TEXT(Greenleaf[[#This Row],[Order Date]],"MMM")</f>
        <v>Jul</v>
      </c>
      <c r="D589" s="5" t="str">
        <f>TEXT(Greenleaf[[#This Row],[Order Date]],"YYYY")</f>
        <v>2024</v>
      </c>
      <c r="E589" t="s">
        <v>2462</v>
      </c>
      <c r="F589" s="7" t="s">
        <v>1013</v>
      </c>
      <c r="G589" s="9">
        <v>8</v>
      </c>
      <c r="H589" s="11">
        <v>25</v>
      </c>
      <c r="I589" s="13">
        <v>7.98</v>
      </c>
      <c r="J589" t="s">
        <v>1049</v>
      </c>
      <c r="K589" t="s">
        <v>2546</v>
      </c>
      <c r="L589" s="7" t="s">
        <v>1414</v>
      </c>
      <c r="M589" s="7" t="s">
        <v>1418</v>
      </c>
      <c r="N589" s="14">
        <f>Greenleaf[[#This Row],[Unit Price]]*Greenleaf[[#This Row],[Quantity Sold]]</f>
        <v>200</v>
      </c>
      <c r="O589" s="13">
        <f>Greenleaf[[#This Row],[Unit Cost]]*Greenleaf[[#This Row],[Quantity Sold]]</f>
        <v>63.84</v>
      </c>
      <c r="P589" s="13">
        <f>Greenleaf[[#This Row],[ Unit  price per quantity]]-Greenleaf[[#This Row],[ Unit cost per quantity]]</f>
        <v>136.16</v>
      </c>
      <c r="Q589" s="14">
        <f>Greenleaf[[#This Row],[Quantity Sold]]*Greenleaf[[#This Row],[Unit Price]]</f>
        <v>200</v>
      </c>
    </row>
    <row r="590" spans="1:17" x14ac:dyDescent="0.25">
      <c r="A590" t="s">
        <v>2016</v>
      </c>
      <c r="B590" s="5">
        <v>45503</v>
      </c>
      <c r="C590" s="5" t="str">
        <f>TEXT(Greenleaf[[#This Row],[Order Date]],"MMM")</f>
        <v>Jul</v>
      </c>
      <c r="D590" s="5" t="str">
        <f>TEXT(Greenleaf[[#This Row],[Order Date]],"YYYY")</f>
        <v>2024</v>
      </c>
      <c r="E590" t="s">
        <v>2463</v>
      </c>
      <c r="F590" s="7" t="s">
        <v>1014</v>
      </c>
      <c r="G590" s="9">
        <v>9</v>
      </c>
      <c r="H590" s="11">
        <v>15</v>
      </c>
      <c r="I590" s="13">
        <v>5.59</v>
      </c>
      <c r="J590" t="s">
        <v>1202</v>
      </c>
      <c r="K590" t="s">
        <v>2565</v>
      </c>
      <c r="L590" s="7" t="s">
        <v>1414</v>
      </c>
      <c r="M590" s="7" t="s">
        <v>1422</v>
      </c>
      <c r="N590" s="14">
        <f>Greenleaf[[#This Row],[Unit Price]]*Greenleaf[[#This Row],[Quantity Sold]]</f>
        <v>135</v>
      </c>
      <c r="O590" s="13">
        <f>Greenleaf[[#This Row],[Unit Cost]]*Greenleaf[[#This Row],[Quantity Sold]]</f>
        <v>50.31</v>
      </c>
      <c r="P590" s="13">
        <f>Greenleaf[[#This Row],[ Unit  price per quantity]]-Greenleaf[[#This Row],[ Unit cost per quantity]]</f>
        <v>84.69</v>
      </c>
      <c r="Q590" s="14">
        <f>Greenleaf[[#This Row],[Quantity Sold]]*Greenleaf[[#This Row],[Unit Price]]</f>
        <v>135</v>
      </c>
    </row>
    <row r="591" spans="1:17" x14ac:dyDescent="0.25">
      <c r="A591" t="s">
        <v>2017</v>
      </c>
      <c r="B591" s="5">
        <v>45503</v>
      </c>
      <c r="C591" s="5" t="str">
        <f>TEXT(Greenleaf[[#This Row],[Order Date]],"MMM")</f>
        <v>Jul</v>
      </c>
      <c r="D591" s="5" t="str">
        <f>TEXT(Greenleaf[[#This Row],[Order Date]],"YYYY")</f>
        <v>2024</v>
      </c>
      <c r="E591" t="s">
        <v>2464</v>
      </c>
      <c r="F591" s="7" t="s">
        <v>1012</v>
      </c>
      <c r="G591" s="9">
        <v>10</v>
      </c>
      <c r="H591" s="11">
        <v>40</v>
      </c>
      <c r="I591" s="13">
        <v>15.91</v>
      </c>
      <c r="J591" t="s">
        <v>1114</v>
      </c>
      <c r="K591" t="s">
        <v>2520</v>
      </c>
      <c r="L591" s="7" t="s">
        <v>1414</v>
      </c>
      <c r="M591" s="7" t="s">
        <v>1425</v>
      </c>
      <c r="N591" s="14">
        <f>Greenleaf[[#This Row],[Unit Price]]*Greenleaf[[#This Row],[Quantity Sold]]</f>
        <v>400</v>
      </c>
      <c r="O591" s="13">
        <f>Greenleaf[[#This Row],[Unit Cost]]*Greenleaf[[#This Row],[Quantity Sold]]</f>
        <v>159.1</v>
      </c>
      <c r="P591" s="13">
        <f>Greenleaf[[#This Row],[ Unit  price per quantity]]-Greenleaf[[#This Row],[ Unit cost per quantity]]</f>
        <v>240.9</v>
      </c>
      <c r="Q591" s="14">
        <f>Greenleaf[[#This Row],[Quantity Sold]]*Greenleaf[[#This Row],[Unit Price]]</f>
        <v>400</v>
      </c>
    </row>
    <row r="592" spans="1:17" x14ac:dyDescent="0.25">
      <c r="A592" t="s">
        <v>2018</v>
      </c>
      <c r="B592" s="5">
        <v>45504</v>
      </c>
      <c r="C592" s="5" t="str">
        <f>TEXT(Greenleaf[[#This Row],[Order Date]],"MMM")</f>
        <v>Jul</v>
      </c>
      <c r="D592" s="5" t="str">
        <f>TEXT(Greenleaf[[#This Row],[Order Date]],"YYYY")</f>
        <v>2024</v>
      </c>
      <c r="E592" t="s">
        <v>2463</v>
      </c>
      <c r="F592" s="7" t="s">
        <v>1014</v>
      </c>
      <c r="G592" s="9">
        <v>9</v>
      </c>
      <c r="H592" s="11">
        <v>15</v>
      </c>
      <c r="I592" s="13">
        <v>5.14</v>
      </c>
      <c r="J592" t="s">
        <v>1038</v>
      </c>
      <c r="K592" t="s">
        <v>2572</v>
      </c>
      <c r="L592" s="7" t="s">
        <v>1414</v>
      </c>
      <c r="M592" s="7" t="s">
        <v>1419</v>
      </c>
      <c r="N592" s="14">
        <f>Greenleaf[[#This Row],[Unit Price]]*Greenleaf[[#This Row],[Quantity Sold]]</f>
        <v>135</v>
      </c>
      <c r="O592" s="13">
        <f>Greenleaf[[#This Row],[Unit Cost]]*Greenleaf[[#This Row],[Quantity Sold]]</f>
        <v>46.26</v>
      </c>
      <c r="P592" s="13">
        <f>Greenleaf[[#This Row],[ Unit  price per quantity]]-Greenleaf[[#This Row],[ Unit cost per quantity]]</f>
        <v>88.740000000000009</v>
      </c>
      <c r="Q592" s="14">
        <f>Greenleaf[[#This Row],[Quantity Sold]]*Greenleaf[[#This Row],[Unit Price]]</f>
        <v>135</v>
      </c>
    </row>
    <row r="593" spans="1:17" x14ac:dyDescent="0.25">
      <c r="A593" t="s">
        <v>2019</v>
      </c>
      <c r="B593" s="5">
        <v>45505</v>
      </c>
      <c r="C593" s="5" t="str">
        <f>TEXT(Greenleaf[[#This Row],[Order Date]],"MMM")</f>
        <v>Aug</v>
      </c>
      <c r="D593" s="5" t="str">
        <f>TEXT(Greenleaf[[#This Row],[Order Date]],"YYYY")</f>
        <v>2024</v>
      </c>
      <c r="E593" t="s">
        <v>2462</v>
      </c>
      <c r="F593" s="7" t="s">
        <v>1013</v>
      </c>
      <c r="G593" s="9">
        <v>2</v>
      </c>
      <c r="H593" s="11">
        <v>25</v>
      </c>
      <c r="I593" s="13">
        <v>8.4</v>
      </c>
      <c r="J593" t="s">
        <v>1056</v>
      </c>
      <c r="K593" t="s">
        <v>2492</v>
      </c>
      <c r="L593" s="7" t="s">
        <v>1414</v>
      </c>
      <c r="M593" s="7" t="s">
        <v>1422</v>
      </c>
      <c r="N593" s="14">
        <f>Greenleaf[[#This Row],[Unit Price]]*Greenleaf[[#This Row],[Quantity Sold]]</f>
        <v>50</v>
      </c>
      <c r="O593" s="13">
        <f>Greenleaf[[#This Row],[Unit Cost]]*Greenleaf[[#This Row],[Quantity Sold]]</f>
        <v>16.8</v>
      </c>
      <c r="P593" s="13">
        <f>Greenleaf[[#This Row],[ Unit  price per quantity]]-Greenleaf[[#This Row],[ Unit cost per quantity]]</f>
        <v>33.200000000000003</v>
      </c>
      <c r="Q593" s="14">
        <f>Greenleaf[[#This Row],[Quantity Sold]]*Greenleaf[[#This Row],[Unit Price]]</f>
        <v>50</v>
      </c>
    </row>
    <row r="594" spans="1:17" x14ac:dyDescent="0.25">
      <c r="A594" t="s">
        <v>2020</v>
      </c>
      <c r="B594" s="5">
        <v>45505</v>
      </c>
      <c r="C594" s="5" t="str">
        <f>TEXT(Greenleaf[[#This Row],[Order Date]],"MMM")</f>
        <v>Aug</v>
      </c>
      <c r="D594" s="5" t="str">
        <f>TEXT(Greenleaf[[#This Row],[Order Date]],"YYYY")</f>
        <v>2024</v>
      </c>
      <c r="E594" t="s">
        <v>2463</v>
      </c>
      <c r="F594" s="7" t="s">
        <v>1014</v>
      </c>
      <c r="G594" s="9">
        <v>2</v>
      </c>
      <c r="H594" s="11">
        <v>15</v>
      </c>
      <c r="I594" s="13">
        <v>4.3099999999999996</v>
      </c>
      <c r="J594" t="s">
        <v>1211</v>
      </c>
      <c r="K594" t="s">
        <v>2519</v>
      </c>
      <c r="L594" s="7" t="s">
        <v>1417</v>
      </c>
      <c r="M594" s="7" t="s">
        <v>1423</v>
      </c>
      <c r="N594" s="14">
        <f>Greenleaf[[#This Row],[Unit Price]]*Greenleaf[[#This Row],[Quantity Sold]]</f>
        <v>30</v>
      </c>
      <c r="O594" s="13">
        <f>Greenleaf[[#This Row],[Unit Cost]]*Greenleaf[[#This Row],[Quantity Sold]]</f>
        <v>8.6199999999999992</v>
      </c>
      <c r="P594" s="13">
        <f>Greenleaf[[#This Row],[ Unit  price per quantity]]-Greenleaf[[#This Row],[ Unit cost per quantity]]</f>
        <v>21.380000000000003</v>
      </c>
      <c r="Q594" s="14">
        <f>Greenleaf[[#This Row],[Quantity Sold]]*Greenleaf[[#This Row],[Unit Price]]</f>
        <v>30</v>
      </c>
    </row>
    <row r="595" spans="1:17" x14ac:dyDescent="0.25">
      <c r="A595" t="s">
        <v>2021</v>
      </c>
      <c r="B595" s="5">
        <v>45505</v>
      </c>
      <c r="C595" s="5" t="str">
        <f>TEXT(Greenleaf[[#This Row],[Order Date]],"MMM")</f>
        <v>Aug</v>
      </c>
      <c r="D595" s="5" t="str">
        <f>TEXT(Greenleaf[[#This Row],[Order Date]],"YYYY")</f>
        <v>2024</v>
      </c>
      <c r="E595" t="s">
        <v>2464</v>
      </c>
      <c r="F595" s="7" t="s">
        <v>1012</v>
      </c>
      <c r="G595" s="9">
        <v>9</v>
      </c>
      <c r="H595" s="11">
        <v>40</v>
      </c>
      <c r="I595" s="13">
        <v>11.09</v>
      </c>
      <c r="J595" t="s">
        <v>1159</v>
      </c>
      <c r="K595" t="s">
        <v>2480</v>
      </c>
      <c r="L595" s="7" t="s">
        <v>1414</v>
      </c>
      <c r="M595" s="7" t="s">
        <v>1423</v>
      </c>
      <c r="N595" s="14">
        <f>Greenleaf[[#This Row],[Unit Price]]*Greenleaf[[#This Row],[Quantity Sold]]</f>
        <v>360</v>
      </c>
      <c r="O595" s="13">
        <f>Greenleaf[[#This Row],[Unit Cost]]*Greenleaf[[#This Row],[Quantity Sold]]</f>
        <v>99.81</v>
      </c>
      <c r="P595" s="13">
        <f>Greenleaf[[#This Row],[ Unit  price per quantity]]-Greenleaf[[#This Row],[ Unit cost per quantity]]</f>
        <v>260.19</v>
      </c>
      <c r="Q595" s="14">
        <f>Greenleaf[[#This Row],[Quantity Sold]]*Greenleaf[[#This Row],[Unit Price]]</f>
        <v>360</v>
      </c>
    </row>
    <row r="596" spans="1:17" x14ac:dyDescent="0.25">
      <c r="A596" t="s">
        <v>2022</v>
      </c>
      <c r="B596" s="5">
        <v>45507</v>
      </c>
      <c r="C596" s="5" t="str">
        <f>TEXT(Greenleaf[[#This Row],[Order Date]],"MMM")</f>
        <v>Aug</v>
      </c>
      <c r="D596" s="5" t="str">
        <f>TEXT(Greenleaf[[#This Row],[Order Date]],"YYYY")</f>
        <v>2024</v>
      </c>
      <c r="E596" t="s">
        <v>2461</v>
      </c>
      <c r="F596" s="7" t="s">
        <v>1011</v>
      </c>
      <c r="G596" s="9">
        <v>2</v>
      </c>
      <c r="H596" s="11">
        <v>12</v>
      </c>
      <c r="I596" s="13">
        <v>3.35</v>
      </c>
      <c r="J596" t="s">
        <v>1057</v>
      </c>
      <c r="K596" t="s">
        <v>2528</v>
      </c>
      <c r="L596" s="7" t="s">
        <v>1415</v>
      </c>
      <c r="M596" s="7" t="s">
        <v>1426</v>
      </c>
      <c r="N596" s="14">
        <f>Greenleaf[[#This Row],[Unit Price]]*Greenleaf[[#This Row],[Quantity Sold]]</f>
        <v>24</v>
      </c>
      <c r="O596" s="13">
        <f>Greenleaf[[#This Row],[Unit Cost]]*Greenleaf[[#This Row],[Quantity Sold]]</f>
        <v>6.7</v>
      </c>
      <c r="P596" s="13">
        <f>Greenleaf[[#This Row],[ Unit  price per quantity]]-Greenleaf[[#This Row],[ Unit cost per quantity]]</f>
        <v>17.3</v>
      </c>
      <c r="Q596" s="14">
        <f>Greenleaf[[#This Row],[Quantity Sold]]*Greenleaf[[#This Row],[Unit Price]]</f>
        <v>24</v>
      </c>
    </row>
    <row r="597" spans="1:17" x14ac:dyDescent="0.25">
      <c r="A597" t="s">
        <v>2023</v>
      </c>
      <c r="B597" s="5">
        <v>45508</v>
      </c>
      <c r="C597" s="5" t="str">
        <f>TEXT(Greenleaf[[#This Row],[Order Date]],"MMM")</f>
        <v>Aug</v>
      </c>
      <c r="D597" s="5" t="str">
        <f>TEXT(Greenleaf[[#This Row],[Order Date]],"YYYY")</f>
        <v>2024</v>
      </c>
      <c r="E597" t="s">
        <v>2461</v>
      </c>
      <c r="F597" s="7" t="s">
        <v>1011</v>
      </c>
      <c r="G597" s="9">
        <v>9</v>
      </c>
      <c r="H597" s="11">
        <v>12</v>
      </c>
      <c r="I597" s="13">
        <v>4.04</v>
      </c>
      <c r="J597" t="s">
        <v>1050</v>
      </c>
      <c r="K597" t="s">
        <v>2488</v>
      </c>
      <c r="L597" s="7" t="s">
        <v>1416</v>
      </c>
      <c r="M597" s="7" t="s">
        <v>1427</v>
      </c>
      <c r="N597" s="14">
        <f>Greenleaf[[#This Row],[Unit Price]]*Greenleaf[[#This Row],[Quantity Sold]]</f>
        <v>108</v>
      </c>
      <c r="O597" s="13">
        <f>Greenleaf[[#This Row],[Unit Cost]]*Greenleaf[[#This Row],[Quantity Sold]]</f>
        <v>36.36</v>
      </c>
      <c r="P597" s="13">
        <f>Greenleaf[[#This Row],[ Unit  price per quantity]]-Greenleaf[[#This Row],[ Unit cost per quantity]]</f>
        <v>71.64</v>
      </c>
      <c r="Q597" s="14">
        <f>Greenleaf[[#This Row],[Quantity Sold]]*Greenleaf[[#This Row],[Unit Price]]</f>
        <v>108</v>
      </c>
    </row>
    <row r="598" spans="1:17" x14ac:dyDescent="0.25">
      <c r="A598" t="s">
        <v>2024</v>
      </c>
      <c r="B598" s="5">
        <v>45508</v>
      </c>
      <c r="C598" s="5" t="str">
        <f>TEXT(Greenleaf[[#This Row],[Order Date]],"MMM")</f>
        <v>Aug</v>
      </c>
      <c r="D598" s="5" t="str">
        <f>TEXT(Greenleaf[[#This Row],[Order Date]],"YYYY")</f>
        <v>2024</v>
      </c>
      <c r="E598" t="s">
        <v>2462</v>
      </c>
      <c r="F598" s="7" t="s">
        <v>1013</v>
      </c>
      <c r="G598" s="9">
        <v>2</v>
      </c>
      <c r="H598" s="11">
        <v>25</v>
      </c>
      <c r="I598" s="13">
        <v>7.09</v>
      </c>
      <c r="J598" t="s">
        <v>1096</v>
      </c>
      <c r="K598" t="s">
        <v>2526</v>
      </c>
      <c r="L598" s="7" t="s">
        <v>1414</v>
      </c>
      <c r="M598" s="7" t="s">
        <v>1422</v>
      </c>
      <c r="N598" s="14">
        <f>Greenleaf[[#This Row],[Unit Price]]*Greenleaf[[#This Row],[Quantity Sold]]</f>
        <v>50</v>
      </c>
      <c r="O598" s="13">
        <f>Greenleaf[[#This Row],[Unit Cost]]*Greenleaf[[#This Row],[Quantity Sold]]</f>
        <v>14.18</v>
      </c>
      <c r="P598" s="13">
        <f>Greenleaf[[#This Row],[ Unit  price per quantity]]-Greenleaf[[#This Row],[ Unit cost per quantity]]</f>
        <v>35.82</v>
      </c>
      <c r="Q598" s="14">
        <f>Greenleaf[[#This Row],[Quantity Sold]]*Greenleaf[[#This Row],[Unit Price]]</f>
        <v>50</v>
      </c>
    </row>
    <row r="599" spans="1:17" x14ac:dyDescent="0.25">
      <c r="A599" t="s">
        <v>2025</v>
      </c>
      <c r="B599" s="5">
        <v>45508</v>
      </c>
      <c r="C599" s="5" t="str">
        <f>TEXT(Greenleaf[[#This Row],[Order Date]],"MMM")</f>
        <v>Aug</v>
      </c>
      <c r="D599" s="5" t="str">
        <f>TEXT(Greenleaf[[#This Row],[Order Date]],"YYYY")</f>
        <v>2024</v>
      </c>
      <c r="E599" t="s">
        <v>2462</v>
      </c>
      <c r="F599" s="7" t="s">
        <v>1013</v>
      </c>
      <c r="G599" s="9">
        <v>7</v>
      </c>
      <c r="H599" s="11">
        <v>25</v>
      </c>
      <c r="I599" s="13">
        <v>5.54</v>
      </c>
      <c r="J599" t="s">
        <v>1145</v>
      </c>
      <c r="K599" t="s">
        <v>2581</v>
      </c>
      <c r="L599" s="7" t="s">
        <v>1414</v>
      </c>
      <c r="M599" s="7" t="s">
        <v>1421</v>
      </c>
      <c r="N599" s="14">
        <f>Greenleaf[[#This Row],[Unit Price]]*Greenleaf[[#This Row],[Quantity Sold]]</f>
        <v>175</v>
      </c>
      <c r="O599" s="13">
        <f>Greenleaf[[#This Row],[Unit Cost]]*Greenleaf[[#This Row],[Quantity Sold]]</f>
        <v>38.78</v>
      </c>
      <c r="P599" s="13">
        <f>Greenleaf[[#This Row],[ Unit  price per quantity]]-Greenleaf[[#This Row],[ Unit cost per quantity]]</f>
        <v>136.22</v>
      </c>
      <c r="Q599" s="14">
        <f>Greenleaf[[#This Row],[Quantity Sold]]*Greenleaf[[#This Row],[Unit Price]]</f>
        <v>175</v>
      </c>
    </row>
    <row r="600" spans="1:17" x14ac:dyDescent="0.25">
      <c r="A600" t="s">
        <v>2026</v>
      </c>
      <c r="B600" s="5">
        <v>45508</v>
      </c>
      <c r="C600" s="5" t="str">
        <f>TEXT(Greenleaf[[#This Row],[Order Date]],"MMM")</f>
        <v>Aug</v>
      </c>
      <c r="D600" s="5" t="str">
        <f>TEXT(Greenleaf[[#This Row],[Order Date]],"YYYY")</f>
        <v>2024</v>
      </c>
      <c r="E600" t="s">
        <v>2464</v>
      </c>
      <c r="F600" s="7" t="s">
        <v>1012</v>
      </c>
      <c r="G600" s="9">
        <v>5</v>
      </c>
      <c r="H600" s="11">
        <v>40</v>
      </c>
      <c r="I600" s="13">
        <v>8.2799999999999994</v>
      </c>
      <c r="J600" t="s">
        <v>1092</v>
      </c>
      <c r="K600" t="s">
        <v>2547</v>
      </c>
      <c r="L600" s="7" t="s">
        <v>1416</v>
      </c>
      <c r="M600" s="7" t="s">
        <v>1421</v>
      </c>
      <c r="N600" s="14">
        <f>Greenleaf[[#This Row],[Unit Price]]*Greenleaf[[#This Row],[Quantity Sold]]</f>
        <v>200</v>
      </c>
      <c r="O600" s="13">
        <f>Greenleaf[[#This Row],[Unit Cost]]*Greenleaf[[#This Row],[Quantity Sold]]</f>
        <v>41.4</v>
      </c>
      <c r="P600" s="13">
        <f>Greenleaf[[#This Row],[ Unit  price per quantity]]-Greenleaf[[#This Row],[ Unit cost per quantity]]</f>
        <v>158.6</v>
      </c>
      <c r="Q600" s="14">
        <f>Greenleaf[[#This Row],[Quantity Sold]]*Greenleaf[[#This Row],[Unit Price]]</f>
        <v>200</v>
      </c>
    </row>
    <row r="601" spans="1:17" x14ac:dyDescent="0.25">
      <c r="A601" t="s">
        <v>2027</v>
      </c>
      <c r="B601" s="5">
        <v>45509</v>
      </c>
      <c r="C601" s="5" t="str">
        <f>TEXT(Greenleaf[[#This Row],[Order Date]],"MMM")</f>
        <v>Aug</v>
      </c>
      <c r="D601" s="5" t="str">
        <f>TEXT(Greenleaf[[#This Row],[Order Date]],"YYYY")</f>
        <v>2024</v>
      </c>
      <c r="E601" t="s">
        <v>2462</v>
      </c>
      <c r="F601" s="7" t="s">
        <v>1013</v>
      </c>
      <c r="G601" s="9">
        <v>8</v>
      </c>
      <c r="H601" s="11">
        <v>25</v>
      </c>
      <c r="I601" s="13">
        <v>9.98</v>
      </c>
      <c r="J601" t="s">
        <v>1166</v>
      </c>
      <c r="K601" t="s">
        <v>2496</v>
      </c>
      <c r="L601" s="7" t="s">
        <v>1416</v>
      </c>
      <c r="M601" s="7" t="s">
        <v>1427</v>
      </c>
      <c r="N601" s="14">
        <f>Greenleaf[[#This Row],[Unit Price]]*Greenleaf[[#This Row],[Quantity Sold]]</f>
        <v>200</v>
      </c>
      <c r="O601" s="13">
        <f>Greenleaf[[#This Row],[Unit Cost]]*Greenleaf[[#This Row],[Quantity Sold]]</f>
        <v>79.84</v>
      </c>
      <c r="P601" s="13">
        <f>Greenleaf[[#This Row],[ Unit  price per quantity]]-Greenleaf[[#This Row],[ Unit cost per quantity]]</f>
        <v>120.16</v>
      </c>
      <c r="Q601" s="14">
        <f>Greenleaf[[#This Row],[Quantity Sold]]*Greenleaf[[#This Row],[Unit Price]]</f>
        <v>200</v>
      </c>
    </row>
    <row r="602" spans="1:17" x14ac:dyDescent="0.25">
      <c r="A602" t="s">
        <v>2028</v>
      </c>
      <c r="B602" s="5">
        <v>45509</v>
      </c>
      <c r="C602" s="5" t="str">
        <f>TEXT(Greenleaf[[#This Row],[Order Date]],"MMM")</f>
        <v>Aug</v>
      </c>
      <c r="D602" s="5" t="str">
        <f>TEXT(Greenleaf[[#This Row],[Order Date]],"YYYY")</f>
        <v>2024</v>
      </c>
      <c r="E602" t="s">
        <v>2463</v>
      </c>
      <c r="F602" s="7" t="s">
        <v>1014</v>
      </c>
      <c r="G602" s="9">
        <v>3</v>
      </c>
      <c r="H602" s="11">
        <v>15</v>
      </c>
      <c r="I602" s="13">
        <v>3.84</v>
      </c>
      <c r="J602" t="s">
        <v>1097</v>
      </c>
      <c r="K602" t="s">
        <v>2557</v>
      </c>
      <c r="L602" s="7" t="s">
        <v>1416</v>
      </c>
      <c r="M602" s="7" t="s">
        <v>1425</v>
      </c>
      <c r="N602" s="14">
        <f>Greenleaf[[#This Row],[Unit Price]]*Greenleaf[[#This Row],[Quantity Sold]]</f>
        <v>45</v>
      </c>
      <c r="O602" s="13">
        <f>Greenleaf[[#This Row],[Unit Cost]]*Greenleaf[[#This Row],[Quantity Sold]]</f>
        <v>11.52</v>
      </c>
      <c r="P602" s="13">
        <f>Greenleaf[[#This Row],[ Unit  price per quantity]]-Greenleaf[[#This Row],[ Unit cost per quantity]]</f>
        <v>33.480000000000004</v>
      </c>
      <c r="Q602" s="14">
        <f>Greenleaf[[#This Row],[Quantity Sold]]*Greenleaf[[#This Row],[Unit Price]]</f>
        <v>45</v>
      </c>
    </row>
    <row r="603" spans="1:17" x14ac:dyDescent="0.25">
      <c r="A603" t="s">
        <v>2029</v>
      </c>
      <c r="B603" s="5">
        <v>45509</v>
      </c>
      <c r="C603" s="5" t="str">
        <f>TEXT(Greenleaf[[#This Row],[Order Date]],"MMM")</f>
        <v>Aug</v>
      </c>
      <c r="D603" s="5" t="str">
        <f>TEXT(Greenleaf[[#This Row],[Order Date]],"YYYY")</f>
        <v>2024</v>
      </c>
      <c r="E603" t="s">
        <v>2463</v>
      </c>
      <c r="F603" s="7" t="s">
        <v>1014</v>
      </c>
      <c r="G603" s="9">
        <v>1</v>
      </c>
      <c r="H603" s="11">
        <v>15</v>
      </c>
      <c r="I603" s="13">
        <v>4.22</v>
      </c>
      <c r="J603" t="s">
        <v>1193</v>
      </c>
      <c r="K603" t="s">
        <v>2478</v>
      </c>
      <c r="L603" s="7" t="s">
        <v>1414</v>
      </c>
      <c r="M603" s="7" t="s">
        <v>1425</v>
      </c>
      <c r="N603" s="14">
        <f>Greenleaf[[#This Row],[Unit Price]]*Greenleaf[[#This Row],[Quantity Sold]]</f>
        <v>15</v>
      </c>
      <c r="O603" s="13">
        <f>Greenleaf[[#This Row],[Unit Cost]]*Greenleaf[[#This Row],[Quantity Sold]]</f>
        <v>4.22</v>
      </c>
      <c r="P603" s="13">
        <f>Greenleaf[[#This Row],[ Unit  price per quantity]]-Greenleaf[[#This Row],[ Unit cost per quantity]]</f>
        <v>10.780000000000001</v>
      </c>
      <c r="Q603" s="14">
        <f>Greenleaf[[#This Row],[Quantity Sold]]*Greenleaf[[#This Row],[Unit Price]]</f>
        <v>15</v>
      </c>
    </row>
    <row r="604" spans="1:17" x14ac:dyDescent="0.25">
      <c r="A604" t="s">
        <v>2030</v>
      </c>
      <c r="B604" s="5">
        <v>45509</v>
      </c>
      <c r="C604" s="5" t="str">
        <f>TEXT(Greenleaf[[#This Row],[Order Date]],"MMM")</f>
        <v>Aug</v>
      </c>
      <c r="D604" s="5" t="str">
        <f>TEXT(Greenleaf[[#This Row],[Order Date]],"YYYY")</f>
        <v>2024</v>
      </c>
      <c r="E604" t="s">
        <v>2461</v>
      </c>
      <c r="F604" s="7" t="s">
        <v>1011</v>
      </c>
      <c r="G604" s="9">
        <v>6</v>
      </c>
      <c r="H604" s="11">
        <v>12</v>
      </c>
      <c r="I604" s="13">
        <v>3.28</v>
      </c>
      <c r="J604" t="s">
        <v>1124</v>
      </c>
      <c r="K604" t="s">
        <v>2519</v>
      </c>
      <c r="L604" s="7" t="s">
        <v>1414</v>
      </c>
      <c r="M604" s="7" t="s">
        <v>1421</v>
      </c>
      <c r="N604" s="14">
        <f>Greenleaf[[#This Row],[Unit Price]]*Greenleaf[[#This Row],[Quantity Sold]]</f>
        <v>72</v>
      </c>
      <c r="O604" s="13">
        <f>Greenleaf[[#This Row],[Unit Cost]]*Greenleaf[[#This Row],[Quantity Sold]]</f>
        <v>19.68</v>
      </c>
      <c r="P604" s="13">
        <f>Greenleaf[[#This Row],[ Unit  price per quantity]]-Greenleaf[[#This Row],[ Unit cost per quantity]]</f>
        <v>52.32</v>
      </c>
      <c r="Q604" s="14">
        <f>Greenleaf[[#This Row],[Quantity Sold]]*Greenleaf[[#This Row],[Unit Price]]</f>
        <v>72</v>
      </c>
    </row>
    <row r="605" spans="1:17" x14ac:dyDescent="0.25">
      <c r="A605" t="s">
        <v>2031</v>
      </c>
      <c r="B605" s="5">
        <v>45510</v>
      </c>
      <c r="C605" s="5" t="str">
        <f>TEXT(Greenleaf[[#This Row],[Order Date]],"MMM")</f>
        <v>Aug</v>
      </c>
      <c r="D605" s="5" t="str">
        <f>TEXT(Greenleaf[[#This Row],[Order Date]],"YYYY")</f>
        <v>2024</v>
      </c>
      <c r="E605" t="s">
        <v>2463</v>
      </c>
      <c r="F605" s="7" t="s">
        <v>1014</v>
      </c>
      <c r="G605" s="9">
        <v>1</v>
      </c>
      <c r="H605" s="11">
        <v>15</v>
      </c>
      <c r="I605" s="13">
        <v>3.96</v>
      </c>
      <c r="J605" t="s">
        <v>1141</v>
      </c>
      <c r="K605" t="s">
        <v>2590</v>
      </c>
      <c r="L605" s="7" t="s">
        <v>1414</v>
      </c>
      <c r="M605" s="7" t="s">
        <v>1420</v>
      </c>
      <c r="N605" s="14">
        <f>Greenleaf[[#This Row],[Unit Price]]*Greenleaf[[#This Row],[Quantity Sold]]</f>
        <v>15</v>
      </c>
      <c r="O605" s="13">
        <f>Greenleaf[[#This Row],[Unit Cost]]*Greenleaf[[#This Row],[Quantity Sold]]</f>
        <v>3.96</v>
      </c>
      <c r="P605" s="13">
        <f>Greenleaf[[#This Row],[ Unit  price per quantity]]-Greenleaf[[#This Row],[ Unit cost per quantity]]</f>
        <v>11.04</v>
      </c>
      <c r="Q605" s="14">
        <f>Greenleaf[[#This Row],[Quantity Sold]]*Greenleaf[[#This Row],[Unit Price]]</f>
        <v>15</v>
      </c>
    </row>
    <row r="606" spans="1:17" x14ac:dyDescent="0.25">
      <c r="A606" t="s">
        <v>2032</v>
      </c>
      <c r="B606" s="5">
        <v>45510</v>
      </c>
      <c r="C606" s="5" t="str">
        <f>TEXT(Greenleaf[[#This Row],[Order Date]],"MMM")</f>
        <v>Aug</v>
      </c>
      <c r="D606" s="5" t="str">
        <f>TEXT(Greenleaf[[#This Row],[Order Date]],"YYYY")</f>
        <v>2024</v>
      </c>
      <c r="E606" t="s">
        <v>2464</v>
      </c>
      <c r="F606" s="7" t="s">
        <v>1012</v>
      </c>
      <c r="G606" s="9">
        <v>10</v>
      </c>
      <c r="H606" s="11">
        <v>40</v>
      </c>
      <c r="I606" s="13">
        <v>12.88</v>
      </c>
      <c r="J606" t="s">
        <v>1037</v>
      </c>
      <c r="K606" t="s">
        <v>2544</v>
      </c>
      <c r="L606" s="7" t="s">
        <v>1414</v>
      </c>
      <c r="M606" s="7" t="s">
        <v>1422</v>
      </c>
      <c r="N606" s="14">
        <f>Greenleaf[[#This Row],[Unit Price]]*Greenleaf[[#This Row],[Quantity Sold]]</f>
        <v>400</v>
      </c>
      <c r="O606" s="13">
        <f>Greenleaf[[#This Row],[Unit Cost]]*Greenleaf[[#This Row],[Quantity Sold]]</f>
        <v>128.80000000000001</v>
      </c>
      <c r="P606" s="13">
        <f>Greenleaf[[#This Row],[ Unit  price per quantity]]-Greenleaf[[#This Row],[ Unit cost per quantity]]</f>
        <v>271.2</v>
      </c>
      <c r="Q606" s="14">
        <f>Greenleaf[[#This Row],[Quantity Sold]]*Greenleaf[[#This Row],[Unit Price]]</f>
        <v>400</v>
      </c>
    </row>
    <row r="607" spans="1:17" x14ac:dyDescent="0.25">
      <c r="A607" t="s">
        <v>2033</v>
      </c>
      <c r="B607" s="5">
        <v>45510</v>
      </c>
      <c r="C607" s="5" t="str">
        <f>TEXT(Greenleaf[[#This Row],[Order Date]],"MMM")</f>
        <v>Aug</v>
      </c>
      <c r="D607" s="5" t="str">
        <f>TEXT(Greenleaf[[#This Row],[Order Date]],"YYYY")</f>
        <v>2024</v>
      </c>
      <c r="E607" t="s">
        <v>2461</v>
      </c>
      <c r="F607" s="7" t="s">
        <v>1011</v>
      </c>
      <c r="G607" s="9">
        <v>9</v>
      </c>
      <c r="H607" s="11">
        <v>12</v>
      </c>
      <c r="I607" s="13">
        <v>4.04</v>
      </c>
      <c r="J607" t="s">
        <v>1120</v>
      </c>
      <c r="K607" t="s">
        <v>2481</v>
      </c>
      <c r="L607" s="7" t="s">
        <v>1414</v>
      </c>
      <c r="M607" s="7" t="s">
        <v>1425</v>
      </c>
      <c r="N607" s="14">
        <f>Greenleaf[[#This Row],[Unit Price]]*Greenleaf[[#This Row],[Quantity Sold]]</f>
        <v>108</v>
      </c>
      <c r="O607" s="13">
        <f>Greenleaf[[#This Row],[Unit Cost]]*Greenleaf[[#This Row],[Quantity Sold]]</f>
        <v>36.36</v>
      </c>
      <c r="P607" s="13">
        <f>Greenleaf[[#This Row],[ Unit  price per quantity]]-Greenleaf[[#This Row],[ Unit cost per quantity]]</f>
        <v>71.64</v>
      </c>
      <c r="Q607" s="14">
        <f>Greenleaf[[#This Row],[Quantity Sold]]*Greenleaf[[#This Row],[Unit Price]]</f>
        <v>108</v>
      </c>
    </row>
    <row r="608" spans="1:17" x14ac:dyDescent="0.25">
      <c r="A608" t="s">
        <v>2034</v>
      </c>
      <c r="B608" s="5">
        <v>45510</v>
      </c>
      <c r="C608" s="5" t="str">
        <f>TEXT(Greenleaf[[#This Row],[Order Date]],"MMM")</f>
        <v>Aug</v>
      </c>
      <c r="D608" s="5" t="str">
        <f>TEXT(Greenleaf[[#This Row],[Order Date]],"YYYY")</f>
        <v>2024</v>
      </c>
      <c r="E608" t="s">
        <v>2461</v>
      </c>
      <c r="F608" s="7" t="s">
        <v>1011</v>
      </c>
      <c r="G608" s="9">
        <v>3</v>
      </c>
      <c r="H608" s="11">
        <v>12</v>
      </c>
      <c r="I608" s="13">
        <v>2.83</v>
      </c>
      <c r="J608" t="s">
        <v>1186</v>
      </c>
      <c r="K608" t="s">
        <v>2477</v>
      </c>
      <c r="L608" s="7" t="s">
        <v>1417</v>
      </c>
      <c r="M608" s="7" t="s">
        <v>1420</v>
      </c>
      <c r="N608" s="14">
        <f>Greenleaf[[#This Row],[Unit Price]]*Greenleaf[[#This Row],[Quantity Sold]]</f>
        <v>36</v>
      </c>
      <c r="O608" s="13">
        <f>Greenleaf[[#This Row],[Unit Cost]]*Greenleaf[[#This Row],[Quantity Sold]]</f>
        <v>8.49</v>
      </c>
      <c r="P608" s="13">
        <f>Greenleaf[[#This Row],[ Unit  price per quantity]]-Greenleaf[[#This Row],[ Unit cost per quantity]]</f>
        <v>27.509999999999998</v>
      </c>
      <c r="Q608" s="14">
        <f>Greenleaf[[#This Row],[Quantity Sold]]*Greenleaf[[#This Row],[Unit Price]]</f>
        <v>36</v>
      </c>
    </row>
    <row r="609" spans="1:17" x14ac:dyDescent="0.25">
      <c r="A609" t="s">
        <v>2035</v>
      </c>
      <c r="B609" s="5">
        <v>45510</v>
      </c>
      <c r="C609" s="5" t="str">
        <f>TEXT(Greenleaf[[#This Row],[Order Date]],"MMM")</f>
        <v>Aug</v>
      </c>
      <c r="D609" s="5" t="str">
        <f>TEXT(Greenleaf[[#This Row],[Order Date]],"YYYY")</f>
        <v>2024</v>
      </c>
      <c r="E609" t="s">
        <v>2462</v>
      </c>
      <c r="F609" s="7" t="s">
        <v>1013</v>
      </c>
      <c r="G609" s="9">
        <v>9</v>
      </c>
      <c r="H609" s="11">
        <v>25</v>
      </c>
      <c r="I609" s="13">
        <v>9.89</v>
      </c>
      <c r="J609" t="s">
        <v>1070</v>
      </c>
      <c r="K609" t="s">
        <v>2517</v>
      </c>
      <c r="L609" s="7" t="s">
        <v>1414</v>
      </c>
      <c r="M609" s="7" t="s">
        <v>1426</v>
      </c>
      <c r="N609" s="14">
        <f>Greenleaf[[#This Row],[Unit Price]]*Greenleaf[[#This Row],[Quantity Sold]]</f>
        <v>225</v>
      </c>
      <c r="O609" s="13">
        <f>Greenleaf[[#This Row],[Unit Cost]]*Greenleaf[[#This Row],[Quantity Sold]]</f>
        <v>89.01</v>
      </c>
      <c r="P609" s="13">
        <f>Greenleaf[[#This Row],[ Unit  price per quantity]]-Greenleaf[[#This Row],[ Unit cost per quantity]]</f>
        <v>135.99</v>
      </c>
      <c r="Q609" s="14">
        <f>Greenleaf[[#This Row],[Quantity Sold]]*Greenleaf[[#This Row],[Unit Price]]</f>
        <v>225</v>
      </c>
    </row>
    <row r="610" spans="1:17" x14ac:dyDescent="0.25">
      <c r="A610" t="s">
        <v>2036</v>
      </c>
      <c r="B610" s="5">
        <v>45510</v>
      </c>
      <c r="C610" s="5" t="str">
        <f>TEXT(Greenleaf[[#This Row],[Order Date]],"MMM")</f>
        <v>Aug</v>
      </c>
      <c r="D610" s="5" t="str">
        <f>TEXT(Greenleaf[[#This Row],[Order Date]],"YYYY")</f>
        <v>2024</v>
      </c>
      <c r="E610" t="s">
        <v>2460</v>
      </c>
      <c r="F610" s="7" t="s">
        <v>1015</v>
      </c>
      <c r="G610" s="9">
        <v>6</v>
      </c>
      <c r="H610" s="11">
        <v>10</v>
      </c>
      <c r="I610" s="13">
        <v>3.93</v>
      </c>
      <c r="J610" t="s">
        <v>1198</v>
      </c>
      <c r="K610" t="s">
        <v>2505</v>
      </c>
      <c r="L610" s="7" t="s">
        <v>1416</v>
      </c>
      <c r="M610" s="7" t="s">
        <v>1422</v>
      </c>
      <c r="N610" s="14">
        <f>Greenleaf[[#This Row],[Unit Price]]*Greenleaf[[#This Row],[Quantity Sold]]</f>
        <v>60</v>
      </c>
      <c r="O610" s="13">
        <f>Greenleaf[[#This Row],[Unit Cost]]*Greenleaf[[#This Row],[Quantity Sold]]</f>
        <v>23.580000000000002</v>
      </c>
      <c r="P610" s="13">
        <f>Greenleaf[[#This Row],[ Unit  price per quantity]]-Greenleaf[[#This Row],[ Unit cost per quantity]]</f>
        <v>36.42</v>
      </c>
      <c r="Q610" s="14">
        <f>Greenleaf[[#This Row],[Quantity Sold]]*Greenleaf[[#This Row],[Unit Price]]</f>
        <v>60</v>
      </c>
    </row>
    <row r="611" spans="1:17" x14ac:dyDescent="0.25">
      <c r="A611" t="s">
        <v>2037</v>
      </c>
      <c r="B611" s="5">
        <v>45511</v>
      </c>
      <c r="C611" s="5" t="str">
        <f>TEXT(Greenleaf[[#This Row],[Order Date]],"MMM")</f>
        <v>Aug</v>
      </c>
      <c r="D611" s="5" t="str">
        <f>TEXT(Greenleaf[[#This Row],[Order Date]],"YYYY")</f>
        <v>2024</v>
      </c>
      <c r="E611" t="s">
        <v>2460</v>
      </c>
      <c r="F611" s="7" t="s">
        <v>1015</v>
      </c>
      <c r="G611" s="9">
        <v>5</v>
      </c>
      <c r="H611" s="11">
        <v>10</v>
      </c>
      <c r="I611" s="13">
        <v>3.41</v>
      </c>
      <c r="J611" t="s">
        <v>1198</v>
      </c>
      <c r="K611" t="s">
        <v>2505</v>
      </c>
      <c r="L611" s="7" t="s">
        <v>1416</v>
      </c>
      <c r="M611" s="7" t="s">
        <v>1424</v>
      </c>
      <c r="N611" s="14">
        <f>Greenleaf[[#This Row],[Unit Price]]*Greenleaf[[#This Row],[Quantity Sold]]</f>
        <v>50</v>
      </c>
      <c r="O611" s="13">
        <f>Greenleaf[[#This Row],[Unit Cost]]*Greenleaf[[#This Row],[Quantity Sold]]</f>
        <v>17.05</v>
      </c>
      <c r="P611" s="13">
        <f>Greenleaf[[#This Row],[ Unit  price per quantity]]-Greenleaf[[#This Row],[ Unit cost per quantity]]</f>
        <v>32.950000000000003</v>
      </c>
      <c r="Q611" s="14">
        <f>Greenleaf[[#This Row],[Quantity Sold]]*Greenleaf[[#This Row],[Unit Price]]</f>
        <v>50</v>
      </c>
    </row>
    <row r="612" spans="1:17" x14ac:dyDescent="0.25">
      <c r="A612" t="s">
        <v>2038</v>
      </c>
      <c r="B612" s="5">
        <v>45512</v>
      </c>
      <c r="C612" s="5" t="str">
        <f>TEXT(Greenleaf[[#This Row],[Order Date]],"MMM")</f>
        <v>Aug</v>
      </c>
      <c r="D612" s="5" t="str">
        <f>TEXT(Greenleaf[[#This Row],[Order Date]],"YYYY")</f>
        <v>2024</v>
      </c>
      <c r="E612" t="s">
        <v>2463</v>
      </c>
      <c r="F612" s="7" t="s">
        <v>1014</v>
      </c>
      <c r="G612" s="9">
        <v>10</v>
      </c>
      <c r="H612" s="11">
        <v>15</v>
      </c>
      <c r="I612" s="13">
        <v>5.3</v>
      </c>
      <c r="J612" t="s">
        <v>1104</v>
      </c>
      <c r="K612" t="s">
        <v>2508</v>
      </c>
      <c r="L612" s="7" t="s">
        <v>1414</v>
      </c>
      <c r="M612" s="7" t="s">
        <v>1427</v>
      </c>
      <c r="N612" s="14">
        <f>Greenleaf[[#This Row],[Unit Price]]*Greenleaf[[#This Row],[Quantity Sold]]</f>
        <v>150</v>
      </c>
      <c r="O612" s="13">
        <f>Greenleaf[[#This Row],[Unit Cost]]*Greenleaf[[#This Row],[Quantity Sold]]</f>
        <v>53</v>
      </c>
      <c r="P612" s="13">
        <f>Greenleaf[[#This Row],[ Unit  price per quantity]]-Greenleaf[[#This Row],[ Unit cost per quantity]]</f>
        <v>97</v>
      </c>
      <c r="Q612" s="14">
        <f>Greenleaf[[#This Row],[Quantity Sold]]*Greenleaf[[#This Row],[Unit Price]]</f>
        <v>150</v>
      </c>
    </row>
    <row r="613" spans="1:17" x14ac:dyDescent="0.25">
      <c r="A613" t="s">
        <v>2039</v>
      </c>
      <c r="B613" s="5">
        <v>45512</v>
      </c>
      <c r="C613" s="5" t="str">
        <f>TEXT(Greenleaf[[#This Row],[Order Date]],"MMM")</f>
        <v>Aug</v>
      </c>
      <c r="D613" s="5" t="str">
        <f>TEXT(Greenleaf[[#This Row],[Order Date]],"YYYY")</f>
        <v>2024</v>
      </c>
      <c r="E613" t="s">
        <v>2461</v>
      </c>
      <c r="F613" s="7" t="s">
        <v>1011</v>
      </c>
      <c r="G613" s="9">
        <v>10</v>
      </c>
      <c r="H613" s="11">
        <v>12</v>
      </c>
      <c r="I613" s="13">
        <v>3.43</v>
      </c>
      <c r="J613" t="s">
        <v>1190</v>
      </c>
      <c r="K613" t="s">
        <v>2511</v>
      </c>
      <c r="L613" s="7" t="s">
        <v>1414</v>
      </c>
      <c r="M613" s="7" t="s">
        <v>1421</v>
      </c>
      <c r="N613" s="14">
        <f>Greenleaf[[#This Row],[Unit Price]]*Greenleaf[[#This Row],[Quantity Sold]]</f>
        <v>120</v>
      </c>
      <c r="O613" s="13">
        <f>Greenleaf[[#This Row],[Unit Cost]]*Greenleaf[[#This Row],[Quantity Sold]]</f>
        <v>34.300000000000004</v>
      </c>
      <c r="P613" s="13">
        <f>Greenleaf[[#This Row],[ Unit  price per quantity]]-Greenleaf[[#This Row],[ Unit cost per quantity]]</f>
        <v>85.699999999999989</v>
      </c>
      <c r="Q613" s="14">
        <f>Greenleaf[[#This Row],[Quantity Sold]]*Greenleaf[[#This Row],[Unit Price]]</f>
        <v>120</v>
      </c>
    </row>
    <row r="614" spans="1:17" x14ac:dyDescent="0.25">
      <c r="A614" t="s">
        <v>2040</v>
      </c>
      <c r="B614" s="5">
        <v>45512</v>
      </c>
      <c r="C614" s="5" t="str">
        <f>TEXT(Greenleaf[[#This Row],[Order Date]],"MMM")</f>
        <v>Aug</v>
      </c>
      <c r="D614" s="5" t="str">
        <f>TEXT(Greenleaf[[#This Row],[Order Date]],"YYYY")</f>
        <v>2024</v>
      </c>
      <c r="E614" t="s">
        <v>2461</v>
      </c>
      <c r="F614" s="7" t="s">
        <v>1011</v>
      </c>
      <c r="G614" s="9">
        <v>4</v>
      </c>
      <c r="H614" s="11">
        <v>12</v>
      </c>
      <c r="I614" s="13">
        <v>4.12</v>
      </c>
      <c r="J614" t="s">
        <v>1183</v>
      </c>
      <c r="K614" t="s">
        <v>2501</v>
      </c>
      <c r="L614" s="7" t="s">
        <v>1417</v>
      </c>
      <c r="M614" s="7" t="s">
        <v>1426</v>
      </c>
      <c r="N614" s="14">
        <f>Greenleaf[[#This Row],[Unit Price]]*Greenleaf[[#This Row],[Quantity Sold]]</f>
        <v>48</v>
      </c>
      <c r="O614" s="13">
        <f>Greenleaf[[#This Row],[Unit Cost]]*Greenleaf[[#This Row],[Quantity Sold]]</f>
        <v>16.48</v>
      </c>
      <c r="P614" s="13">
        <f>Greenleaf[[#This Row],[ Unit  price per quantity]]-Greenleaf[[#This Row],[ Unit cost per quantity]]</f>
        <v>31.52</v>
      </c>
      <c r="Q614" s="14">
        <f>Greenleaf[[#This Row],[Quantity Sold]]*Greenleaf[[#This Row],[Unit Price]]</f>
        <v>48</v>
      </c>
    </row>
    <row r="615" spans="1:17" x14ac:dyDescent="0.25">
      <c r="A615" t="s">
        <v>2041</v>
      </c>
      <c r="B615" s="5">
        <v>45512</v>
      </c>
      <c r="C615" s="5" t="str">
        <f>TEXT(Greenleaf[[#This Row],[Order Date]],"MMM")</f>
        <v>Aug</v>
      </c>
      <c r="D615" s="5" t="str">
        <f>TEXT(Greenleaf[[#This Row],[Order Date]],"YYYY")</f>
        <v>2024</v>
      </c>
      <c r="E615" t="s">
        <v>2463</v>
      </c>
      <c r="F615" s="7" t="s">
        <v>1014</v>
      </c>
      <c r="G615" s="9">
        <v>8</v>
      </c>
      <c r="H615" s="11">
        <v>15</v>
      </c>
      <c r="I615" s="13">
        <v>4.28</v>
      </c>
      <c r="J615" t="s">
        <v>1119</v>
      </c>
      <c r="K615" t="s">
        <v>2542</v>
      </c>
      <c r="L615" s="7" t="s">
        <v>1414</v>
      </c>
      <c r="M615" s="7" t="s">
        <v>1425</v>
      </c>
      <c r="N615" s="14">
        <f>Greenleaf[[#This Row],[Unit Price]]*Greenleaf[[#This Row],[Quantity Sold]]</f>
        <v>120</v>
      </c>
      <c r="O615" s="13">
        <f>Greenleaf[[#This Row],[Unit Cost]]*Greenleaf[[#This Row],[Quantity Sold]]</f>
        <v>34.24</v>
      </c>
      <c r="P615" s="13">
        <f>Greenleaf[[#This Row],[ Unit  price per quantity]]-Greenleaf[[#This Row],[ Unit cost per quantity]]</f>
        <v>85.759999999999991</v>
      </c>
      <c r="Q615" s="14">
        <f>Greenleaf[[#This Row],[Quantity Sold]]*Greenleaf[[#This Row],[Unit Price]]</f>
        <v>120</v>
      </c>
    </row>
    <row r="616" spans="1:17" x14ac:dyDescent="0.25">
      <c r="A616" t="s">
        <v>2042</v>
      </c>
      <c r="B616" s="5">
        <v>45513</v>
      </c>
      <c r="C616" s="5" t="str">
        <f>TEXT(Greenleaf[[#This Row],[Order Date]],"MMM")</f>
        <v>Aug</v>
      </c>
      <c r="D616" s="5" t="str">
        <f>TEXT(Greenleaf[[#This Row],[Order Date]],"YYYY")</f>
        <v>2024</v>
      </c>
      <c r="E616" t="s">
        <v>2464</v>
      </c>
      <c r="F616" s="7" t="s">
        <v>1012</v>
      </c>
      <c r="G616" s="9">
        <v>1</v>
      </c>
      <c r="H616" s="11">
        <v>40</v>
      </c>
      <c r="I616" s="13">
        <v>14.6</v>
      </c>
      <c r="J616" t="s">
        <v>1155</v>
      </c>
      <c r="K616" t="s">
        <v>2583</v>
      </c>
      <c r="L616" s="7" t="s">
        <v>1415</v>
      </c>
      <c r="M616" s="7" t="s">
        <v>1425</v>
      </c>
      <c r="N616" s="14">
        <f>Greenleaf[[#This Row],[Unit Price]]*Greenleaf[[#This Row],[Quantity Sold]]</f>
        <v>40</v>
      </c>
      <c r="O616" s="13">
        <f>Greenleaf[[#This Row],[Unit Cost]]*Greenleaf[[#This Row],[Quantity Sold]]</f>
        <v>14.6</v>
      </c>
      <c r="P616" s="13">
        <f>Greenleaf[[#This Row],[ Unit  price per quantity]]-Greenleaf[[#This Row],[ Unit cost per quantity]]</f>
        <v>25.4</v>
      </c>
      <c r="Q616" s="14">
        <f>Greenleaf[[#This Row],[Quantity Sold]]*Greenleaf[[#This Row],[Unit Price]]</f>
        <v>40</v>
      </c>
    </row>
    <row r="617" spans="1:17" x14ac:dyDescent="0.25">
      <c r="A617" t="s">
        <v>2043</v>
      </c>
      <c r="B617" s="5">
        <v>45513</v>
      </c>
      <c r="C617" s="5" t="str">
        <f>TEXT(Greenleaf[[#This Row],[Order Date]],"MMM")</f>
        <v>Aug</v>
      </c>
      <c r="D617" s="5" t="str">
        <f>TEXT(Greenleaf[[#This Row],[Order Date]],"YYYY")</f>
        <v>2024</v>
      </c>
      <c r="E617" t="s">
        <v>2461</v>
      </c>
      <c r="F617" s="7" t="s">
        <v>1011</v>
      </c>
      <c r="G617" s="9">
        <v>1</v>
      </c>
      <c r="H617" s="11">
        <v>12</v>
      </c>
      <c r="I617" s="13">
        <v>3.32</v>
      </c>
      <c r="J617" t="s">
        <v>1175</v>
      </c>
      <c r="K617" t="s">
        <v>2518</v>
      </c>
      <c r="L617" s="7" t="s">
        <v>1416</v>
      </c>
      <c r="M617" s="7" t="s">
        <v>1420</v>
      </c>
      <c r="N617" s="14">
        <f>Greenleaf[[#This Row],[Unit Price]]*Greenleaf[[#This Row],[Quantity Sold]]</f>
        <v>12</v>
      </c>
      <c r="O617" s="13">
        <f>Greenleaf[[#This Row],[Unit Cost]]*Greenleaf[[#This Row],[Quantity Sold]]</f>
        <v>3.32</v>
      </c>
      <c r="P617" s="13">
        <f>Greenleaf[[#This Row],[ Unit  price per quantity]]-Greenleaf[[#This Row],[ Unit cost per quantity]]</f>
        <v>8.68</v>
      </c>
      <c r="Q617" s="14">
        <f>Greenleaf[[#This Row],[Quantity Sold]]*Greenleaf[[#This Row],[Unit Price]]</f>
        <v>12</v>
      </c>
    </row>
    <row r="618" spans="1:17" x14ac:dyDescent="0.25">
      <c r="A618" t="s">
        <v>2044</v>
      </c>
      <c r="B618" s="5">
        <v>45513</v>
      </c>
      <c r="C618" s="5" t="str">
        <f>TEXT(Greenleaf[[#This Row],[Order Date]],"MMM")</f>
        <v>Aug</v>
      </c>
      <c r="D618" s="5" t="str">
        <f>TEXT(Greenleaf[[#This Row],[Order Date]],"YYYY")</f>
        <v>2024</v>
      </c>
      <c r="E618" t="s">
        <v>2461</v>
      </c>
      <c r="F618" s="7" t="s">
        <v>1011</v>
      </c>
      <c r="G618" s="9">
        <v>8</v>
      </c>
      <c r="H618" s="11">
        <v>12</v>
      </c>
      <c r="I618" s="13">
        <v>2.92</v>
      </c>
      <c r="J618" t="s">
        <v>1197</v>
      </c>
      <c r="K618" t="s">
        <v>2522</v>
      </c>
      <c r="L618" s="7" t="s">
        <v>1416</v>
      </c>
      <c r="M618" s="7" t="s">
        <v>1418</v>
      </c>
      <c r="N618" s="14">
        <f>Greenleaf[[#This Row],[Unit Price]]*Greenleaf[[#This Row],[Quantity Sold]]</f>
        <v>96</v>
      </c>
      <c r="O618" s="13">
        <f>Greenleaf[[#This Row],[Unit Cost]]*Greenleaf[[#This Row],[Quantity Sold]]</f>
        <v>23.36</v>
      </c>
      <c r="P618" s="13">
        <f>Greenleaf[[#This Row],[ Unit  price per quantity]]-Greenleaf[[#This Row],[ Unit cost per quantity]]</f>
        <v>72.64</v>
      </c>
      <c r="Q618" s="14">
        <f>Greenleaf[[#This Row],[Quantity Sold]]*Greenleaf[[#This Row],[Unit Price]]</f>
        <v>96</v>
      </c>
    </row>
    <row r="619" spans="1:17" x14ac:dyDescent="0.25">
      <c r="A619" t="s">
        <v>2045</v>
      </c>
      <c r="B619" s="5">
        <v>45514</v>
      </c>
      <c r="C619" s="5" t="str">
        <f>TEXT(Greenleaf[[#This Row],[Order Date]],"MMM")</f>
        <v>Aug</v>
      </c>
      <c r="D619" s="5" t="str">
        <f>TEXT(Greenleaf[[#This Row],[Order Date]],"YYYY")</f>
        <v>2024</v>
      </c>
      <c r="E619" t="s">
        <v>2460</v>
      </c>
      <c r="F619" s="7" t="s">
        <v>1015</v>
      </c>
      <c r="G619" s="9">
        <v>6</v>
      </c>
      <c r="H619" s="11">
        <v>10</v>
      </c>
      <c r="I619" s="13">
        <v>2.2000000000000002</v>
      </c>
      <c r="J619" t="s">
        <v>1068</v>
      </c>
      <c r="K619" t="s">
        <v>2486</v>
      </c>
      <c r="L619" s="7" t="s">
        <v>1414</v>
      </c>
      <c r="M619" s="7" t="s">
        <v>1423</v>
      </c>
      <c r="N619" s="14">
        <f>Greenleaf[[#This Row],[Unit Price]]*Greenleaf[[#This Row],[Quantity Sold]]</f>
        <v>60</v>
      </c>
      <c r="O619" s="13">
        <f>Greenleaf[[#This Row],[Unit Cost]]*Greenleaf[[#This Row],[Quantity Sold]]</f>
        <v>13.200000000000001</v>
      </c>
      <c r="P619" s="13">
        <f>Greenleaf[[#This Row],[ Unit  price per quantity]]-Greenleaf[[#This Row],[ Unit cost per quantity]]</f>
        <v>46.8</v>
      </c>
      <c r="Q619" s="14">
        <f>Greenleaf[[#This Row],[Quantity Sold]]*Greenleaf[[#This Row],[Unit Price]]</f>
        <v>60</v>
      </c>
    </row>
    <row r="620" spans="1:17" x14ac:dyDescent="0.25">
      <c r="A620" t="s">
        <v>2046</v>
      </c>
      <c r="B620" s="5">
        <v>45515</v>
      </c>
      <c r="C620" s="5" t="str">
        <f>TEXT(Greenleaf[[#This Row],[Order Date]],"MMM")</f>
        <v>Aug</v>
      </c>
      <c r="D620" s="5" t="str">
        <f>TEXT(Greenleaf[[#This Row],[Order Date]],"YYYY")</f>
        <v>2024</v>
      </c>
      <c r="E620" t="s">
        <v>2464</v>
      </c>
      <c r="F620" s="7" t="s">
        <v>1012</v>
      </c>
      <c r="G620" s="9">
        <v>5</v>
      </c>
      <c r="H620" s="11">
        <v>40</v>
      </c>
      <c r="I620" s="13">
        <v>11.64</v>
      </c>
      <c r="J620" t="s">
        <v>1059</v>
      </c>
      <c r="K620" t="s">
        <v>2550</v>
      </c>
      <c r="L620" s="7" t="s">
        <v>1416</v>
      </c>
      <c r="M620" s="7" t="s">
        <v>1420</v>
      </c>
      <c r="N620" s="14">
        <f>Greenleaf[[#This Row],[Unit Price]]*Greenleaf[[#This Row],[Quantity Sold]]</f>
        <v>200</v>
      </c>
      <c r="O620" s="13">
        <f>Greenleaf[[#This Row],[Unit Cost]]*Greenleaf[[#This Row],[Quantity Sold]]</f>
        <v>58.2</v>
      </c>
      <c r="P620" s="13">
        <f>Greenleaf[[#This Row],[ Unit  price per quantity]]-Greenleaf[[#This Row],[ Unit cost per quantity]]</f>
        <v>141.80000000000001</v>
      </c>
      <c r="Q620" s="14">
        <f>Greenleaf[[#This Row],[Quantity Sold]]*Greenleaf[[#This Row],[Unit Price]]</f>
        <v>200</v>
      </c>
    </row>
    <row r="621" spans="1:17" x14ac:dyDescent="0.25">
      <c r="A621" t="s">
        <v>2047</v>
      </c>
      <c r="B621" s="5">
        <v>45515</v>
      </c>
      <c r="C621" s="5" t="str">
        <f>TEXT(Greenleaf[[#This Row],[Order Date]],"MMM")</f>
        <v>Aug</v>
      </c>
      <c r="D621" s="5" t="str">
        <f>TEXT(Greenleaf[[#This Row],[Order Date]],"YYYY")</f>
        <v>2024</v>
      </c>
      <c r="E621" t="s">
        <v>2460</v>
      </c>
      <c r="F621" s="7" t="s">
        <v>1015</v>
      </c>
      <c r="G621" s="9">
        <v>3</v>
      </c>
      <c r="H621" s="11">
        <v>10</v>
      </c>
      <c r="I621" s="13">
        <v>2.54</v>
      </c>
      <c r="J621" t="s">
        <v>1016</v>
      </c>
      <c r="K621" t="s">
        <v>2478</v>
      </c>
      <c r="L621" s="7" t="s">
        <v>1414</v>
      </c>
      <c r="M621" s="7" t="s">
        <v>1419</v>
      </c>
      <c r="N621" s="14">
        <f>Greenleaf[[#This Row],[Unit Price]]*Greenleaf[[#This Row],[Quantity Sold]]</f>
        <v>30</v>
      </c>
      <c r="O621" s="13">
        <f>Greenleaf[[#This Row],[Unit Cost]]*Greenleaf[[#This Row],[Quantity Sold]]</f>
        <v>7.62</v>
      </c>
      <c r="P621" s="13">
        <f>Greenleaf[[#This Row],[ Unit  price per quantity]]-Greenleaf[[#This Row],[ Unit cost per quantity]]</f>
        <v>22.38</v>
      </c>
      <c r="Q621" s="14">
        <f>Greenleaf[[#This Row],[Quantity Sold]]*Greenleaf[[#This Row],[Unit Price]]</f>
        <v>30</v>
      </c>
    </row>
    <row r="622" spans="1:17" x14ac:dyDescent="0.25">
      <c r="A622" t="s">
        <v>2048</v>
      </c>
      <c r="B622" s="5">
        <v>45516</v>
      </c>
      <c r="C622" s="5" t="str">
        <f>TEXT(Greenleaf[[#This Row],[Order Date]],"MMM")</f>
        <v>Aug</v>
      </c>
      <c r="D622" s="5" t="str">
        <f>TEXT(Greenleaf[[#This Row],[Order Date]],"YYYY")</f>
        <v>2024</v>
      </c>
      <c r="E622" t="s">
        <v>2462</v>
      </c>
      <c r="F622" s="7" t="s">
        <v>1013</v>
      </c>
      <c r="G622" s="9">
        <v>5</v>
      </c>
      <c r="H622" s="11">
        <v>25</v>
      </c>
      <c r="I622" s="13">
        <v>9.66</v>
      </c>
      <c r="J622" t="s">
        <v>1064</v>
      </c>
      <c r="K622" t="s">
        <v>2563</v>
      </c>
      <c r="L622" s="7" t="s">
        <v>1416</v>
      </c>
      <c r="M622" s="7" t="s">
        <v>1422</v>
      </c>
      <c r="N622" s="14">
        <f>Greenleaf[[#This Row],[Unit Price]]*Greenleaf[[#This Row],[Quantity Sold]]</f>
        <v>125</v>
      </c>
      <c r="O622" s="13">
        <f>Greenleaf[[#This Row],[Unit Cost]]*Greenleaf[[#This Row],[Quantity Sold]]</f>
        <v>48.3</v>
      </c>
      <c r="P622" s="13">
        <f>Greenleaf[[#This Row],[ Unit  price per quantity]]-Greenleaf[[#This Row],[ Unit cost per quantity]]</f>
        <v>76.7</v>
      </c>
      <c r="Q622" s="14">
        <f>Greenleaf[[#This Row],[Quantity Sold]]*Greenleaf[[#This Row],[Unit Price]]</f>
        <v>125</v>
      </c>
    </row>
    <row r="623" spans="1:17" x14ac:dyDescent="0.25">
      <c r="A623" t="s">
        <v>2049</v>
      </c>
      <c r="B623" s="5">
        <v>45516</v>
      </c>
      <c r="C623" s="5" t="str">
        <f>TEXT(Greenleaf[[#This Row],[Order Date]],"MMM")</f>
        <v>Aug</v>
      </c>
      <c r="D623" s="5" t="str">
        <f>TEXT(Greenleaf[[#This Row],[Order Date]],"YYYY")</f>
        <v>2024</v>
      </c>
      <c r="E623" t="s">
        <v>2463</v>
      </c>
      <c r="F623" s="7" t="s">
        <v>1014</v>
      </c>
      <c r="G623" s="9">
        <v>1</v>
      </c>
      <c r="H623" s="11">
        <v>15</v>
      </c>
      <c r="I623" s="13">
        <v>4.66</v>
      </c>
      <c r="J623" t="s">
        <v>1133</v>
      </c>
      <c r="K623" t="s">
        <v>2488</v>
      </c>
      <c r="L623" s="7" t="s">
        <v>1414</v>
      </c>
      <c r="M623" s="7" t="s">
        <v>1426</v>
      </c>
      <c r="N623" s="14">
        <f>Greenleaf[[#This Row],[Unit Price]]*Greenleaf[[#This Row],[Quantity Sold]]</f>
        <v>15</v>
      </c>
      <c r="O623" s="13">
        <f>Greenleaf[[#This Row],[Unit Cost]]*Greenleaf[[#This Row],[Quantity Sold]]</f>
        <v>4.66</v>
      </c>
      <c r="P623" s="13">
        <f>Greenleaf[[#This Row],[ Unit  price per quantity]]-Greenleaf[[#This Row],[ Unit cost per quantity]]</f>
        <v>10.34</v>
      </c>
      <c r="Q623" s="14">
        <f>Greenleaf[[#This Row],[Quantity Sold]]*Greenleaf[[#This Row],[Unit Price]]</f>
        <v>15</v>
      </c>
    </row>
    <row r="624" spans="1:17" x14ac:dyDescent="0.25">
      <c r="A624" t="s">
        <v>2050</v>
      </c>
      <c r="B624" s="5">
        <v>45517</v>
      </c>
      <c r="C624" s="5" t="str">
        <f>TEXT(Greenleaf[[#This Row],[Order Date]],"MMM")</f>
        <v>Aug</v>
      </c>
      <c r="D624" s="5" t="str">
        <f>TEXT(Greenleaf[[#This Row],[Order Date]],"YYYY")</f>
        <v>2024</v>
      </c>
      <c r="E624" t="s">
        <v>2461</v>
      </c>
      <c r="F624" s="7" t="s">
        <v>1011</v>
      </c>
      <c r="G624" s="9">
        <v>10</v>
      </c>
      <c r="H624" s="11">
        <v>12</v>
      </c>
      <c r="I624" s="13">
        <v>3.4</v>
      </c>
      <c r="J624" t="s">
        <v>1094</v>
      </c>
      <c r="K624" t="s">
        <v>2548</v>
      </c>
      <c r="L624" s="7" t="s">
        <v>1414</v>
      </c>
      <c r="M624" s="7" t="s">
        <v>1425</v>
      </c>
      <c r="N624" s="14">
        <f>Greenleaf[[#This Row],[Unit Price]]*Greenleaf[[#This Row],[Quantity Sold]]</f>
        <v>120</v>
      </c>
      <c r="O624" s="13">
        <f>Greenleaf[[#This Row],[Unit Cost]]*Greenleaf[[#This Row],[Quantity Sold]]</f>
        <v>34</v>
      </c>
      <c r="P624" s="13">
        <f>Greenleaf[[#This Row],[ Unit  price per quantity]]-Greenleaf[[#This Row],[ Unit cost per quantity]]</f>
        <v>86</v>
      </c>
      <c r="Q624" s="14">
        <f>Greenleaf[[#This Row],[Quantity Sold]]*Greenleaf[[#This Row],[Unit Price]]</f>
        <v>120</v>
      </c>
    </row>
    <row r="625" spans="1:17" x14ac:dyDescent="0.25">
      <c r="A625" t="s">
        <v>2051</v>
      </c>
      <c r="B625" s="5">
        <v>45517</v>
      </c>
      <c r="C625" s="5" t="str">
        <f>TEXT(Greenleaf[[#This Row],[Order Date]],"MMM")</f>
        <v>Aug</v>
      </c>
      <c r="D625" s="5" t="str">
        <f>TEXT(Greenleaf[[#This Row],[Order Date]],"YYYY")</f>
        <v>2024</v>
      </c>
      <c r="E625" t="s">
        <v>2464</v>
      </c>
      <c r="F625" s="7" t="s">
        <v>1012</v>
      </c>
      <c r="G625" s="9">
        <v>9</v>
      </c>
      <c r="H625" s="11">
        <v>40</v>
      </c>
      <c r="I625" s="13">
        <v>10.210000000000001</v>
      </c>
      <c r="J625" t="s">
        <v>1046</v>
      </c>
      <c r="K625" t="s">
        <v>2500</v>
      </c>
      <c r="L625" s="7" t="s">
        <v>1414</v>
      </c>
      <c r="M625" s="7" t="s">
        <v>1419</v>
      </c>
      <c r="N625" s="14">
        <f>Greenleaf[[#This Row],[Unit Price]]*Greenleaf[[#This Row],[Quantity Sold]]</f>
        <v>360</v>
      </c>
      <c r="O625" s="13">
        <f>Greenleaf[[#This Row],[Unit Cost]]*Greenleaf[[#This Row],[Quantity Sold]]</f>
        <v>91.890000000000015</v>
      </c>
      <c r="P625" s="13">
        <f>Greenleaf[[#This Row],[ Unit  price per quantity]]-Greenleaf[[#This Row],[ Unit cost per quantity]]</f>
        <v>268.11</v>
      </c>
      <c r="Q625" s="14">
        <f>Greenleaf[[#This Row],[Quantity Sold]]*Greenleaf[[#This Row],[Unit Price]]</f>
        <v>360</v>
      </c>
    </row>
    <row r="626" spans="1:17" x14ac:dyDescent="0.25">
      <c r="A626" t="s">
        <v>2052</v>
      </c>
      <c r="B626" s="5">
        <v>45517</v>
      </c>
      <c r="C626" s="5" t="str">
        <f>TEXT(Greenleaf[[#This Row],[Order Date]],"MMM")</f>
        <v>Aug</v>
      </c>
      <c r="D626" s="5" t="str">
        <f>TEXT(Greenleaf[[#This Row],[Order Date]],"YYYY")</f>
        <v>2024</v>
      </c>
      <c r="E626" t="s">
        <v>2462</v>
      </c>
      <c r="F626" s="7" t="s">
        <v>1013</v>
      </c>
      <c r="G626" s="9">
        <v>3</v>
      </c>
      <c r="H626" s="11">
        <v>25</v>
      </c>
      <c r="I626" s="13">
        <v>8.93</v>
      </c>
      <c r="J626" t="s">
        <v>1196</v>
      </c>
      <c r="K626" t="s">
        <v>2582</v>
      </c>
      <c r="L626" s="7" t="s">
        <v>1416</v>
      </c>
      <c r="M626" s="7" t="s">
        <v>1425</v>
      </c>
      <c r="N626" s="14">
        <f>Greenleaf[[#This Row],[Unit Price]]*Greenleaf[[#This Row],[Quantity Sold]]</f>
        <v>75</v>
      </c>
      <c r="O626" s="13">
        <f>Greenleaf[[#This Row],[Unit Cost]]*Greenleaf[[#This Row],[Quantity Sold]]</f>
        <v>26.79</v>
      </c>
      <c r="P626" s="13">
        <f>Greenleaf[[#This Row],[ Unit  price per quantity]]-Greenleaf[[#This Row],[ Unit cost per quantity]]</f>
        <v>48.21</v>
      </c>
      <c r="Q626" s="14">
        <f>Greenleaf[[#This Row],[Quantity Sold]]*Greenleaf[[#This Row],[Unit Price]]</f>
        <v>75</v>
      </c>
    </row>
    <row r="627" spans="1:17" x14ac:dyDescent="0.25">
      <c r="A627" t="s">
        <v>2053</v>
      </c>
      <c r="B627" s="5">
        <v>45517</v>
      </c>
      <c r="C627" s="5" t="str">
        <f>TEXT(Greenleaf[[#This Row],[Order Date]],"MMM")</f>
        <v>Aug</v>
      </c>
      <c r="D627" s="5" t="str">
        <f>TEXT(Greenleaf[[#This Row],[Order Date]],"YYYY")</f>
        <v>2024</v>
      </c>
      <c r="E627" t="s">
        <v>2461</v>
      </c>
      <c r="F627" s="7" t="s">
        <v>1011</v>
      </c>
      <c r="G627" s="9">
        <v>3</v>
      </c>
      <c r="H627" s="11">
        <v>12</v>
      </c>
      <c r="I627" s="13">
        <v>2.89</v>
      </c>
      <c r="J627" t="s">
        <v>1213</v>
      </c>
      <c r="K627" t="s">
        <v>2591</v>
      </c>
      <c r="L627" s="7" t="s">
        <v>1415</v>
      </c>
      <c r="M627" s="7" t="s">
        <v>1423</v>
      </c>
      <c r="N627" s="14">
        <f>Greenleaf[[#This Row],[Unit Price]]*Greenleaf[[#This Row],[Quantity Sold]]</f>
        <v>36</v>
      </c>
      <c r="O627" s="13">
        <f>Greenleaf[[#This Row],[Unit Cost]]*Greenleaf[[#This Row],[Quantity Sold]]</f>
        <v>8.67</v>
      </c>
      <c r="P627" s="13">
        <f>Greenleaf[[#This Row],[ Unit  price per quantity]]-Greenleaf[[#This Row],[ Unit cost per quantity]]</f>
        <v>27.33</v>
      </c>
      <c r="Q627" s="14">
        <f>Greenleaf[[#This Row],[Quantity Sold]]*Greenleaf[[#This Row],[Unit Price]]</f>
        <v>36</v>
      </c>
    </row>
    <row r="628" spans="1:17" x14ac:dyDescent="0.25">
      <c r="A628" t="s">
        <v>2054</v>
      </c>
      <c r="B628" s="5">
        <v>45517</v>
      </c>
      <c r="C628" s="5" t="str">
        <f>TEXT(Greenleaf[[#This Row],[Order Date]],"MMM")</f>
        <v>Aug</v>
      </c>
      <c r="D628" s="5" t="str">
        <f>TEXT(Greenleaf[[#This Row],[Order Date]],"YYYY")</f>
        <v>2024</v>
      </c>
      <c r="E628" t="s">
        <v>2461</v>
      </c>
      <c r="F628" s="7" t="s">
        <v>1011</v>
      </c>
      <c r="G628" s="9">
        <v>9</v>
      </c>
      <c r="H628" s="11">
        <v>12</v>
      </c>
      <c r="I628" s="13">
        <v>3.61</v>
      </c>
      <c r="J628" t="s">
        <v>1175</v>
      </c>
      <c r="K628" t="s">
        <v>2518</v>
      </c>
      <c r="L628" s="7" t="s">
        <v>1414</v>
      </c>
      <c r="M628" s="7" t="s">
        <v>1425</v>
      </c>
      <c r="N628" s="14">
        <f>Greenleaf[[#This Row],[Unit Price]]*Greenleaf[[#This Row],[Quantity Sold]]</f>
        <v>108</v>
      </c>
      <c r="O628" s="13">
        <f>Greenleaf[[#This Row],[Unit Cost]]*Greenleaf[[#This Row],[Quantity Sold]]</f>
        <v>32.49</v>
      </c>
      <c r="P628" s="13">
        <f>Greenleaf[[#This Row],[ Unit  price per quantity]]-Greenleaf[[#This Row],[ Unit cost per quantity]]</f>
        <v>75.509999999999991</v>
      </c>
      <c r="Q628" s="14">
        <f>Greenleaf[[#This Row],[Quantity Sold]]*Greenleaf[[#This Row],[Unit Price]]</f>
        <v>108</v>
      </c>
    </row>
    <row r="629" spans="1:17" x14ac:dyDescent="0.25">
      <c r="A629" t="s">
        <v>2055</v>
      </c>
      <c r="B629" s="5">
        <v>45518</v>
      </c>
      <c r="C629" s="5" t="str">
        <f>TEXT(Greenleaf[[#This Row],[Order Date]],"MMM")</f>
        <v>Aug</v>
      </c>
      <c r="D629" s="5" t="str">
        <f>TEXT(Greenleaf[[#This Row],[Order Date]],"YYYY")</f>
        <v>2024</v>
      </c>
      <c r="E629" t="s">
        <v>2464</v>
      </c>
      <c r="F629" s="7" t="s">
        <v>1012</v>
      </c>
      <c r="G629" s="9">
        <v>3</v>
      </c>
      <c r="H629" s="11">
        <v>40</v>
      </c>
      <c r="I629" s="13">
        <v>10.51</v>
      </c>
      <c r="J629" t="s">
        <v>1130</v>
      </c>
      <c r="K629" t="s">
        <v>2587</v>
      </c>
      <c r="L629" s="7" t="s">
        <v>1414</v>
      </c>
      <c r="M629" s="7" t="s">
        <v>1425</v>
      </c>
      <c r="N629" s="14">
        <f>Greenleaf[[#This Row],[Unit Price]]*Greenleaf[[#This Row],[Quantity Sold]]</f>
        <v>120</v>
      </c>
      <c r="O629" s="13">
        <f>Greenleaf[[#This Row],[Unit Cost]]*Greenleaf[[#This Row],[Quantity Sold]]</f>
        <v>31.53</v>
      </c>
      <c r="P629" s="13">
        <f>Greenleaf[[#This Row],[ Unit  price per quantity]]-Greenleaf[[#This Row],[ Unit cost per quantity]]</f>
        <v>88.47</v>
      </c>
      <c r="Q629" s="14">
        <f>Greenleaf[[#This Row],[Quantity Sold]]*Greenleaf[[#This Row],[Unit Price]]</f>
        <v>120</v>
      </c>
    </row>
    <row r="630" spans="1:17" x14ac:dyDescent="0.25">
      <c r="A630" t="s">
        <v>2056</v>
      </c>
      <c r="B630" s="5">
        <v>45518</v>
      </c>
      <c r="C630" s="5" t="str">
        <f>TEXT(Greenleaf[[#This Row],[Order Date]],"MMM")</f>
        <v>Aug</v>
      </c>
      <c r="D630" s="5" t="str">
        <f>TEXT(Greenleaf[[#This Row],[Order Date]],"YYYY")</f>
        <v>2024</v>
      </c>
      <c r="E630" t="s">
        <v>2460</v>
      </c>
      <c r="F630" s="7" t="s">
        <v>1015</v>
      </c>
      <c r="G630" s="9">
        <v>4</v>
      </c>
      <c r="H630" s="11">
        <v>10</v>
      </c>
      <c r="I630" s="13">
        <v>3.97</v>
      </c>
      <c r="J630" t="s">
        <v>1152</v>
      </c>
      <c r="K630" t="s">
        <v>2544</v>
      </c>
      <c r="L630" s="7" t="s">
        <v>1414</v>
      </c>
      <c r="M630" s="7" t="s">
        <v>1424</v>
      </c>
      <c r="N630" s="14">
        <f>Greenleaf[[#This Row],[Unit Price]]*Greenleaf[[#This Row],[Quantity Sold]]</f>
        <v>40</v>
      </c>
      <c r="O630" s="13">
        <f>Greenleaf[[#This Row],[Unit Cost]]*Greenleaf[[#This Row],[Quantity Sold]]</f>
        <v>15.88</v>
      </c>
      <c r="P630" s="13">
        <f>Greenleaf[[#This Row],[ Unit  price per quantity]]-Greenleaf[[#This Row],[ Unit cost per quantity]]</f>
        <v>24.119999999999997</v>
      </c>
      <c r="Q630" s="14">
        <f>Greenleaf[[#This Row],[Quantity Sold]]*Greenleaf[[#This Row],[Unit Price]]</f>
        <v>40</v>
      </c>
    </row>
    <row r="631" spans="1:17" x14ac:dyDescent="0.25">
      <c r="A631" t="s">
        <v>2057</v>
      </c>
      <c r="B631" s="5">
        <v>45519</v>
      </c>
      <c r="C631" s="5" t="str">
        <f>TEXT(Greenleaf[[#This Row],[Order Date]],"MMM")</f>
        <v>Aug</v>
      </c>
      <c r="D631" s="5" t="str">
        <f>TEXT(Greenleaf[[#This Row],[Order Date]],"YYYY")</f>
        <v>2024</v>
      </c>
      <c r="E631" t="s">
        <v>2463</v>
      </c>
      <c r="F631" s="7" t="s">
        <v>1014</v>
      </c>
      <c r="G631" s="9">
        <v>3</v>
      </c>
      <c r="H631" s="11">
        <v>15</v>
      </c>
      <c r="I631" s="13">
        <v>4.7699999999999996</v>
      </c>
      <c r="J631" t="s">
        <v>1159</v>
      </c>
      <c r="K631" t="s">
        <v>2480</v>
      </c>
      <c r="L631" s="7" t="s">
        <v>1414</v>
      </c>
      <c r="M631" s="7" t="s">
        <v>1420</v>
      </c>
      <c r="N631" s="14">
        <f>Greenleaf[[#This Row],[Unit Price]]*Greenleaf[[#This Row],[Quantity Sold]]</f>
        <v>45</v>
      </c>
      <c r="O631" s="13">
        <f>Greenleaf[[#This Row],[Unit Cost]]*Greenleaf[[#This Row],[Quantity Sold]]</f>
        <v>14.309999999999999</v>
      </c>
      <c r="P631" s="13">
        <f>Greenleaf[[#This Row],[ Unit  price per quantity]]-Greenleaf[[#This Row],[ Unit cost per quantity]]</f>
        <v>30.69</v>
      </c>
      <c r="Q631" s="14">
        <f>Greenleaf[[#This Row],[Quantity Sold]]*Greenleaf[[#This Row],[Unit Price]]</f>
        <v>45</v>
      </c>
    </row>
    <row r="632" spans="1:17" x14ac:dyDescent="0.25">
      <c r="A632" t="s">
        <v>2058</v>
      </c>
      <c r="B632" s="5">
        <v>45519</v>
      </c>
      <c r="C632" s="5" t="str">
        <f>TEXT(Greenleaf[[#This Row],[Order Date]],"MMM")</f>
        <v>Aug</v>
      </c>
      <c r="D632" s="5" t="str">
        <f>TEXT(Greenleaf[[#This Row],[Order Date]],"YYYY")</f>
        <v>2024</v>
      </c>
      <c r="E632" t="s">
        <v>2463</v>
      </c>
      <c r="F632" s="7" t="s">
        <v>1014</v>
      </c>
      <c r="G632" s="9">
        <v>4</v>
      </c>
      <c r="H632" s="11">
        <v>15</v>
      </c>
      <c r="I632" s="13">
        <v>4.16</v>
      </c>
      <c r="J632" t="s">
        <v>1091</v>
      </c>
      <c r="K632" t="s">
        <v>2569</v>
      </c>
      <c r="L632" s="7" t="s">
        <v>1416</v>
      </c>
      <c r="M632" s="7" t="s">
        <v>1421</v>
      </c>
      <c r="N632" s="14">
        <f>Greenleaf[[#This Row],[Unit Price]]*Greenleaf[[#This Row],[Quantity Sold]]</f>
        <v>60</v>
      </c>
      <c r="O632" s="13">
        <f>Greenleaf[[#This Row],[Unit Cost]]*Greenleaf[[#This Row],[Quantity Sold]]</f>
        <v>16.64</v>
      </c>
      <c r="P632" s="13">
        <f>Greenleaf[[#This Row],[ Unit  price per quantity]]-Greenleaf[[#This Row],[ Unit cost per quantity]]</f>
        <v>43.36</v>
      </c>
      <c r="Q632" s="14">
        <f>Greenleaf[[#This Row],[Quantity Sold]]*Greenleaf[[#This Row],[Unit Price]]</f>
        <v>60</v>
      </c>
    </row>
    <row r="633" spans="1:17" x14ac:dyDescent="0.25">
      <c r="A633" t="s">
        <v>2059</v>
      </c>
      <c r="B633" s="5">
        <v>45520</v>
      </c>
      <c r="C633" s="5" t="str">
        <f>TEXT(Greenleaf[[#This Row],[Order Date]],"MMM")</f>
        <v>Aug</v>
      </c>
      <c r="D633" s="5" t="str">
        <f>TEXT(Greenleaf[[#This Row],[Order Date]],"YYYY")</f>
        <v>2024</v>
      </c>
      <c r="E633" t="s">
        <v>2463</v>
      </c>
      <c r="F633" s="7" t="s">
        <v>1014</v>
      </c>
      <c r="G633" s="9">
        <v>6</v>
      </c>
      <c r="H633" s="11">
        <v>15</v>
      </c>
      <c r="I633" s="13">
        <v>3.31</v>
      </c>
      <c r="J633" t="s">
        <v>1021</v>
      </c>
      <c r="K633" t="s">
        <v>2473</v>
      </c>
      <c r="L633" s="7" t="s">
        <v>1416</v>
      </c>
      <c r="M633" s="7" t="s">
        <v>1422</v>
      </c>
      <c r="N633" s="14">
        <f>Greenleaf[[#This Row],[Unit Price]]*Greenleaf[[#This Row],[Quantity Sold]]</f>
        <v>90</v>
      </c>
      <c r="O633" s="13">
        <f>Greenleaf[[#This Row],[Unit Cost]]*Greenleaf[[#This Row],[Quantity Sold]]</f>
        <v>19.86</v>
      </c>
      <c r="P633" s="13">
        <f>Greenleaf[[#This Row],[ Unit  price per quantity]]-Greenleaf[[#This Row],[ Unit cost per quantity]]</f>
        <v>70.14</v>
      </c>
      <c r="Q633" s="14">
        <f>Greenleaf[[#This Row],[Quantity Sold]]*Greenleaf[[#This Row],[Unit Price]]</f>
        <v>90</v>
      </c>
    </row>
    <row r="634" spans="1:17" x14ac:dyDescent="0.25">
      <c r="A634" t="s">
        <v>2060</v>
      </c>
      <c r="B634" s="5">
        <v>45521</v>
      </c>
      <c r="C634" s="5" t="str">
        <f>TEXT(Greenleaf[[#This Row],[Order Date]],"MMM")</f>
        <v>Aug</v>
      </c>
      <c r="D634" s="5" t="str">
        <f>TEXT(Greenleaf[[#This Row],[Order Date]],"YYYY")</f>
        <v>2024</v>
      </c>
      <c r="E634" t="s">
        <v>2463</v>
      </c>
      <c r="F634" s="7" t="s">
        <v>1014</v>
      </c>
      <c r="G634" s="9">
        <v>9</v>
      </c>
      <c r="H634" s="11">
        <v>15</v>
      </c>
      <c r="I634" s="13">
        <v>3.56</v>
      </c>
      <c r="J634" t="s">
        <v>1102</v>
      </c>
      <c r="K634" t="s">
        <v>2564</v>
      </c>
      <c r="L634" s="7" t="s">
        <v>1414</v>
      </c>
      <c r="M634" s="7" t="s">
        <v>1423</v>
      </c>
      <c r="N634" s="14">
        <f>Greenleaf[[#This Row],[Unit Price]]*Greenleaf[[#This Row],[Quantity Sold]]</f>
        <v>135</v>
      </c>
      <c r="O634" s="13">
        <f>Greenleaf[[#This Row],[Unit Cost]]*Greenleaf[[#This Row],[Quantity Sold]]</f>
        <v>32.04</v>
      </c>
      <c r="P634" s="13">
        <f>Greenleaf[[#This Row],[ Unit  price per quantity]]-Greenleaf[[#This Row],[ Unit cost per quantity]]</f>
        <v>102.96000000000001</v>
      </c>
      <c r="Q634" s="14">
        <f>Greenleaf[[#This Row],[Quantity Sold]]*Greenleaf[[#This Row],[Unit Price]]</f>
        <v>135</v>
      </c>
    </row>
    <row r="635" spans="1:17" x14ac:dyDescent="0.25">
      <c r="A635" t="s">
        <v>2061</v>
      </c>
      <c r="B635" s="5">
        <v>45521</v>
      </c>
      <c r="C635" s="5" t="str">
        <f>TEXT(Greenleaf[[#This Row],[Order Date]],"MMM")</f>
        <v>Aug</v>
      </c>
      <c r="D635" s="5" t="str">
        <f>TEXT(Greenleaf[[#This Row],[Order Date]],"YYYY")</f>
        <v>2024</v>
      </c>
      <c r="E635" t="s">
        <v>2460</v>
      </c>
      <c r="F635" s="7" t="s">
        <v>1015</v>
      </c>
      <c r="G635" s="9">
        <v>7</v>
      </c>
      <c r="H635" s="11">
        <v>10</v>
      </c>
      <c r="I635" s="13">
        <v>2.65</v>
      </c>
      <c r="J635" t="s">
        <v>1065</v>
      </c>
      <c r="K635" t="s">
        <v>2579</v>
      </c>
      <c r="L635" s="7" t="s">
        <v>1414</v>
      </c>
      <c r="M635" s="7" t="s">
        <v>1422</v>
      </c>
      <c r="N635" s="14">
        <f>Greenleaf[[#This Row],[Unit Price]]*Greenleaf[[#This Row],[Quantity Sold]]</f>
        <v>70</v>
      </c>
      <c r="O635" s="13">
        <f>Greenleaf[[#This Row],[Unit Cost]]*Greenleaf[[#This Row],[Quantity Sold]]</f>
        <v>18.55</v>
      </c>
      <c r="P635" s="13">
        <f>Greenleaf[[#This Row],[ Unit  price per quantity]]-Greenleaf[[#This Row],[ Unit cost per quantity]]</f>
        <v>51.45</v>
      </c>
      <c r="Q635" s="14">
        <f>Greenleaf[[#This Row],[Quantity Sold]]*Greenleaf[[#This Row],[Unit Price]]</f>
        <v>70</v>
      </c>
    </row>
    <row r="636" spans="1:17" x14ac:dyDescent="0.25">
      <c r="A636" t="s">
        <v>2062</v>
      </c>
      <c r="B636" s="5">
        <v>45521</v>
      </c>
      <c r="C636" s="5" t="str">
        <f>TEXT(Greenleaf[[#This Row],[Order Date]],"MMM")</f>
        <v>Aug</v>
      </c>
      <c r="D636" s="5" t="str">
        <f>TEXT(Greenleaf[[#This Row],[Order Date]],"YYYY")</f>
        <v>2024</v>
      </c>
      <c r="E636" t="s">
        <v>2462</v>
      </c>
      <c r="F636" s="7" t="s">
        <v>1013</v>
      </c>
      <c r="G636" s="9">
        <v>1</v>
      </c>
      <c r="H636" s="11">
        <v>25</v>
      </c>
      <c r="I636" s="13">
        <v>7.24</v>
      </c>
      <c r="J636" t="s">
        <v>1149</v>
      </c>
      <c r="K636" t="s">
        <v>2505</v>
      </c>
      <c r="L636" s="7" t="s">
        <v>1414</v>
      </c>
      <c r="M636" s="7" t="s">
        <v>1421</v>
      </c>
      <c r="N636" s="14">
        <f>Greenleaf[[#This Row],[Unit Price]]*Greenleaf[[#This Row],[Quantity Sold]]</f>
        <v>25</v>
      </c>
      <c r="O636" s="13">
        <f>Greenleaf[[#This Row],[Unit Cost]]*Greenleaf[[#This Row],[Quantity Sold]]</f>
        <v>7.24</v>
      </c>
      <c r="P636" s="13">
        <f>Greenleaf[[#This Row],[ Unit  price per quantity]]-Greenleaf[[#This Row],[ Unit cost per quantity]]</f>
        <v>17.759999999999998</v>
      </c>
      <c r="Q636" s="14">
        <f>Greenleaf[[#This Row],[Quantity Sold]]*Greenleaf[[#This Row],[Unit Price]]</f>
        <v>25</v>
      </c>
    </row>
    <row r="637" spans="1:17" x14ac:dyDescent="0.25">
      <c r="A637" t="s">
        <v>2063</v>
      </c>
      <c r="B637" s="5">
        <v>45521</v>
      </c>
      <c r="C637" s="5" t="str">
        <f>TEXT(Greenleaf[[#This Row],[Order Date]],"MMM")</f>
        <v>Aug</v>
      </c>
      <c r="D637" s="5" t="str">
        <f>TEXT(Greenleaf[[#This Row],[Order Date]],"YYYY")</f>
        <v>2024</v>
      </c>
      <c r="E637" t="s">
        <v>2462</v>
      </c>
      <c r="F637" s="7" t="s">
        <v>1013</v>
      </c>
      <c r="G637" s="9">
        <v>10</v>
      </c>
      <c r="H637" s="11">
        <v>25</v>
      </c>
      <c r="I637" s="13">
        <v>7.06</v>
      </c>
      <c r="J637" t="s">
        <v>1132</v>
      </c>
      <c r="K637" t="s">
        <v>2507</v>
      </c>
      <c r="L637" s="7" t="s">
        <v>1416</v>
      </c>
      <c r="M637" s="7" t="s">
        <v>1426</v>
      </c>
      <c r="N637" s="14">
        <f>Greenleaf[[#This Row],[Unit Price]]*Greenleaf[[#This Row],[Quantity Sold]]</f>
        <v>250</v>
      </c>
      <c r="O637" s="13">
        <f>Greenleaf[[#This Row],[Unit Cost]]*Greenleaf[[#This Row],[Quantity Sold]]</f>
        <v>70.599999999999994</v>
      </c>
      <c r="P637" s="13">
        <f>Greenleaf[[#This Row],[ Unit  price per quantity]]-Greenleaf[[#This Row],[ Unit cost per quantity]]</f>
        <v>179.4</v>
      </c>
      <c r="Q637" s="14">
        <f>Greenleaf[[#This Row],[Quantity Sold]]*Greenleaf[[#This Row],[Unit Price]]</f>
        <v>250</v>
      </c>
    </row>
    <row r="638" spans="1:17" x14ac:dyDescent="0.25">
      <c r="A638" t="s">
        <v>2064</v>
      </c>
      <c r="B638" s="5">
        <v>45522</v>
      </c>
      <c r="C638" s="5" t="str">
        <f>TEXT(Greenleaf[[#This Row],[Order Date]],"MMM")</f>
        <v>Aug</v>
      </c>
      <c r="D638" s="5" t="str">
        <f>TEXT(Greenleaf[[#This Row],[Order Date]],"YYYY")</f>
        <v>2024</v>
      </c>
      <c r="E638" t="s">
        <v>2462</v>
      </c>
      <c r="F638" s="7" t="s">
        <v>1013</v>
      </c>
      <c r="G638" s="9">
        <v>8</v>
      </c>
      <c r="H638" s="11">
        <v>25</v>
      </c>
      <c r="I638" s="13">
        <v>7.93</v>
      </c>
      <c r="J638" t="s">
        <v>1054</v>
      </c>
      <c r="K638" t="s">
        <v>2552</v>
      </c>
      <c r="L638" s="7" t="s">
        <v>1414</v>
      </c>
      <c r="M638" s="7" t="s">
        <v>1420</v>
      </c>
      <c r="N638" s="14">
        <f>Greenleaf[[#This Row],[Unit Price]]*Greenleaf[[#This Row],[Quantity Sold]]</f>
        <v>200</v>
      </c>
      <c r="O638" s="13">
        <f>Greenleaf[[#This Row],[Unit Cost]]*Greenleaf[[#This Row],[Quantity Sold]]</f>
        <v>63.44</v>
      </c>
      <c r="P638" s="13">
        <f>Greenleaf[[#This Row],[ Unit  price per quantity]]-Greenleaf[[#This Row],[ Unit cost per quantity]]</f>
        <v>136.56</v>
      </c>
      <c r="Q638" s="14">
        <f>Greenleaf[[#This Row],[Quantity Sold]]*Greenleaf[[#This Row],[Unit Price]]</f>
        <v>200</v>
      </c>
    </row>
    <row r="639" spans="1:17" x14ac:dyDescent="0.25">
      <c r="A639" t="s">
        <v>2065</v>
      </c>
      <c r="B639" s="5">
        <v>45522</v>
      </c>
      <c r="C639" s="5" t="str">
        <f>TEXT(Greenleaf[[#This Row],[Order Date]],"MMM")</f>
        <v>Aug</v>
      </c>
      <c r="D639" s="5" t="str">
        <f>TEXT(Greenleaf[[#This Row],[Order Date]],"YYYY")</f>
        <v>2024</v>
      </c>
      <c r="E639" t="s">
        <v>2461</v>
      </c>
      <c r="F639" s="7" t="s">
        <v>1011</v>
      </c>
      <c r="G639" s="9">
        <v>5</v>
      </c>
      <c r="H639" s="11">
        <v>12</v>
      </c>
      <c r="I639" s="13">
        <v>3.24</v>
      </c>
      <c r="J639" t="s">
        <v>1184</v>
      </c>
      <c r="K639" t="s">
        <v>2549</v>
      </c>
      <c r="L639" s="7" t="s">
        <v>1414</v>
      </c>
      <c r="M639" s="7" t="s">
        <v>1422</v>
      </c>
      <c r="N639" s="14">
        <f>Greenleaf[[#This Row],[Unit Price]]*Greenleaf[[#This Row],[Quantity Sold]]</f>
        <v>60</v>
      </c>
      <c r="O639" s="13">
        <f>Greenleaf[[#This Row],[Unit Cost]]*Greenleaf[[#This Row],[Quantity Sold]]</f>
        <v>16.200000000000003</v>
      </c>
      <c r="P639" s="13">
        <f>Greenleaf[[#This Row],[ Unit  price per quantity]]-Greenleaf[[#This Row],[ Unit cost per quantity]]</f>
        <v>43.8</v>
      </c>
      <c r="Q639" s="14">
        <f>Greenleaf[[#This Row],[Quantity Sold]]*Greenleaf[[#This Row],[Unit Price]]</f>
        <v>60</v>
      </c>
    </row>
    <row r="640" spans="1:17" x14ac:dyDescent="0.25">
      <c r="A640" t="s">
        <v>2066</v>
      </c>
      <c r="B640" s="5">
        <v>45522</v>
      </c>
      <c r="C640" s="5" t="str">
        <f>TEXT(Greenleaf[[#This Row],[Order Date]],"MMM")</f>
        <v>Aug</v>
      </c>
      <c r="D640" s="5" t="str">
        <f>TEXT(Greenleaf[[#This Row],[Order Date]],"YYYY")</f>
        <v>2024</v>
      </c>
      <c r="E640" t="s">
        <v>2461</v>
      </c>
      <c r="F640" s="7" t="s">
        <v>1011</v>
      </c>
      <c r="G640" s="9">
        <v>3</v>
      </c>
      <c r="H640" s="11">
        <v>12</v>
      </c>
      <c r="I640" s="13">
        <v>2.42</v>
      </c>
      <c r="J640" t="s">
        <v>1194</v>
      </c>
      <c r="K640" t="s">
        <v>2520</v>
      </c>
      <c r="L640" s="7" t="s">
        <v>1415</v>
      </c>
      <c r="M640" s="7" t="s">
        <v>1425</v>
      </c>
      <c r="N640" s="14">
        <f>Greenleaf[[#This Row],[Unit Price]]*Greenleaf[[#This Row],[Quantity Sold]]</f>
        <v>36</v>
      </c>
      <c r="O640" s="13">
        <f>Greenleaf[[#This Row],[Unit Cost]]*Greenleaf[[#This Row],[Quantity Sold]]</f>
        <v>7.26</v>
      </c>
      <c r="P640" s="13">
        <f>Greenleaf[[#This Row],[ Unit  price per quantity]]-Greenleaf[[#This Row],[ Unit cost per quantity]]</f>
        <v>28.740000000000002</v>
      </c>
      <c r="Q640" s="14">
        <f>Greenleaf[[#This Row],[Quantity Sold]]*Greenleaf[[#This Row],[Unit Price]]</f>
        <v>36</v>
      </c>
    </row>
    <row r="641" spans="1:17" x14ac:dyDescent="0.25">
      <c r="A641" t="s">
        <v>2067</v>
      </c>
      <c r="B641" s="5">
        <v>45522</v>
      </c>
      <c r="C641" s="5" t="str">
        <f>TEXT(Greenleaf[[#This Row],[Order Date]],"MMM")</f>
        <v>Aug</v>
      </c>
      <c r="D641" s="5" t="str">
        <f>TEXT(Greenleaf[[#This Row],[Order Date]],"YYYY")</f>
        <v>2024</v>
      </c>
      <c r="E641" t="s">
        <v>2464</v>
      </c>
      <c r="F641" s="7" t="s">
        <v>1012</v>
      </c>
      <c r="G641" s="9">
        <v>4</v>
      </c>
      <c r="H641" s="11">
        <v>40</v>
      </c>
      <c r="I641" s="13">
        <v>11.94</v>
      </c>
      <c r="J641" t="s">
        <v>1078</v>
      </c>
      <c r="K641" t="s">
        <v>2539</v>
      </c>
      <c r="L641" s="7" t="s">
        <v>1417</v>
      </c>
      <c r="M641" s="7" t="s">
        <v>1426</v>
      </c>
      <c r="N641" s="14">
        <f>Greenleaf[[#This Row],[Unit Price]]*Greenleaf[[#This Row],[Quantity Sold]]</f>
        <v>160</v>
      </c>
      <c r="O641" s="13">
        <f>Greenleaf[[#This Row],[Unit Cost]]*Greenleaf[[#This Row],[Quantity Sold]]</f>
        <v>47.76</v>
      </c>
      <c r="P641" s="13">
        <f>Greenleaf[[#This Row],[ Unit  price per quantity]]-Greenleaf[[#This Row],[ Unit cost per quantity]]</f>
        <v>112.24000000000001</v>
      </c>
      <c r="Q641" s="14">
        <f>Greenleaf[[#This Row],[Quantity Sold]]*Greenleaf[[#This Row],[Unit Price]]</f>
        <v>160</v>
      </c>
    </row>
    <row r="642" spans="1:17" x14ac:dyDescent="0.25">
      <c r="A642" t="s">
        <v>2068</v>
      </c>
      <c r="B642" s="5">
        <v>45522</v>
      </c>
      <c r="C642" s="5" t="str">
        <f>TEXT(Greenleaf[[#This Row],[Order Date]],"MMM")</f>
        <v>Aug</v>
      </c>
      <c r="D642" s="5" t="str">
        <f>TEXT(Greenleaf[[#This Row],[Order Date]],"YYYY")</f>
        <v>2024</v>
      </c>
      <c r="E642" t="s">
        <v>2464</v>
      </c>
      <c r="F642" s="7" t="s">
        <v>1012</v>
      </c>
      <c r="G642" s="9">
        <v>5</v>
      </c>
      <c r="H642" s="11">
        <v>40</v>
      </c>
      <c r="I642" s="13">
        <v>10.23</v>
      </c>
      <c r="J642" t="s">
        <v>1205</v>
      </c>
      <c r="K642" t="s">
        <v>2573</v>
      </c>
      <c r="L642" s="7" t="s">
        <v>1417</v>
      </c>
      <c r="M642" s="7" t="s">
        <v>1425</v>
      </c>
      <c r="N642" s="14">
        <f>Greenleaf[[#This Row],[Unit Price]]*Greenleaf[[#This Row],[Quantity Sold]]</f>
        <v>200</v>
      </c>
      <c r="O642" s="13">
        <f>Greenleaf[[#This Row],[Unit Cost]]*Greenleaf[[#This Row],[Quantity Sold]]</f>
        <v>51.150000000000006</v>
      </c>
      <c r="P642" s="13">
        <f>Greenleaf[[#This Row],[ Unit  price per quantity]]-Greenleaf[[#This Row],[ Unit cost per quantity]]</f>
        <v>148.85</v>
      </c>
      <c r="Q642" s="14">
        <f>Greenleaf[[#This Row],[Quantity Sold]]*Greenleaf[[#This Row],[Unit Price]]</f>
        <v>200</v>
      </c>
    </row>
    <row r="643" spans="1:17" x14ac:dyDescent="0.25">
      <c r="A643" t="s">
        <v>2069</v>
      </c>
      <c r="B643" s="5">
        <v>45523</v>
      </c>
      <c r="C643" s="5" t="str">
        <f>TEXT(Greenleaf[[#This Row],[Order Date]],"MMM")</f>
        <v>Aug</v>
      </c>
      <c r="D643" s="5" t="str">
        <f>TEXT(Greenleaf[[#This Row],[Order Date]],"YYYY")</f>
        <v>2024</v>
      </c>
      <c r="E643" t="s">
        <v>2461</v>
      </c>
      <c r="F643" s="7" t="s">
        <v>1011</v>
      </c>
      <c r="G643" s="9">
        <v>7</v>
      </c>
      <c r="H643" s="11">
        <v>12</v>
      </c>
      <c r="I643" s="13">
        <v>4.46</v>
      </c>
      <c r="J643" t="s">
        <v>1171</v>
      </c>
      <c r="K643" t="s">
        <v>2518</v>
      </c>
      <c r="L643" s="7" t="s">
        <v>1414</v>
      </c>
      <c r="M643" s="7" t="s">
        <v>1418</v>
      </c>
      <c r="N643" s="14">
        <f>Greenleaf[[#This Row],[Unit Price]]*Greenleaf[[#This Row],[Quantity Sold]]</f>
        <v>84</v>
      </c>
      <c r="O643" s="13">
        <f>Greenleaf[[#This Row],[Unit Cost]]*Greenleaf[[#This Row],[Quantity Sold]]</f>
        <v>31.22</v>
      </c>
      <c r="P643" s="13">
        <f>Greenleaf[[#This Row],[ Unit  price per quantity]]-Greenleaf[[#This Row],[ Unit cost per quantity]]</f>
        <v>52.78</v>
      </c>
      <c r="Q643" s="14">
        <f>Greenleaf[[#This Row],[Quantity Sold]]*Greenleaf[[#This Row],[Unit Price]]</f>
        <v>84</v>
      </c>
    </row>
    <row r="644" spans="1:17" x14ac:dyDescent="0.25">
      <c r="A644" t="s">
        <v>2070</v>
      </c>
      <c r="B644" s="5">
        <v>45523</v>
      </c>
      <c r="C644" s="5" t="str">
        <f>TEXT(Greenleaf[[#This Row],[Order Date]],"MMM")</f>
        <v>Aug</v>
      </c>
      <c r="D644" s="5" t="str">
        <f>TEXT(Greenleaf[[#This Row],[Order Date]],"YYYY")</f>
        <v>2024</v>
      </c>
      <c r="E644" t="s">
        <v>2461</v>
      </c>
      <c r="F644" s="7" t="s">
        <v>1011</v>
      </c>
      <c r="G644" s="9">
        <v>6</v>
      </c>
      <c r="H644" s="11">
        <v>12</v>
      </c>
      <c r="I644" s="13">
        <v>4.7300000000000004</v>
      </c>
      <c r="J644" t="s">
        <v>1207</v>
      </c>
      <c r="K644" t="s">
        <v>2575</v>
      </c>
      <c r="L644" s="7" t="s">
        <v>1416</v>
      </c>
      <c r="M644" s="7" t="s">
        <v>1421</v>
      </c>
      <c r="N644" s="14">
        <f>Greenleaf[[#This Row],[Unit Price]]*Greenleaf[[#This Row],[Quantity Sold]]</f>
        <v>72</v>
      </c>
      <c r="O644" s="13">
        <f>Greenleaf[[#This Row],[Unit Cost]]*Greenleaf[[#This Row],[Quantity Sold]]</f>
        <v>28.380000000000003</v>
      </c>
      <c r="P644" s="13">
        <f>Greenleaf[[#This Row],[ Unit  price per quantity]]-Greenleaf[[#This Row],[ Unit cost per quantity]]</f>
        <v>43.62</v>
      </c>
      <c r="Q644" s="14">
        <f>Greenleaf[[#This Row],[Quantity Sold]]*Greenleaf[[#This Row],[Unit Price]]</f>
        <v>72</v>
      </c>
    </row>
    <row r="645" spans="1:17" x14ac:dyDescent="0.25">
      <c r="A645" t="s">
        <v>2071</v>
      </c>
      <c r="B645" s="5">
        <v>45523</v>
      </c>
      <c r="C645" s="5" t="str">
        <f>TEXT(Greenleaf[[#This Row],[Order Date]],"MMM")</f>
        <v>Aug</v>
      </c>
      <c r="D645" s="5" t="str">
        <f>TEXT(Greenleaf[[#This Row],[Order Date]],"YYYY")</f>
        <v>2024</v>
      </c>
      <c r="E645" t="s">
        <v>2463</v>
      </c>
      <c r="F645" s="7" t="s">
        <v>1014</v>
      </c>
      <c r="G645" s="9">
        <v>6</v>
      </c>
      <c r="H645" s="11">
        <v>15</v>
      </c>
      <c r="I645" s="13">
        <v>3.74</v>
      </c>
      <c r="J645" t="s">
        <v>1087</v>
      </c>
      <c r="K645" t="s">
        <v>2521</v>
      </c>
      <c r="L645" s="7" t="s">
        <v>1415</v>
      </c>
      <c r="M645" s="7" t="s">
        <v>1424</v>
      </c>
      <c r="N645" s="14">
        <f>Greenleaf[[#This Row],[Unit Price]]*Greenleaf[[#This Row],[Quantity Sold]]</f>
        <v>90</v>
      </c>
      <c r="O645" s="13">
        <f>Greenleaf[[#This Row],[Unit Cost]]*Greenleaf[[#This Row],[Quantity Sold]]</f>
        <v>22.44</v>
      </c>
      <c r="P645" s="13">
        <f>Greenleaf[[#This Row],[ Unit  price per quantity]]-Greenleaf[[#This Row],[ Unit cost per quantity]]</f>
        <v>67.56</v>
      </c>
      <c r="Q645" s="14">
        <f>Greenleaf[[#This Row],[Quantity Sold]]*Greenleaf[[#This Row],[Unit Price]]</f>
        <v>90</v>
      </c>
    </row>
    <row r="646" spans="1:17" x14ac:dyDescent="0.25">
      <c r="A646" t="s">
        <v>2072</v>
      </c>
      <c r="B646" s="5">
        <v>45523</v>
      </c>
      <c r="C646" s="5" t="str">
        <f>TEXT(Greenleaf[[#This Row],[Order Date]],"MMM")</f>
        <v>Aug</v>
      </c>
      <c r="D646" s="5" t="str">
        <f>TEXT(Greenleaf[[#This Row],[Order Date]],"YYYY")</f>
        <v>2024</v>
      </c>
      <c r="E646" t="s">
        <v>2462</v>
      </c>
      <c r="F646" s="7" t="s">
        <v>1013</v>
      </c>
      <c r="G646" s="9">
        <v>10</v>
      </c>
      <c r="H646" s="11">
        <v>25</v>
      </c>
      <c r="I646" s="13">
        <v>6.58</v>
      </c>
      <c r="J646" t="s">
        <v>1208</v>
      </c>
      <c r="K646" t="s">
        <v>2486</v>
      </c>
      <c r="L646" s="7" t="s">
        <v>1416</v>
      </c>
      <c r="M646" s="7" t="s">
        <v>1423</v>
      </c>
      <c r="N646" s="14">
        <f>Greenleaf[[#This Row],[Unit Price]]*Greenleaf[[#This Row],[Quantity Sold]]</f>
        <v>250</v>
      </c>
      <c r="O646" s="13">
        <f>Greenleaf[[#This Row],[Unit Cost]]*Greenleaf[[#This Row],[Quantity Sold]]</f>
        <v>65.8</v>
      </c>
      <c r="P646" s="13">
        <f>Greenleaf[[#This Row],[ Unit  price per quantity]]-Greenleaf[[#This Row],[ Unit cost per quantity]]</f>
        <v>184.2</v>
      </c>
      <c r="Q646" s="14">
        <f>Greenleaf[[#This Row],[Quantity Sold]]*Greenleaf[[#This Row],[Unit Price]]</f>
        <v>250</v>
      </c>
    </row>
    <row r="647" spans="1:17" x14ac:dyDescent="0.25">
      <c r="A647" t="s">
        <v>2073</v>
      </c>
      <c r="B647" s="5">
        <v>45524</v>
      </c>
      <c r="C647" s="5" t="str">
        <f>TEXT(Greenleaf[[#This Row],[Order Date]],"MMM")</f>
        <v>Aug</v>
      </c>
      <c r="D647" s="5" t="str">
        <f>TEXT(Greenleaf[[#This Row],[Order Date]],"YYYY")</f>
        <v>2024</v>
      </c>
      <c r="E647" t="s">
        <v>2463</v>
      </c>
      <c r="F647" s="7" t="s">
        <v>1014</v>
      </c>
      <c r="G647" s="9">
        <v>2</v>
      </c>
      <c r="H647" s="11">
        <v>15</v>
      </c>
      <c r="I647" s="13">
        <v>5.88</v>
      </c>
      <c r="J647" t="s">
        <v>1073</v>
      </c>
      <c r="K647" t="s">
        <v>2562</v>
      </c>
      <c r="L647" s="7" t="s">
        <v>1414</v>
      </c>
      <c r="M647" s="7" t="s">
        <v>1425</v>
      </c>
      <c r="N647" s="14">
        <f>Greenleaf[[#This Row],[Unit Price]]*Greenleaf[[#This Row],[Quantity Sold]]</f>
        <v>30</v>
      </c>
      <c r="O647" s="13">
        <f>Greenleaf[[#This Row],[Unit Cost]]*Greenleaf[[#This Row],[Quantity Sold]]</f>
        <v>11.76</v>
      </c>
      <c r="P647" s="13">
        <f>Greenleaf[[#This Row],[ Unit  price per quantity]]-Greenleaf[[#This Row],[ Unit cost per quantity]]</f>
        <v>18.240000000000002</v>
      </c>
      <c r="Q647" s="14">
        <f>Greenleaf[[#This Row],[Quantity Sold]]*Greenleaf[[#This Row],[Unit Price]]</f>
        <v>30</v>
      </c>
    </row>
    <row r="648" spans="1:17" x14ac:dyDescent="0.25">
      <c r="A648" t="s">
        <v>2074</v>
      </c>
      <c r="B648" s="5">
        <v>45524</v>
      </c>
      <c r="C648" s="5" t="str">
        <f>TEXT(Greenleaf[[#This Row],[Order Date]],"MMM")</f>
        <v>Aug</v>
      </c>
      <c r="D648" s="5" t="str">
        <f>TEXT(Greenleaf[[#This Row],[Order Date]],"YYYY")</f>
        <v>2024</v>
      </c>
      <c r="E648" t="s">
        <v>2464</v>
      </c>
      <c r="F648" s="7" t="s">
        <v>1012</v>
      </c>
      <c r="G648" s="9">
        <v>2</v>
      </c>
      <c r="H648" s="11">
        <v>40</v>
      </c>
      <c r="I648" s="13">
        <v>14.55</v>
      </c>
      <c r="J648" t="s">
        <v>1093</v>
      </c>
      <c r="K648" t="s">
        <v>2527</v>
      </c>
      <c r="L648" s="7" t="s">
        <v>1416</v>
      </c>
      <c r="M648" s="7" t="s">
        <v>1424</v>
      </c>
      <c r="N648" s="14">
        <f>Greenleaf[[#This Row],[Unit Price]]*Greenleaf[[#This Row],[Quantity Sold]]</f>
        <v>80</v>
      </c>
      <c r="O648" s="13">
        <f>Greenleaf[[#This Row],[Unit Cost]]*Greenleaf[[#This Row],[Quantity Sold]]</f>
        <v>29.1</v>
      </c>
      <c r="P648" s="13">
        <f>Greenleaf[[#This Row],[ Unit  price per quantity]]-Greenleaf[[#This Row],[ Unit cost per quantity]]</f>
        <v>50.9</v>
      </c>
      <c r="Q648" s="14">
        <f>Greenleaf[[#This Row],[Quantity Sold]]*Greenleaf[[#This Row],[Unit Price]]</f>
        <v>80</v>
      </c>
    </row>
    <row r="649" spans="1:17" x14ac:dyDescent="0.25">
      <c r="A649" t="s">
        <v>2075</v>
      </c>
      <c r="B649" s="5">
        <v>45524</v>
      </c>
      <c r="C649" s="5" t="str">
        <f>TEXT(Greenleaf[[#This Row],[Order Date]],"MMM")</f>
        <v>Aug</v>
      </c>
      <c r="D649" s="5" t="str">
        <f>TEXT(Greenleaf[[#This Row],[Order Date]],"YYYY")</f>
        <v>2024</v>
      </c>
      <c r="E649" t="s">
        <v>2460</v>
      </c>
      <c r="F649" s="7" t="s">
        <v>1015</v>
      </c>
      <c r="G649" s="9">
        <v>3</v>
      </c>
      <c r="H649" s="11">
        <v>10</v>
      </c>
      <c r="I649" s="13">
        <v>2.33</v>
      </c>
      <c r="J649" t="s">
        <v>1069</v>
      </c>
      <c r="K649" t="s">
        <v>2471</v>
      </c>
      <c r="L649" s="7" t="s">
        <v>1416</v>
      </c>
      <c r="M649" s="7" t="s">
        <v>1421</v>
      </c>
      <c r="N649" s="14">
        <f>Greenleaf[[#This Row],[Unit Price]]*Greenleaf[[#This Row],[Quantity Sold]]</f>
        <v>30</v>
      </c>
      <c r="O649" s="13">
        <f>Greenleaf[[#This Row],[Unit Cost]]*Greenleaf[[#This Row],[Quantity Sold]]</f>
        <v>6.99</v>
      </c>
      <c r="P649" s="13">
        <f>Greenleaf[[#This Row],[ Unit  price per quantity]]-Greenleaf[[#This Row],[ Unit cost per quantity]]</f>
        <v>23.009999999999998</v>
      </c>
      <c r="Q649" s="14">
        <f>Greenleaf[[#This Row],[Quantity Sold]]*Greenleaf[[#This Row],[Unit Price]]</f>
        <v>30</v>
      </c>
    </row>
    <row r="650" spans="1:17" x14ac:dyDescent="0.25">
      <c r="A650" t="s">
        <v>2076</v>
      </c>
      <c r="B650" s="5">
        <v>45524</v>
      </c>
      <c r="C650" s="5" t="str">
        <f>TEXT(Greenleaf[[#This Row],[Order Date]],"MMM")</f>
        <v>Aug</v>
      </c>
      <c r="D650" s="5" t="str">
        <f>TEXT(Greenleaf[[#This Row],[Order Date]],"YYYY")</f>
        <v>2024</v>
      </c>
      <c r="E650" t="s">
        <v>2463</v>
      </c>
      <c r="F650" s="7" t="s">
        <v>1014</v>
      </c>
      <c r="G650" s="9">
        <v>1</v>
      </c>
      <c r="H650" s="11">
        <v>15</v>
      </c>
      <c r="I650" s="13">
        <v>4.93</v>
      </c>
      <c r="J650" t="s">
        <v>1193</v>
      </c>
      <c r="K650" t="s">
        <v>2478</v>
      </c>
      <c r="L650" s="7" t="s">
        <v>1414</v>
      </c>
      <c r="M650" s="7" t="s">
        <v>1420</v>
      </c>
      <c r="N650" s="14">
        <f>Greenleaf[[#This Row],[Unit Price]]*Greenleaf[[#This Row],[Quantity Sold]]</f>
        <v>15</v>
      </c>
      <c r="O650" s="13">
        <f>Greenleaf[[#This Row],[Unit Cost]]*Greenleaf[[#This Row],[Quantity Sold]]</f>
        <v>4.93</v>
      </c>
      <c r="P650" s="13">
        <f>Greenleaf[[#This Row],[ Unit  price per quantity]]-Greenleaf[[#This Row],[ Unit cost per quantity]]</f>
        <v>10.07</v>
      </c>
      <c r="Q650" s="14">
        <f>Greenleaf[[#This Row],[Quantity Sold]]*Greenleaf[[#This Row],[Unit Price]]</f>
        <v>15</v>
      </c>
    </row>
    <row r="651" spans="1:17" x14ac:dyDescent="0.25">
      <c r="A651" t="s">
        <v>2077</v>
      </c>
      <c r="B651" s="5">
        <v>45524</v>
      </c>
      <c r="C651" s="5" t="str">
        <f>TEXT(Greenleaf[[#This Row],[Order Date]],"MMM")</f>
        <v>Aug</v>
      </c>
      <c r="D651" s="5" t="str">
        <f>TEXT(Greenleaf[[#This Row],[Order Date]],"YYYY")</f>
        <v>2024</v>
      </c>
      <c r="E651" t="s">
        <v>2460</v>
      </c>
      <c r="F651" s="7" t="s">
        <v>1015</v>
      </c>
      <c r="G651" s="9">
        <v>2</v>
      </c>
      <c r="H651" s="11">
        <v>10</v>
      </c>
      <c r="I651" s="13">
        <v>3.11</v>
      </c>
      <c r="J651" t="s">
        <v>1174</v>
      </c>
      <c r="K651" t="s">
        <v>2586</v>
      </c>
      <c r="L651" s="7" t="s">
        <v>1414</v>
      </c>
      <c r="M651" s="7" t="s">
        <v>1422</v>
      </c>
      <c r="N651" s="14">
        <f>Greenleaf[[#This Row],[Unit Price]]*Greenleaf[[#This Row],[Quantity Sold]]</f>
        <v>20</v>
      </c>
      <c r="O651" s="13">
        <f>Greenleaf[[#This Row],[Unit Cost]]*Greenleaf[[#This Row],[Quantity Sold]]</f>
        <v>6.22</v>
      </c>
      <c r="P651" s="13">
        <f>Greenleaf[[#This Row],[ Unit  price per quantity]]-Greenleaf[[#This Row],[ Unit cost per quantity]]</f>
        <v>13.780000000000001</v>
      </c>
      <c r="Q651" s="14">
        <f>Greenleaf[[#This Row],[Quantity Sold]]*Greenleaf[[#This Row],[Unit Price]]</f>
        <v>20</v>
      </c>
    </row>
    <row r="652" spans="1:17" x14ac:dyDescent="0.25">
      <c r="A652" t="s">
        <v>2078</v>
      </c>
      <c r="B652" s="5">
        <v>45524</v>
      </c>
      <c r="C652" s="5" t="str">
        <f>TEXT(Greenleaf[[#This Row],[Order Date]],"MMM")</f>
        <v>Aug</v>
      </c>
      <c r="D652" s="5" t="str">
        <f>TEXT(Greenleaf[[#This Row],[Order Date]],"YYYY")</f>
        <v>2024</v>
      </c>
      <c r="E652" t="s">
        <v>2463</v>
      </c>
      <c r="F652" s="7" t="s">
        <v>1014</v>
      </c>
      <c r="G652" s="9">
        <v>1</v>
      </c>
      <c r="H652" s="11">
        <v>15</v>
      </c>
      <c r="I652" s="13">
        <v>4.5599999999999996</v>
      </c>
      <c r="J652" t="s">
        <v>1062</v>
      </c>
      <c r="K652" t="s">
        <v>2541</v>
      </c>
      <c r="L652" s="7" t="s">
        <v>1414</v>
      </c>
      <c r="M652" s="7" t="s">
        <v>1426</v>
      </c>
      <c r="N652" s="14">
        <f>Greenleaf[[#This Row],[Unit Price]]*Greenleaf[[#This Row],[Quantity Sold]]</f>
        <v>15</v>
      </c>
      <c r="O652" s="13">
        <f>Greenleaf[[#This Row],[Unit Cost]]*Greenleaf[[#This Row],[Quantity Sold]]</f>
        <v>4.5599999999999996</v>
      </c>
      <c r="P652" s="13">
        <f>Greenleaf[[#This Row],[ Unit  price per quantity]]-Greenleaf[[#This Row],[ Unit cost per quantity]]</f>
        <v>10.440000000000001</v>
      </c>
      <c r="Q652" s="14">
        <f>Greenleaf[[#This Row],[Quantity Sold]]*Greenleaf[[#This Row],[Unit Price]]</f>
        <v>15</v>
      </c>
    </row>
    <row r="653" spans="1:17" x14ac:dyDescent="0.25">
      <c r="A653" t="s">
        <v>2079</v>
      </c>
      <c r="B653" s="5">
        <v>45524</v>
      </c>
      <c r="C653" s="5" t="str">
        <f>TEXT(Greenleaf[[#This Row],[Order Date]],"MMM")</f>
        <v>Aug</v>
      </c>
      <c r="D653" s="5" t="str">
        <f>TEXT(Greenleaf[[#This Row],[Order Date]],"YYYY")</f>
        <v>2024</v>
      </c>
      <c r="E653" t="s">
        <v>2463</v>
      </c>
      <c r="F653" s="7" t="s">
        <v>1014</v>
      </c>
      <c r="G653" s="9">
        <v>1</v>
      </c>
      <c r="H653" s="11">
        <v>15</v>
      </c>
      <c r="I653" s="13">
        <v>4.25</v>
      </c>
      <c r="J653" t="s">
        <v>1142</v>
      </c>
      <c r="K653" t="s">
        <v>2489</v>
      </c>
      <c r="L653" s="7" t="s">
        <v>1414</v>
      </c>
      <c r="M653" s="7" t="s">
        <v>1422</v>
      </c>
      <c r="N653" s="14">
        <f>Greenleaf[[#This Row],[Unit Price]]*Greenleaf[[#This Row],[Quantity Sold]]</f>
        <v>15</v>
      </c>
      <c r="O653" s="13">
        <f>Greenleaf[[#This Row],[Unit Cost]]*Greenleaf[[#This Row],[Quantity Sold]]</f>
        <v>4.25</v>
      </c>
      <c r="P653" s="13">
        <f>Greenleaf[[#This Row],[ Unit  price per quantity]]-Greenleaf[[#This Row],[ Unit cost per quantity]]</f>
        <v>10.75</v>
      </c>
      <c r="Q653" s="14">
        <f>Greenleaf[[#This Row],[Quantity Sold]]*Greenleaf[[#This Row],[Unit Price]]</f>
        <v>15</v>
      </c>
    </row>
    <row r="654" spans="1:17" x14ac:dyDescent="0.25">
      <c r="A654" t="s">
        <v>2080</v>
      </c>
      <c r="B654" s="5">
        <v>45524</v>
      </c>
      <c r="C654" s="5" t="str">
        <f>TEXT(Greenleaf[[#This Row],[Order Date]],"MMM")</f>
        <v>Aug</v>
      </c>
      <c r="D654" s="5" t="str">
        <f>TEXT(Greenleaf[[#This Row],[Order Date]],"YYYY")</f>
        <v>2024</v>
      </c>
      <c r="E654" t="s">
        <v>2464</v>
      </c>
      <c r="F654" s="7" t="s">
        <v>1012</v>
      </c>
      <c r="G654" s="9">
        <v>3</v>
      </c>
      <c r="H654" s="11">
        <v>40</v>
      </c>
      <c r="I654" s="13">
        <v>15.7</v>
      </c>
      <c r="J654" t="s">
        <v>1136</v>
      </c>
      <c r="K654" t="s">
        <v>2522</v>
      </c>
      <c r="L654" s="7" t="s">
        <v>1416</v>
      </c>
      <c r="M654" s="7" t="s">
        <v>1426</v>
      </c>
      <c r="N654" s="14">
        <f>Greenleaf[[#This Row],[Unit Price]]*Greenleaf[[#This Row],[Quantity Sold]]</f>
        <v>120</v>
      </c>
      <c r="O654" s="13">
        <f>Greenleaf[[#This Row],[Unit Cost]]*Greenleaf[[#This Row],[Quantity Sold]]</f>
        <v>47.099999999999994</v>
      </c>
      <c r="P654" s="13">
        <f>Greenleaf[[#This Row],[ Unit  price per quantity]]-Greenleaf[[#This Row],[ Unit cost per quantity]]</f>
        <v>72.900000000000006</v>
      </c>
      <c r="Q654" s="14">
        <f>Greenleaf[[#This Row],[Quantity Sold]]*Greenleaf[[#This Row],[Unit Price]]</f>
        <v>120</v>
      </c>
    </row>
    <row r="655" spans="1:17" x14ac:dyDescent="0.25">
      <c r="A655" t="s">
        <v>2081</v>
      </c>
      <c r="B655" s="5">
        <v>45525</v>
      </c>
      <c r="C655" s="5" t="str">
        <f>TEXT(Greenleaf[[#This Row],[Order Date]],"MMM")</f>
        <v>Aug</v>
      </c>
      <c r="D655" s="5" t="str">
        <f>TEXT(Greenleaf[[#This Row],[Order Date]],"YYYY")</f>
        <v>2024</v>
      </c>
      <c r="E655" t="s">
        <v>2461</v>
      </c>
      <c r="F655" s="7" t="s">
        <v>1011</v>
      </c>
      <c r="G655" s="9">
        <v>1</v>
      </c>
      <c r="H655" s="11">
        <v>12</v>
      </c>
      <c r="I655" s="13">
        <v>3.08</v>
      </c>
      <c r="J655" t="s">
        <v>1128</v>
      </c>
      <c r="K655" t="s">
        <v>2523</v>
      </c>
      <c r="L655" s="7" t="s">
        <v>1414</v>
      </c>
      <c r="M655" s="7" t="s">
        <v>1419</v>
      </c>
      <c r="N655" s="14">
        <f>Greenleaf[[#This Row],[Unit Price]]*Greenleaf[[#This Row],[Quantity Sold]]</f>
        <v>12</v>
      </c>
      <c r="O655" s="13">
        <f>Greenleaf[[#This Row],[Unit Cost]]*Greenleaf[[#This Row],[Quantity Sold]]</f>
        <v>3.08</v>
      </c>
      <c r="P655" s="13">
        <f>Greenleaf[[#This Row],[ Unit  price per quantity]]-Greenleaf[[#This Row],[ Unit cost per quantity]]</f>
        <v>8.92</v>
      </c>
      <c r="Q655" s="14">
        <f>Greenleaf[[#This Row],[Quantity Sold]]*Greenleaf[[#This Row],[Unit Price]]</f>
        <v>12</v>
      </c>
    </row>
    <row r="656" spans="1:17" x14ac:dyDescent="0.25">
      <c r="A656" t="s">
        <v>2082</v>
      </c>
      <c r="B656" s="5">
        <v>45526</v>
      </c>
      <c r="C656" s="5" t="str">
        <f>TEXT(Greenleaf[[#This Row],[Order Date]],"MMM")</f>
        <v>Aug</v>
      </c>
      <c r="D656" s="5" t="str">
        <f>TEXT(Greenleaf[[#This Row],[Order Date]],"YYYY")</f>
        <v>2024</v>
      </c>
      <c r="E656" t="s">
        <v>2464</v>
      </c>
      <c r="F656" s="7" t="s">
        <v>1012</v>
      </c>
      <c r="G656" s="9">
        <v>8</v>
      </c>
      <c r="H656" s="11">
        <v>40</v>
      </c>
      <c r="I656" s="13">
        <v>14.45</v>
      </c>
      <c r="J656" t="s">
        <v>1150</v>
      </c>
      <c r="K656" t="s">
        <v>2529</v>
      </c>
      <c r="L656" s="7" t="s">
        <v>1416</v>
      </c>
      <c r="M656" s="7" t="s">
        <v>1422</v>
      </c>
      <c r="N656" s="14">
        <f>Greenleaf[[#This Row],[Unit Price]]*Greenleaf[[#This Row],[Quantity Sold]]</f>
        <v>320</v>
      </c>
      <c r="O656" s="13">
        <f>Greenleaf[[#This Row],[Unit Cost]]*Greenleaf[[#This Row],[Quantity Sold]]</f>
        <v>115.6</v>
      </c>
      <c r="P656" s="13">
        <f>Greenleaf[[#This Row],[ Unit  price per quantity]]-Greenleaf[[#This Row],[ Unit cost per quantity]]</f>
        <v>204.4</v>
      </c>
      <c r="Q656" s="14">
        <f>Greenleaf[[#This Row],[Quantity Sold]]*Greenleaf[[#This Row],[Unit Price]]</f>
        <v>320</v>
      </c>
    </row>
    <row r="657" spans="1:17" x14ac:dyDescent="0.25">
      <c r="A657" t="s">
        <v>2083</v>
      </c>
      <c r="B657" s="5">
        <v>45526</v>
      </c>
      <c r="C657" s="5" t="str">
        <f>TEXT(Greenleaf[[#This Row],[Order Date]],"MMM")</f>
        <v>Aug</v>
      </c>
      <c r="D657" s="5" t="str">
        <f>TEXT(Greenleaf[[#This Row],[Order Date]],"YYYY")</f>
        <v>2024</v>
      </c>
      <c r="E657" t="s">
        <v>2463</v>
      </c>
      <c r="F657" s="7" t="s">
        <v>1014</v>
      </c>
      <c r="G657" s="9">
        <v>6</v>
      </c>
      <c r="H657" s="11">
        <v>15</v>
      </c>
      <c r="I657" s="13">
        <v>3.14</v>
      </c>
      <c r="J657" t="s">
        <v>1027</v>
      </c>
      <c r="K657" t="s">
        <v>2561</v>
      </c>
      <c r="L657" s="7" t="s">
        <v>1415</v>
      </c>
      <c r="M657" s="7" t="s">
        <v>1421</v>
      </c>
      <c r="N657" s="14">
        <f>Greenleaf[[#This Row],[Unit Price]]*Greenleaf[[#This Row],[Quantity Sold]]</f>
        <v>90</v>
      </c>
      <c r="O657" s="13">
        <f>Greenleaf[[#This Row],[Unit Cost]]*Greenleaf[[#This Row],[Quantity Sold]]</f>
        <v>18.84</v>
      </c>
      <c r="P657" s="13">
        <f>Greenleaf[[#This Row],[ Unit  price per quantity]]-Greenleaf[[#This Row],[ Unit cost per quantity]]</f>
        <v>71.16</v>
      </c>
      <c r="Q657" s="14">
        <f>Greenleaf[[#This Row],[Quantity Sold]]*Greenleaf[[#This Row],[Unit Price]]</f>
        <v>90</v>
      </c>
    </row>
    <row r="658" spans="1:17" x14ac:dyDescent="0.25">
      <c r="A658" t="s">
        <v>2084</v>
      </c>
      <c r="B658" s="5">
        <v>45526</v>
      </c>
      <c r="C658" s="5" t="str">
        <f>TEXT(Greenleaf[[#This Row],[Order Date]],"MMM")</f>
        <v>Aug</v>
      </c>
      <c r="D658" s="5" t="str">
        <f>TEXT(Greenleaf[[#This Row],[Order Date]],"YYYY")</f>
        <v>2024</v>
      </c>
      <c r="E658" t="s">
        <v>2460</v>
      </c>
      <c r="F658" s="7" t="s">
        <v>1015</v>
      </c>
      <c r="G658" s="9">
        <v>2</v>
      </c>
      <c r="H658" s="11">
        <v>10</v>
      </c>
      <c r="I658" s="13">
        <v>3.83</v>
      </c>
      <c r="J658" t="s">
        <v>1026</v>
      </c>
      <c r="K658" t="s">
        <v>2486</v>
      </c>
      <c r="L658" s="7" t="s">
        <v>1414</v>
      </c>
      <c r="M658" s="7" t="s">
        <v>1423</v>
      </c>
      <c r="N658" s="14">
        <f>Greenleaf[[#This Row],[Unit Price]]*Greenleaf[[#This Row],[Quantity Sold]]</f>
        <v>20</v>
      </c>
      <c r="O658" s="13">
        <f>Greenleaf[[#This Row],[Unit Cost]]*Greenleaf[[#This Row],[Quantity Sold]]</f>
        <v>7.66</v>
      </c>
      <c r="P658" s="13">
        <f>Greenleaf[[#This Row],[ Unit  price per quantity]]-Greenleaf[[#This Row],[ Unit cost per quantity]]</f>
        <v>12.34</v>
      </c>
      <c r="Q658" s="14">
        <f>Greenleaf[[#This Row],[Quantity Sold]]*Greenleaf[[#This Row],[Unit Price]]</f>
        <v>20</v>
      </c>
    </row>
    <row r="659" spans="1:17" x14ac:dyDescent="0.25">
      <c r="A659" t="s">
        <v>2085</v>
      </c>
      <c r="B659" s="5">
        <v>45527</v>
      </c>
      <c r="C659" s="5" t="str">
        <f>TEXT(Greenleaf[[#This Row],[Order Date]],"MMM")</f>
        <v>Aug</v>
      </c>
      <c r="D659" s="5" t="str">
        <f>TEXT(Greenleaf[[#This Row],[Order Date]],"YYYY")</f>
        <v>2024</v>
      </c>
      <c r="E659" t="s">
        <v>2464</v>
      </c>
      <c r="F659" s="7" t="s">
        <v>1012</v>
      </c>
      <c r="G659" s="9">
        <v>6</v>
      </c>
      <c r="H659" s="11">
        <v>40</v>
      </c>
      <c r="I659" s="13">
        <v>8.43</v>
      </c>
      <c r="J659" t="s">
        <v>1036</v>
      </c>
      <c r="K659" t="s">
        <v>2544</v>
      </c>
      <c r="L659" s="7" t="s">
        <v>1414</v>
      </c>
      <c r="M659" s="7" t="s">
        <v>1421</v>
      </c>
      <c r="N659" s="14">
        <f>Greenleaf[[#This Row],[Unit Price]]*Greenleaf[[#This Row],[Quantity Sold]]</f>
        <v>240</v>
      </c>
      <c r="O659" s="13">
        <f>Greenleaf[[#This Row],[Unit Cost]]*Greenleaf[[#This Row],[Quantity Sold]]</f>
        <v>50.58</v>
      </c>
      <c r="P659" s="13">
        <f>Greenleaf[[#This Row],[ Unit  price per quantity]]-Greenleaf[[#This Row],[ Unit cost per quantity]]</f>
        <v>189.42000000000002</v>
      </c>
      <c r="Q659" s="14">
        <f>Greenleaf[[#This Row],[Quantity Sold]]*Greenleaf[[#This Row],[Unit Price]]</f>
        <v>240</v>
      </c>
    </row>
    <row r="660" spans="1:17" x14ac:dyDescent="0.25">
      <c r="A660" t="s">
        <v>2086</v>
      </c>
      <c r="B660" s="5">
        <v>45527</v>
      </c>
      <c r="C660" s="5" t="str">
        <f>TEXT(Greenleaf[[#This Row],[Order Date]],"MMM")</f>
        <v>Aug</v>
      </c>
      <c r="D660" s="5" t="str">
        <f>TEXT(Greenleaf[[#This Row],[Order Date]],"YYYY")</f>
        <v>2024</v>
      </c>
      <c r="E660" t="s">
        <v>2462</v>
      </c>
      <c r="F660" s="7" t="s">
        <v>1013</v>
      </c>
      <c r="G660" s="9">
        <v>6</v>
      </c>
      <c r="H660" s="11">
        <v>25</v>
      </c>
      <c r="I660" s="13">
        <v>6.23</v>
      </c>
      <c r="J660" t="s">
        <v>1102</v>
      </c>
      <c r="K660" t="s">
        <v>2564</v>
      </c>
      <c r="L660" s="7" t="s">
        <v>1414</v>
      </c>
      <c r="M660" s="7" t="s">
        <v>1422</v>
      </c>
      <c r="N660" s="14">
        <f>Greenleaf[[#This Row],[Unit Price]]*Greenleaf[[#This Row],[Quantity Sold]]</f>
        <v>150</v>
      </c>
      <c r="O660" s="13">
        <f>Greenleaf[[#This Row],[Unit Cost]]*Greenleaf[[#This Row],[Quantity Sold]]</f>
        <v>37.380000000000003</v>
      </c>
      <c r="P660" s="13">
        <f>Greenleaf[[#This Row],[ Unit  price per quantity]]-Greenleaf[[#This Row],[ Unit cost per quantity]]</f>
        <v>112.62</v>
      </c>
      <c r="Q660" s="14">
        <f>Greenleaf[[#This Row],[Quantity Sold]]*Greenleaf[[#This Row],[Unit Price]]</f>
        <v>150</v>
      </c>
    </row>
    <row r="661" spans="1:17" x14ac:dyDescent="0.25">
      <c r="A661" t="s">
        <v>2087</v>
      </c>
      <c r="B661" s="5">
        <v>45527</v>
      </c>
      <c r="C661" s="5" t="str">
        <f>TEXT(Greenleaf[[#This Row],[Order Date]],"MMM")</f>
        <v>Aug</v>
      </c>
      <c r="D661" s="5" t="str">
        <f>TEXT(Greenleaf[[#This Row],[Order Date]],"YYYY")</f>
        <v>2024</v>
      </c>
      <c r="E661" t="s">
        <v>2461</v>
      </c>
      <c r="F661" s="7" t="s">
        <v>1011</v>
      </c>
      <c r="G661" s="9">
        <v>8</v>
      </c>
      <c r="H661" s="11">
        <v>12</v>
      </c>
      <c r="I661" s="13">
        <v>4.07</v>
      </c>
      <c r="J661" t="s">
        <v>1075</v>
      </c>
      <c r="K661" t="s">
        <v>2505</v>
      </c>
      <c r="L661" s="7" t="s">
        <v>1414</v>
      </c>
      <c r="M661" s="7" t="s">
        <v>1420</v>
      </c>
      <c r="N661" s="14">
        <f>Greenleaf[[#This Row],[Unit Price]]*Greenleaf[[#This Row],[Quantity Sold]]</f>
        <v>96</v>
      </c>
      <c r="O661" s="13">
        <f>Greenleaf[[#This Row],[Unit Cost]]*Greenleaf[[#This Row],[Quantity Sold]]</f>
        <v>32.56</v>
      </c>
      <c r="P661" s="13">
        <f>Greenleaf[[#This Row],[ Unit  price per quantity]]-Greenleaf[[#This Row],[ Unit cost per quantity]]</f>
        <v>63.44</v>
      </c>
      <c r="Q661" s="14">
        <f>Greenleaf[[#This Row],[Quantity Sold]]*Greenleaf[[#This Row],[Unit Price]]</f>
        <v>96</v>
      </c>
    </row>
    <row r="662" spans="1:17" x14ac:dyDescent="0.25">
      <c r="A662" t="s">
        <v>2088</v>
      </c>
      <c r="B662" s="5">
        <v>45527</v>
      </c>
      <c r="C662" s="5" t="str">
        <f>TEXT(Greenleaf[[#This Row],[Order Date]],"MMM")</f>
        <v>Aug</v>
      </c>
      <c r="D662" s="5" t="str">
        <f>TEXT(Greenleaf[[#This Row],[Order Date]],"YYYY")</f>
        <v>2024</v>
      </c>
      <c r="E662" t="s">
        <v>2460</v>
      </c>
      <c r="F662" s="7" t="s">
        <v>1015</v>
      </c>
      <c r="G662" s="9">
        <v>6</v>
      </c>
      <c r="H662" s="11">
        <v>10</v>
      </c>
      <c r="I662" s="13">
        <v>2.44</v>
      </c>
      <c r="J662" t="s">
        <v>1212</v>
      </c>
      <c r="K662" t="s">
        <v>2592</v>
      </c>
      <c r="L662" s="7" t="s">
        <v>1414</v>
      </c>
      <c r="M662" s="7" t="s">
        <v>1422</v>
      </c>
      <c r="N662" s="14">
        <f>Greenleaf[[#This Row],[Unit Price]]*Greenleaf[[#This Row],[Quantity Sold]]</f>
        <v>60</v>
      </c>
      <c r="O662" s="13">
        <f>Greenleaf[[#This Row],[Unit Cost]]*Greenleaf[[#This Row],[Quantity Sold]]</f>
        <v>14.64</v>
      </c>
      <c r="P662" s="13">
        <f>Greenleaf[[#This Row],[ Unit  price per quantity]]-Greenleaf[[#This Row],[ Unit cost per quantity]]</f>
        <v>45.36</v>
      </c>
      <c r="Q662" s="14">
        <f>Greenleaf[[#This Row],[Quantity Sold]]*Greenleaf[[#This Row],[Unit Price]]</f>
        <v>60</v>
      </c>
    </row>
    <row r="663" spans="1:17" x14ac:dyDescent="0.25">
      <c r="A663" t="s">
        <v>2089</v>
      </c>
      <c r="B663" s="5">
        <v>45527</v>
      </c>
      <c r="C663" s="5" t="str">
        <f>TEXT(Greenleaf[[#This Row],[Order Date]],"MMM")</f>
        <v>Aug</v>
      </c>
      <c r="D663" s="5" t="str">
        <f>TEXT(Greenleaf[[#This Row],[Order Date]],"YYYY")</f>
        <v>2024</v>
      </c>
      <c r="E663" t="s">
        <v>2462</v>
      </c>
      <c r="F663" s="7" t="s">
        <v>1013</v>
      </c>
      <c r="G663" s="9">
        <v>1</v>
      </c>
      <c r="H663" s="11">
        <v>25</v>
      </c>
      <c r="I663" s="13">
        <v>6.31</v>
      </c>
      <c r="J663" t="s">
        <v>1155</v>
      </c>
      <c r="K663" t="s">
        <v>2583</v>
      </c>
      <c r="L663" s="7" t="s">
        <v>1414</v>
      </c>
      <c r="M663" s="7" t="s">
        <v>1426</v>
      </c>
      <c r="N663" s="14">
        <f>Greenleaf[[#This Row],[Unit Price]]*Greenleaf[[#This Row],[Quantity Sold]]</f>
        <v>25</v>
      </c>
      <c r="O663" s="13">
        <f>Greenleaf[[#This Row],[Unit Cost]]*Greenleaf[[#This Row],[Quantity Sold]]</f>
        <v>6.31</v>
      </c>
      <c r="P663" s="13">
        <f>Greenleaf[[#This Row],[ Unit  price per quantity]]-Greenleaf[[#This Row],[ Unit cost per quantity]]</f>
        <v>18.690000000000001</v>
      </c>
      <c r="Q663" s="14">
        <f>Greenleaf[[#This Row],[Quantity Sold]]*Greenleaf[[#This Row],[Unit Price]]</f>
        <v>25</v>
      </c>
    </row>
    <row r="664" spans="1:17" x14ac:dyDescent="0.25">
      <c r="A664" t="s">
        <v>2090</v>
      </c>
      <c r="B664" s="5">
        <v>45528</v>
      </c>
      <c r="C664" s="5" t="str">
        <f>TEXT(Greenleaf[[#This Row],[Order Date]],"MMM")</f>
        <v>Aug</v>
      </c>
      <c r="D664" s="5" t="str">
        <f>TEXT(Greenleaf[[#This Row],[Order Date]],"YYYY")</f>
        <v>2024</v>
      </c>
      <c r="E664" t="s">
        <v>2462</v>
      </c>
      <c r="F664" s="7" t="s">
        <v>1013</v>
      </c>
      <c r="G664" s="9">
        <v>5</v>
      </c>
      <c r="H664" s="11">
        <v>25</v>
      </c>
      <c r="I664" s="13">
        <v>7.47</v>
      </c>
      <c r="J664" t="s">
        <v>1040</v>
      </c>
      <c r="K664" t="s">
        <v>2510</v>
      </c>
      <c r="L664" s="7" t="s">
        <v>1414</v>
      </c>
      <c r="M664" s="7" t="s">
        <v>1419</v>
      </c>
      <c r="N664" s="14">
        <f>Greenleaf[[#This Row],[Unit Price]]*Greenleaf[[#This Row],[Quantity Sold]]</f>
        <v>125</v>
      </c>
      <c r="O664" s="13">
        <f>Greenleaf[[#This Row],[Unit Cost]]*Greenleaf[[#This Row],[Quantity Sold]]</f>
        <v>37.35</v>
      </c>
      <c r="P664" s="13">
        <f>Greenleaf[[#This Row],[ Unit  price per quantity]]-Greenleaf[[#This Row],[ Unit cost per quantity]]</f>
        <v>87.65</v>
      </c>
      <c r="Q664" s="14">
        <f>Greenleaf[[#This Row],[Quantity Sold]]*Greenleaf[[#This Row],[Unit Price]]</f>
        <v>125</v>
      </c>
    </row>
    <row r="665" spans="1:17" x14ac:dyDescent="0.25">
      <c r="A665" t="s">
        <v>2091</v>
      </c>
      <c r="B665" s="5">
        <v>45528</v>
      </c>
      <c r="C665" s="5" t="str">
        <f>TEXT(Greenleaf[[#This Row],[Order Date]],"MMM")</f>
        <v>Aug</v>
      </c>
      <c r="D665" s="5" t="str">
        <f>TEXT(Greenleaf[[#This Row],[Order Date]],"YYYY")</f>
        <v>2024</v>
      </c>
      <c r="E665" t="s">
        <v>2463</v>
      </c>
      <c r="F665" s="7" t="s">
        <v>1014</v>
      </c>
      <c r="G665" s="9">
        <v>3</v>
      </c>
      <c r="H665" s="11">
        <v>15</v>
      </c>
      <c r="I665" s="13">
        <v>5.58</v>
      </c>
      <c r="J665" t="s">
        <v>1159</v>
      </c>
      <c r="K665" t="s">
        <v>2480</v>
      </c>
      <c r="L665" s="7" t="s">
        <v>1414</v>
      </c>
      <c r="M665" s="7" t="s">
        <v>1418</v>
      </c>
      <c r="N665" s="14">
        <f>Greenleaf[[#This Row],[Unit Price]]*Greenleaf[[#This Row],[Quantity Sold]]</f>
        <v>45</v>
      </c>
      <c r="O665" s="13">
        <f>Greenleaf[[#This Row],[Unit Cost]]*Greenleaf[[#This Row],[Quantity Sold]]</f>
        <v>16.740000000000002</v>
      </c>
      <c r="P665" s="13">
        <f>Greenleaf[[#This Row],[ Unit  price per quantity]]-Greenleaf[[#This Row],[ Unit cost per quantity]]</f>
        <v>28.259999999999998</v>
      </c>
      <c r="Q665" s="14">
        <f>Greenleaf[[#This Row],[Quantity Sold]]*Greenleaf[[#This Row],[Unit Price]]</f>
        <v>45</v>
      </c>
    </row>
    <row r="666" spans="1:17" x14ac:dyDescent="0.25">
      <c r="A666" t="s">
        <v>2092</v>
      </c>
      <c r="B666" s="5">
        <v>45528</v>
      </c>
      <c r="C666" s="5" t="str">
        <f>TEXT(Greenleaf[[#This Row],[Order Date]],"MMM")</f>
        <v>Aug</v>
      </c>
      <c r="D666" s="5" t="str">
        <f>TEXT(Greenleaf[[#This Row],[Order Date]],"YYYY")</f>
        <v>2024</v>
      </c>
      <c r="E666" t="s">
        <v>2463</v>
      </c>
      <c r="F666" s="7" t="s">
        <v>1014</v>
      </c>
      <c r="G666" s="9">
        <v>9</v>
      </c>
      <c r="H666" s="11">
        <v>15</v>
      </c>
      <c r="I666" s="13">
        <v>3.44</v>
      </c>
      <c r="J666" t="s">
        <v>1110</v>
      </c>
      <c r="K666" t="s">
        <v>2516</v>
      </c>
      <c r="L666" s="7" t="s">
        <v>1414</v>
      </c>
      <c r="M666" s="7" t="s">
        <v>1419</v>
      </c>
      <c r="N666" s="14">
        <f>Greenleaf[[#This Row],[Unit Price]]*Greenleaf[[#This Row],[Quantity Sold]]</f>
        <v>135</v>
      </c>
      <c r="O666" s="13">
        <f>Greenleaf[[#This Row],[Unit Cost]]*Greenleaf[[#This Row],[Quantity Sold]]</f>
        <v>30.96</v>
      </c>
      <c r="P666" s="13">
        <f>Greenleaf[[#This Row],[ Unit  price per quantity]]-Greenleaf[[#This Row],[ Unit cost per quantity]]</f>
        <v>104.03999999999999</v>
      </c>
      <c r="Q666" s="14">
        <f>Greenleaf[[#This Row],[Quantity Sold]]*Greenleaf[[#This Row],[Unit Price]]</f>
        <v>135</v>
      </c>
    </row>
    <row r="667" spans="1:17" x14ac:dyDescent="0.25">
      <c r="A667" t="s">
        <v>2093</v>
      </c>
      <c r="B667" s="5">
        <v>45528</v>
      </c>
      <c r="C667" s="5" t="str">
        <f>TEXT(Greenleaf[[#This Row],[Order Date]],"MMM")</f>
        <v>Aug</v>
      </c>
      <c r="D667" s="5" t="str">
        <f>TEXT(Greenleaf[[#This Row],[Order Date]],"YYYY")</f>
        <v>2024</v>
      </c>
      <c r="E667" t="s">
        <v>2462</v>
      </c>
      <c r="F667" s="7" t="s">
        <v>1013</v>
      </c>
      <c r="G667" s="9">
        <v>8</v>
      </c>
      <c r="H667" s="11">
        <v>25</v>
      </c>
      <c r="I667" s="13">
        <v>9.1300000000000008</v>
      </c>
      <c r="J667" t="s">
        <v>1157</v>
      </c>
      <c r="K667" t="s">
        <v>2491</v>
      </c>
      <c r="L667" s="7" t="s">
        <v>1416</v>
      </c>
      <c r="M667" s="7" t="s">
        <v>1422</v>
      </c>
      <c r="N667" s="14">
        <f>Greenleaf[[#This Row],[Unit Price]]*Greenleaf[[#This Row],[Quantity Sold]]</f>
        <v>200</v>
      </c>
      <c r="O667" s="13">
        <f>Greenleaf[[#This Row],[Unit Cost]]*Greenleaf[[#This Row],[Quantity Sold]]</f>
        <v>73.040000000000006</v>
      </c>
      <c r="P667" s="13">
        <f>Greenleaf[[#This Row],[ Unit  price per quantity]]-Greenleaf[[#This Row],[ Unit cost per quantity]]</f>
        <v>126.96</v>
      </c>
      <c r="Q667" s="14">
        <f>Greenleaf[[#This Row],[Quantity Sold]]*Greenleaf[[#This Row],[Unit Price]]</f>
        <v>200</v>
      </c>
    </row>
    <row r="668" spans="1:17" x14ac:dyDescent="0.25">
      <c r="A668" t="s">
        <v>2094</v>
      </c>
      <c r="B668" s="5">
        <v>45528</v>
      </c>
      <c r="C668" s="5" t="str">
        <f>TEXT(Greenleaf[[#This Row],[Order Date]],"MMM")</f>
        <v>Aug</v>
      </c>
      <c r="D668" s="5" t="str">
        <f>TEXT(Greenleaf[[#This Row],[Order Date]],"YYYY")</f>
        <v>2024</v>
      </c>
      <c r="E668" t="s">
        <v>2461</v>
      </c>
      <c r="F668" s="7" t="s">
        <v>1011</v>
      </c>
      <c r="G668" s="9">
        <v>3</v>
      </c>
      <c r="H668" s="11">
        <v>12</v>
      </c>
      <c r="I668" s="13">
        <v>2.71</v>
      </c>
      <c r="J668" t="s">
        <v>1175</v>
      </c>
      <c r="K668" t="s">
        <v>2518</v>
      </c>
      <c r="L668" s="7" t="s">
        <v>1414</v>
      </c>
      <c r="M668" s="7" t="s">
        <v>1424</v>
      </c>
      <c r="N668" s="14">
        <f>Greenleaf[[#This Row],[Unit Price]]*Greenleaf[[#This Row],[Quantity Sold]]</f>
        <v>36</v>
      </c>
      <c r="O668" s="13">
        <f>Greenleaf[[#This Row],[Unit Cost]]*Greenleaf[[#This Row],[Quantity Sold]]</f>
        <v>8.129999999999999</v>
      </c>
      <c r="P668" s="13">
        <f>Greenleaf[[#This Row],[ Unit  price per quantity]]-Greenleaf[[#This Row],[ Unit cost per quantity]]</f>
        <v>27.87</v>
      </c>
      <c r="Q668" s="14">
        <f>Greenleaf[[#This Row],[Quantity Sold]]*Greenleaf[[#This Row],[Unit Price]]</f>
        <v>36</v>
      </c>
    </row>
    <row r="669" spans="1:17" x14ac:dyDescent="0.25">
      <c r="A669" t="s">
        <v>2095</v>
      </c>
      <c r="B669" s="5">
        <v>45528</v>
      </c>
      <c r="C669" s="5" t="str">
        <f>TEXT(Greenleaf[[#This Row],[Order Date]],"MMM")</f>
        <v>Aug</v>
      </c>
      <c r="D669" s="5" t="str">
        <f>TEXT(Greenleaf[[#This Row],[Order Date]],"YYYY")</f>
        <v>2024</v>
      </c>
      <c r="E669" t="s">
        <v>2463</v>
      </c>
      <c r="F669" s="7" t="s">
        <v>1014</v>
      </c>
      <c r="G669" s="9">
        <v>5</v>
      </c>
      <c r="H669" s="11">
        <v>15</v>
      </c>
      <c r="I669" s="13">
        <v>3.09</v>
      </c>
      <c r="J669" t="s">
        <v>1143</v>
      </c>
      <c r="K669" t="s">
        <v>2537</v>
      </c>
      <c r="L669" s="7" t="s">
        <v>1414</v>
      </c>
      <c r="M669" s="7" t="s">
        <v>1418</v>
      </c>
      <c r="N669" s="14">
        <f>Greenleaf[[#This Row],[Unit Price]]*Greenleaf[[#This Row],[Quantity Sold]]</f>
        <v>75</v>
      </c>
      <c r="O669" s="13">
        <f>Greenleaf[[#This Row],[Unit Cost]]*Greenleaf[[#This Row],[Quantity Sold]]</f>
        <v>15.45</v>
      </c>
      <c r="P669" s="13">
        <f>Greenleaf[[#This Row],[ Unit  price per quantity]]-Greenleaf[[#This Row],[ Unit cost per quantity]]</f>
        <v>59.55</v>
      </c>
      <c r="Q669" s="14">
        <f>Greenleaf[[#This Row],[Quantity Sold]]*Greenleaf[[#This Row],[Unit Price]]</f>
        <v>75</v>
      </c>
    </row>
    <row r="670" spans="1:17" x14ac:dyDescent="0.25">
      <c r="A670" t="s">
        <v>2096</v>
      </c>
      <c r="B670" s="5">
        <v>45529</v>
      </c>
      <c r="C670" s="5" t="str">
        <f>TEXT(Greenleaf[[#This Row],[Order Date]],"MMM")</f>
        <v>Aug</v>
      </c>
      <c r="D670" s="5" t="str">
        <f>TEXT(Greenleaf[[#This Row],[Order Date]],"YYYY")</f>
        <v>2024</v>
      </c>
      <c r="E670" t="s">
        <v>2460</v>
      </c>
      <c r="F670" s="7" t="s">
        <v>1015</v>
      </c>
      <c r="G670" s="9">
        <v>2</v>
      </c>
      <c r="H670" s="11">
        <v>10</v>
      </c>
      <c r="I670" s="13">
        <v>3.22</v>
      </c>
      <c r="J670" t="s">
        <v>1078</v>
      </c>
      <c r="K670" t="s">
        <v>2539</v>
      </c>
      <c r="L670" s="7" t="s">
        <v>1414</v>
      </c>
      <c r="M670" s="7" t="s">
        <v>1424</v>
      </c>
      <c r="N670" s="14">
        <f>Greenleaf[[#This Row],[Unit Price]]*Greenleaf[[#This Row],[Quantity Sold]]</f>
        <v>20</v>
      </c>
      <c r="O670" s="13">
        <f>Greenleaf[[#This Row],[Unit Cost]]*Greenleaf[[#This Row],[Quantity Sold]]</f>
        <v>6.44</v>
      </c>
      <c r="P670" s="13">
        <f>Greenleaf[[#This Row],[ Unit  price per quantity]]-Greenleaf[[#This Row],[ Unit cost per quantity]]</f>
        <v>13.559999999999999</v>
      </c>
      <c r="Q670" s="14">
        <f>Greenleaf[[#This Row],[Quantity Sold]]*Greenleaf[[#This Row],[Unit Price]]</f>
        <v>20</v>
      </c>
    </row>
    <row r="671" spans="1:17" x14ac:dyDescent="0.25">
      <c r="A671" t="s">
        <v>2097</v>
      </c>
      <c r="B671" s="5">
        <v>45529</v>
      </c>
      <c r="C671" s="5" t="str">
        <f>TEXT(Greenleaf[[#This Row],[Order Date]],"MMM")</f>
        <v>Aug</v>
      </c>
      <c r="D671" s="5" t="str">
        <f>TEXT(Greenleaf[[#This Row],[Order Date]],"YYYY")</f>
        <v>2024</v>
      </c>
      <c r="E671" t="s">
        <v>2461</v>
      </c>
      <c r="F671" s="7" t="s">
        <v>1011</v>
      </c>
      <c r="G671" s="9">
        <v>1</v>
      </c>
      <c r="H671" s="11">
        <v>12</v>
      </c>
      <c r="I671" s="13">
        <v>2.5099999999999998</v>
      </c>
      <c r="J671" t="s">
        <v>1057</v>
      </c>
      <c r="K671" t="s">
        <v>2528</v>
      </c>
      <c r="L671" s="7" t="s">
        <v>1414</v>
      </c>
      <c r="M671" s="7" t="s">
        <v>1427</v>
      </c>
      <c r="N671" s="14">
        <f>Greenleaf[[#This Row],[Unit Price]]*Greenleaf[[#This Row],[Quantity Sold]]</f>
        <v>12</v>
      </c>
      <c r="O671" s="13">
        <f>Greenleaf[[#This Row],[Unit Cost]]*Greenleaf[[#This Row],[Quantity Sold]]</f>
        <v>2.5099999999999998</v>
      </c>
      <c r="P671" s="13">
        <f>Greenleaf[[#This Row],[ Unit  price per quantity]]-Greenleaf[[#This Row],[ Unit cost per quantity]]</f>
        <v>9.49</v>
      </c>
      <c r="Q671" s="14">
        <f>Greenleaf[[#This Row],[Quantity Sold]]*Greenleaf[[#This Row],[Unit Price]]</f>
        <v>12</v>
      </c>
    </row>
    <row r="672" spans="1:17" x14ac:dyDescent="0.25">
      <c r="A672" t="s">
        <v>2098</v>
      </c>
      <c r="B672" s="5">
        <v>45529</v>
      </c>
      <c r="C672" s="5" t="str">
        <f>TEXT(Greenleaf[[#This Row],[Order Date]],"MMM")</f>
        <v>Aug</v>
      </c>
      <c r="D672" s="5" t="str">
        <f>TEXT(Greenleaf[[#This Row],[Order Date]],"YYYY")</f>
        <v>2024</v>
      </c>
      <c r="E672" t="s">
        <v>2463</v>
      </c>
      <c r="F672" s="7" t="s">
        <v>1014</v>
      </c>
      <c r="G672" s="9">
        <v>2</v>
      </c>
      <c r="H672" s="11">
        <v>15</v>
      </c>
      <c r="I672" s="13">
        <v>3.49</v>
      </c>
      <c r="J672" t="s">
        <v>1126</v>
      </c>
      <c r="K672" t="s">
        <v>2499</v>
      </c>
      <c r="L672" s="7" t="s">
        <v>1414</v>
      </c>
      <c r="M672" s="7" t="s">
        <v>1419</v>
      </c>
      <c r="N672" s="14">
        <f>Greenleaf[[#This Row],[Unit Price]]*Greenleaf[[#This Row],[Quantity Sold]]</f>
        <v>30</v>
      </c>
      <c r="O672" s="13">
        <f>Greenleaf[[#This Row],[Unit Cost]]*Greenleaf[[#This Row],[Quantity Sold]]</f>
        <v>6.98</v>
      </c>
      <c r="P672" s="13">
        <f>Greenleaf[[#This Row],[ Unit  price per quantity]]-Greenleaf[[#This Row],[ Unit cost per quantity]]</f>
        <v>23.02</v>
      </c>
      <c r="Q672" s="14">
        <f>Greenleaf[[#This Row],[Quantity Sold]]*Greenleaf[[#This Row],[Unit Price]]</f>
        <v>30</v>
      </c>
    </row>
    <row r="673" spans="1:17" x14ac:dyDescent="0.25">
      <c r="A673" t="s">
        <v>2099</v>
      </c>
      <c r="B673" s="5">
        <v>45529</v>
      </c>
      <c r="C673" s="5" t="str">
        <f>TEXT(Greenleaf[[#This Row],[Order Date]],"MMM")</f>
        <v>Aug</v>
      </c>
      <c r="D673" s="5" t="str">
        <f>TEXT(Greenleaf[[#This Row],[Order Date]],"YYYY")</f>
        <v>2024</v>
      </c>
      <c r="E673" t="s">
        <v>2463</v>
      </c>
      <c r="F673" s="7" t="s">
        <v>1014</v>
      </c>
      <c r="G673" s="9">
        <v>8</v>
      </c>
      <c r="H673" s="11">
        <v>15</v>
      </c>
      <c r="I673" s="13">
        <v>5.72</v>
      </c>
      <c r="J673" t="s">
        <v>1126</v>
      </c>
      <c r="K673" t="s">
        <v>2499</v>
      </c>
      <c r="L673" s="7" t="s">
        <v>1414</v>
      </c>
      <c r="M673" s="7" t="s">
        <v>1427</v>
      </c>
      <c r="N673" s="14">
        <f>Greenleaf[[#This Row],[Unit Price]]*Greenleaf[[#This Row],[Quantity Sold]]</f>
        <v>120</v>
      </c>
      <c r="O673" s="13">
        <f>Greenleaf[[#This Row],[Unit Cost]]*Greenleaf[[#This Row],[Quantity Sold]]</f>
        <v>45.76</v>
      </c>
      <c r="P673" s="13">
        <f>Greenleaf[[#This Row],[ Unit  price per quantity]]-Greenleaf[[#This Row],[ Unit cost per quantity]]</f>
        <v>74.240000000000009</v>
      </c>
      <c r="Q673" s="14">
        <f>Greenleaf[[#This Row],[Quantity Sold]]*Greenleaf[[#This Row],[Unit Price]]</f>
        <v>120</v>
      </c>
    </row>
    <row r="674" spans="1:17" x14ac:dyDescent="0.25">
      <c r="A674" t="s">
        <v>2100</v>
      </c>
      <c r="B674" s="5">
        <v>45530</v>
      </c>
      <c r="C674" s="5" t="str">
        <f>TEXT(Greenleaf[[#This Row],[Order Date]],"MMM")</f>
        <v>Aug</v>
      </c>
      <c r="D674" s="5" t="str">
        <f>TEXT(Greenleaf[[#This Row],[Order Date]],"YYYY")</f>
        <v>2024</v>
      </c>
      <c r="E674" t="s">
        <v>2464</v>
      </c>
      <c r="F674" s="7" t="s">
        <v>1012</v>
      </c>
      <c r="G674" s="9">
        <v>4</v>
      </c>
      <c r="H674" s="11">
        <v>40</v>
      </c>
      <c r="I674" s="13">
        <v>15.33</v>
      </c>
      <c r="J674" t="s">
        <v>1186</v>
      </c>
      <c r="K674" t="s">
        <v>2477</v>
      </c>
      <c r="L674" s="7" t="s">
        <v>1416</v>
      </c>
      <c r="M674" s="7" t="s">
        <v>1426</v>
      </c>
      <c r="N674" s="14">
        <f>Greenleaf[[#This Row],[Unit Price]]*Greenleaf[[#This Row],[Quantity Sold]]</f>
        <v>160</v>
      </c>
      <c r="O674" s="13">
        <f>Greenleaf[[#This Row],[Unit Cost]]*Greenleaf[[#This Row],[Quantity Sold]]</f>
        <v>61.32</v>
      </c>
      <c r="P674" s="13">
        <f>Greenleaf[[#This Row],[ Unit  price per quantity]]-Greenleaf[[#This Row],[ Unit cost per quantity]]</f>
        <v>98.68</v>
      </c>
      <c r="Q674" s="14">
        <f>Greenleaf[[#This Row],[Quantity Sold]]*Greenleaf[[#This Row],[Unit Price]]</f>
        <v>160</v>
      </c>
    </row>
    <row r="675" spans="1:17" x14ac:dyDescent="0.25">
      <c r="A675" t="s">
        <v>2101</v>
      </c>
      <c r="B675" s="5">
        <v>45531</v>
      </c>
      <c r="C675" s="5" t="str">
        <f>TEXT(Greenleaf[[#This Row],[Order Date]],"MMM")</f>
        <v>Aug</v>
      </c>
      <c r="D675" s="5" t="str">
        <f>TEXT(Greenleaf[[#This Row],[Order Date]],"YYYY")</f>
        <v>2024</v>
      </c>
      <c r="E675" t="s">
        <v>2464</v>
      </c>
      <c r="F675" s="7" t="s">
        <v>1012</v>
      </c>
      <c r="G675" s="9">
        <v>4</v>
      </c>
      <c r="H675" s="11">
        <v>40</v>
      </c>
      <c r="I675" s="13">
        <v>11.38</v>
      </c>
      <c r="J675" t="s">
        <v>1139</v>
      </c>
      <c r="K675" t="s">
        <v>2479</v>
      </c>
      <c r="L675" s="7" t="s">
        <v>1416</v>
      </c>
      <c r="M675" s="7" t="s">
        <v>1420</v>
      </c>
      <c r="N675" s="14">
        <f>Greenleaf[[#This Row],[Unit Price]]*Greenleaf[[#This Row],[Quantity Sold]]</f>
        <v>160</v>
      </c>
      <c r="O675" s="13">
        <f>Greenleaf[[#This Row],[Unit Cost]]*Greenleaf[[#This Row],[Quantity Sold]]</f>
        <v>45.52</v>
      </c>
      <c r="P675" s="13">
        <f>Greenleaf[[#This Row],[ Unit  price per quantity]]-Greenleaf[[#This Row],[ Unit cost per quantity]]</f>
        <v>114.47999999999999</v>
      </c>
      <c r="Q675" s="14">
        <f>Greenleaf[[#This Row],[Quantity Sold]]*Greenleaf[[#This Row],[Unit Price]]</f>
        <v>160</v>
      </c>
    </row>
    <row r="676" spans="1:17" x14ac:dyDescent="0.25">
      <c r="A676" t="s">
        <v>2102</v>
      </c>
      <c r="B676" s="5">
        <v>45532</v>
      </c>
      <c r="C676" s="5" t="str">
        <f>TEXT(Greenleaf[[#This Row],[Order Date]],"MMM")</f>
        <v>Aug</v>
      </c>
      <c r="D676" s="5" t="str">
        <f>TEXT(Greenleaf[[#This Row],[Order Date]],"YYYY")</f>
        <v>2024</v>
      </c>
      <c r="E676" t="s">
        <v>2462</v>
      </c>
      <c r="F676" s="7" t="s">
        <v>1013</v>
      </c>
      <c r="G676" s="9">
        <v>10</v>
      </c>
      <c r="H676" s="11">
        <v>25</v>
      </c>
      <c r="I676" s="13">
        <v>6.25</v>
      </c>
      <c r="J676" t="s">
        <v>1155</v>
      </c>
      <c r="K676" t="s">
        <v>2583</v>
      </c>
      <c r="L676" s="7" t="s">
        <v>1414</v>
      </c>
      <c r="M676" s="7" t="s">
        <v>1425</v>
      </c>
      <c r="N676" s="14">
        <f>Greenleaf[[#This Row],[Unit Price]]*Greenleaf[[#This Row],[Quantity Sold]]</f>
        <v>250</v>
      </c>
      <c r="O676" s="13">
        <f>Greenleaf[[#This Row],[Unit Cost]]*Greenleaf[[#This Row],[Quantity Sold]]</f>
        <v>62.5</v>
      </c>
      <c r="P676" s="13">
        <f>Greenleaf[[#This Row],[ Unit  price per quantity]]-Greenleaf[[#This Row],[ Unit cost per quantity]]</f>
        <v>187.5</v>
      </c>
      <c r="Q676" s="14">
        <f>Greenleaf[[#This Row],[Quantity Sold]]*Greenleaf[[#This Row],[Unit Price]]</f>
        <v>250</v>
      </c>
    </row>
    <row r="677" spans="1:17" x14ac:dyDescent="0.25">
      <c r="A677" t="s">
        <v>2103</v>
      </c>
      <c r="B677" s="5">
        <v>45532</v>
      </c>
      <c r="C677" s="5" t="str">
        <f>TEXT(Greenleaf[[#This Row],[Order Date]],"MMM")</f>
        <v>Aug</v>
      </c>
      <c r="D677" s="5" t="str">
        <f>TEXT(Greenleaf[[#This Row],[Order Date]],"YYYY")</f>
        <v>2024</v>
      </c>
      <c r="E677" t="s">
        <v>2464</v>
      </c>
      <c r="F677" s="7" t="s">
        <v>1012</v>
      </c>
      <c r="G677" s="9">
        <v>5</v>
      </c>
      <c r="H677" s="11">
        <v>40</v>
      </c>
      <c r="I677" s="13">
        <v>8.4600000000000009</v>
      </c>
      <c r="J677" t="s">
        <v>1081</v>
      </c>
      <c r="K677" t="s">
        <v>2541</v>
      </c>
      <c r="L677" s="7" t="s">
        <v>1416</v>
      </c>
      <c r="M677" s="7" t="s">
        <v>1419</v>
      </c>
      <c r="N677" s="14">
        <f>Greenleaf[[#This Row],[Unit Price]]*Greenleaf[[#This Row],[Quantity Sold]]</f>
        <v>200</v>
      </c>
      <c r="O677" s="13">
        <f>Greenleaf[[#This Row],[Unit Cost]]*Greenleaf[[#This Row],[Quantity Sold]]</f>
        <v>42.300000000000004</v>
      </c>
      <c r="P677" s="13">
        <f>Greenleaf[[#This Row],[ Unit  price per quantity]]-Greenleaf[[#This Row],[ Unit cost per quantity]]</f>
        <v>157.69999999999999</v>
      </c>
      <c r="Q677" s="14">
        <f>Greenleaf[[#This Row],[Quantity Sold]]*Greenleaf[[#This Row],[Unit Price]]</f>
        <v>200</v>
      </c>
    </row>
    <row r="678" spans="1:17" x14ac:dyDescent="0.25">
      <c r="A678" t="s">
        <v>2104</v>
      </c>
      <c r="B678" s="5">
        <v>45532</v>
      </c>
      <c r="C678" s="5" t="str">
        <f>TEXT(Greenleaf[[#This Row],[Order Date]],"MMM")</f>
        <v>Aug</v>
      </c>
      <c r="D678" s="5" t="str">
        <f>TEXT(Greenleaf[[#This Row],[Order Date]],"YYYY")</f>
        <v>2024</v>
      </c>
      <c r="E678" t="s">
        <v>2463</v>
      </c>
      <c r="F678" s="7" t="s">
        <v>1014</v>
      </c>
      <c r="G678" s="9">
        <v>2</v>
      </c>
      <c r="H678" s="11">
        <v>15</v>
      </c>
      <c r="I678" s="13">
        <v>5.69</v>
      </c>
      <c r="J678" t="s">
        <v>1140</v>
      </c>
      <c r="K678" t="s">
        <v>2545</v>
      </c>
      <c r="L678" s="7" t="s">
        <v>1414</v>
      </c>
      <c r="M678" s="7" t="s">
        <v>1419</v>
      </c>
      <c r="N678" s="14">
        <f>Greenleaf[[#This Row],[Unit Price]]*Greenleaf[[#This Row],[Quantity Sold]]</f>
        <v>30</v>
      </c>
      <c r="O678" s="13">
        <f>Greenleaf[[#This Row],[Unit Cost]]*Greenleaf[[#This Row],[Quantity Sold]]</f>
        <v>11.38</v>
      </c>
      <c r="P678" s="13">
        <f>Greenleaf[[#This Row],[ Unit  price per quantity]]-Greenleaf[[#This Row],[ Unit cost per quantity]]</f>
        <v>18.619999999999997</v>
      </c>
      <c r="Q678" s="14">
        <f>Greenleaf[[#This Row],[Quantity Sold]]*Greenleaf[[#This Row],[Unit Price]]</f>
        <v>30</v>
      </c>
    </row>
    <row r="679" spans="1:17" x14ac:dyDescent="0.25">
      <c r="A679" t="s">
        <v>2105</v>
      </c>
      <c r="B679" s="5">
        <v>45532</v>
      </c>
      <c r="C679" s="5" t="str">
        <f>TEXT(Greenleaf[[#This Row],[Order Date]],"MMM")</f>
        <v>Aug</v>
      </c>
      <c r="D679" s="5" t="str">
        <f>TEXT(Greenleaf[[#This Row],[Order Date]],"YYYY")</f>
        <v>2024</v>
      </c>
      <c r="E679" t="s">
        <v>2462</v>
      </c>
      <c r="F679" s="7" t="s">
        <v>1013</v>
      </c>
      <c r="G679" s="9">
        <v>7</v>
      </c>
      <c r="H679" s="11">
        <v>25</v>
      </c>
      <c r="I679" s="13">
        <v>9</v>
      </c>
      <c r="J679" t="s">
        <v>1185</v>
      </c>
      <c r="K679" t="s">
        <v>2489</v>
      </c>
      <c r="L679" s="7" t="s">
        <v>1417</v>
      </c>
      <c r="M679" s="7" t="s">
        <v>1418</v>
      </c>
      <c r="N679" s="14">
        <f>Greenleaf[[#This Row],[Unit Price]]*Greenleaf[[#This Row],[Quantity Sold]]</f>
        <v>175</v>
      </c>
      <c r="O679" s="13">
        <f>Greenleaf[[#This Row],[Unit Cost]]*Greenleaf[[#This Row],[Quantity Sold]]</f>
        <v>63</v>
      </c>
      <c r="P679" s="13">
        <f>Greenleaf[[#This Row],[ Unit  price per quantity]]-Greenleaf[[#This Row],[ Unit cost per quantity]]</f>
        <v>112</v>
      </c>
      <c r="Q679" s="14">
        <f>Greenleaf[[#This Row],[Quantity Sold]]*Greenleaf[[#This Row],[Unit Price]]</f>
        <v>175</v>
      </c>
    </row>
    <row r="680" spans="1:17" x14ac:dyDescent="0.25">
      <c r="A680" t="s">
        <v>2106</v>
      </c>
      <c r="B680" s="5">
        <v>45532</v>
      </c>
      <c r="C680" s="5" t="str">
        <f>TEXT(Greenleaf[[#This Row],[Order Date]],"MMM")</f>
        <v>Aug</v>
      </c>
      <c r="D680" s="5" t="str">
        <f>TEXT(Greenleaf[[#This Row],[Order Date]],"YYYY")</f>
        <v>2024</v>
      </c>
      <c r="E680" t="s">
        <v>2464</v>
      </c>
      <c r="F680" s="7" t="s">
        <v>1012</v>
      </c>
      <c r="G680" s="9">
        <v>3</v>
      </c>
      <c r="H680" s="11">
        <v>40</v>
      </c>
      <c r="I680" s="13">
        <v>10.23</v>
      </c>
      <c r="J680" t="s">
        <v>1042</v>
      </c>
      <c r="K680" t="s">
        <v>2544</v>
      </c>
      <c r="L680" s="7" t="s">
        <v>1416</v>
      </c>
      <c r="M680" s="7" t="s">
        <v>1425</v>
      </c>
      <c r="N680" s="14">
        <f>Greenleaf[[#This Row],[Unit Price]]*Greenleaf[[#This Row],[Quantity Sold]]</f>
        <v>120</v>
      </c>
      <c r="O680" s="13">
        <f>Greenleaf[[#This Row],[Unit Cost]]*Greenleaf[[#This Row],[Quantity Sold]]</f>
        <v>30.69</v>
      </c>
      <c r="P680" s="13">
        <f>Greenleaf[[#This Row],[ Unit  price per quantity]]-Greenleaf[[#This Row],[ Unit cost per quantity]]</f>
        <v>89.31</v>
      </c>
      <c r="Q680" s="14">
        <f>Greenleaf[[#This Row],[Quantity Sold]]*Greenleaf[[#This Row],[Unit Price]]</f>
        <v>120</v>
      </c>
    </row>
    <row r="681" spans="1:17" x14ac:dyDescent="0.25">
      <c r="A681" t="s">
        <v>2107</v>
      </c>
      <c r="B681" s="5">
        <v>45533</v>
      </c>
      <c r="C681" s="5" t="str">
        <f>TEXT(Greenleaf[[#This Row],[Order Date]],"MMM")</f>
        <v>Aug</v>
      </c>
      <c r="D681" s="5" t="str">
        <f>TEXT(Greenleaf[[#This Row],[Order Date]],"YYYY")</f>
        <v>2024</v>
      </c>
      <c r="E681" t="s">
        <v>2463</v>
      </c>
      <c r="F681" s="7" t="s">
        <v>1014</v>
      </c>
      <c r="G681" s="9">
        <v>9</v>
      </c>
      <c r="H681" s="11">
        <v>15</v>
      </c>
      <c r="I681" s="13">
        <v>4.82</v>
      </c>
      <c r="J681" t="s">
        <v>1113</v>
      </c>
      <c r="K681" t="s">
        <v>2540</v>
      </c>
      <c r="L681" s="7" t="s">
        <v>1416</v>
      </c>
      <c r="M681" s="7" t="s">
        <v>1423</v>
      </c>
      <c r="N681" s="14">
        <f>Greenleaf[[#This Row],[Unit Price]]*Greenleaf[[#This Row],[Quantity Sold]]</f>
        <v>135</v>
      </c>
      <c r="O681" s="13">
        <f>Greenleaf[[#This Row],[Unit Cost]]*Greenleaf[[#This Row],[Quantity Sold]]</f>
        <v>43.38</v>
      </c>
      <c r="P681" s="13">
        <f>Greenleaf[[#This Row],[ Unit  price per quantity]]-Greenleaf[[#This Row],[ Unit cost per quantity]]</f>
        <v>91.62</v>
      </c>
      <c r="Q681" s="14">
        <f>Greenleaf[[#This Row],[Quantity Sold]]*Greenleaf[[#This Row],[Unit Price]]</f>
        <v>135</v>
      </c>
    </row>
    <row r="682" spans="1:17" x14ac:dyDescent="0.25">
      <c r="A682" t="s">
        <v>2108</v>
      </c>
      <c r="B682" s="5">
        <v>45534</v>
      </c>
      <c r="C682" s="5" t="str">
        <f>TEXT(Greenleaf[[#This Row],[Order Date]],"MMM")</f>
        <v>Aug</v>
      </c>
      <c r="D682" s="5" t="str">
        <f>TEXT(Greenleaf[[#This Row],[Order Date]],"YYYY")</f>
        <v>2024</v>
      </c>
      <c r="E682" t="s">
        <v>2460</v>
      </c>
      <c r="F682" s="7" t="s">
        <v>1015</v>
      </c>
      <c r="G682" s="9">
        <v>2</v>
      </c>
      <c r="H682" s="11">
        <v>10</v>
      </c>
      <c r="I682" s="13">
        <v>2.09</v>
      </c>
      <c r="J682" t="s">
        <v>1038</v>
      </c>
      <c r="K682" t="s">
        <v>2572</v>
      </c>
      <c r="L682" s="7" t="s">
        <v>1414</v>
      </c>
      <c r="M682" s="7" t="s">
        <v>1424</v>
      </c>
      <c r="N682" s="14">
        <f>Greenleaf[[#This Row],[Unit Price]]*Greenleaf[[#This Row],[Quantity Sold]]</f>
        <v>20</v>
      </c>
      <c r="O682" s="13">
        <f>Greenleaf[[#This Row],[Unit Cost]]*Greenleaf[[#This Row],[Quantity Sold]]</f>
        <v>4.18</v>
      </c>
      <c r="P682" s="13">
        <f>Greenleaf[[#This Row],[ Unit  price per quantity]]-Greenleaf[[#This Row],[ Unit cost per quantity]]</f>
        <v>15.82</v>
      </c>
      <c r="Q682" s="14">
        <f>Greenleaf[[#This Row],[Quantity Sold]]*Greenleaf[[#This Row],[Unit Price]]</f>
        <v>20</v>
      </c>
    </row>
    <row r="683" spans="1:17" x14ac:dyDescent="0.25">
      <c r="A683" t="s">
        <v>2109</v>
      </c>
      <c r="B683" s="5">
        <v>45534</v>
      </c>
      <c r="C683" s="5" t="str">
        <f>TEXT(Greenleaf[[#This Row],[Order Date]],"MMM")</f>
        <v>Aug</v>
      </c>
      <c r="D683" s="5" t="str">
        <f>TEXT(Greenleaf[[#This Row],[Order Date]],"YYYY")</f>
        <v>2024</v>
      </c>
      <c r="E683" t="s">
        <v>2460</v>
      </c>
      <c r="F683" s="7" t="s">
        <v>1015</v>
      </c>
      <c r="G683" s="9">
        <v>4</v>
      </c>
      <c r="H683" s="11">
        <v>10</v>
      </c>
      <c r="I683" s="13">
        <v>3.56</v>
      </c>
      <c r="J683" t="s">
        <v>1071</v>
      </c>
      <c r="K683" t="s">
        <v>2497</v>
      </c>
      <c r="L683" s="7" t="s">
        <v>1414</v>
      </c>
      <c r="M683" s="7" t="s">
        <v>1426</v>
      </c>
      <c r="N683" s="14">
        <f>Greenleaf[[#This Row],[Unit Price]]*Greenleaf[[#This Row],[Quantity Sold]]</f>
        <v>40</v>
      </c>
      <c r="O683" s="13">
        <f>Greenleaf[[#This Row],[Unit Cost]]*Greenleaf[[#This Row],[Quantity Sold]]</f>
        <v>14.24</v>
      </c>
      <c r="P683" s="13">
        <f>Greenleaf[[#This Row],[ Unit  price per quantity]]-Greenleaf[[#This Row],[ Unit cost per quantity]]</f>
        <v>25.759999999999998</v>
      </c>
      <c r="Q683" s="14">
        <f>Greenleaf[[#This Row],[Quantity Sold]]*Greenleaf[[#This Row],[Unit Price]]</f>
        <v>40</v>
      </c>
    </row>
    <row r="684" spans="1:17" x14ac:dyDescent="0.25">
      <c r="A684" t="s">
        <v>2110</v>
      </c>
      <c r="B684" s="5">
        <v>45535</v>
      </c>
      <c r="C684" s="5" t="str">
        <f>TEXT(Greenleaf[[#This Row],[Order Date]],"MMM")</f>
        <v>Aug</v>
      </c>
      <c r="D684" s="5" t="str">
        <f>TEXT(Greenleaf[[#This Row],[Order Date]],"YYYY")</f>
        <v>2024</v>
      </c>
      <c r="E684" t="s">
        <v>2460</v>
      </c>
      <c r="F684" s="7" t="s">
        <v>1015</v>
      </c>
      <c r="G684" s="9">
        <v>3</v>
      </c>
      <c r="H684" s="11">
        <v>10</v>
      </c>
      <c r="I684" s="13">
        <v>3.83</v>
      </c>
      <c r="J684" t="s">
        <v>1053</v>
      </c>
      <c r="K684" t="s">
        <v>2558</v>
      </c>
      <c r="L684" s="7" t="s">
        <v>1414</v>
      </c>
      <c r="M684" s="7" t="s">
        <v>1420</v>
      </c>
      <c r="N684" s="14">
        <f>Greenleaf[[#This Row],[Unit Price]]*Greenleaf[[#This Row],[Quantity Sold]]</f>
        <v>30</v>
      </c>
      <c r="O684" s="13">
        <f>Greenleaf[[#This Row],[Unit Cost]]*Greenleaf[[#This Row],[Quantity Sold]]</f>
        <v>11.49</v>
      </c>
      <c r="P684" s="13">
        <f>Greenleaf[[#This Row],[ Unit  price per quantity]]-Greenleaf[[#This Row],[ Unit cost per quantity]]</f>
        <v>18.509999999999998</v>
      </c>
      <c r="Q684" s="14">
        <f>Greenleaf[[#This Row],[Quantity Sold]]*Greenleaf[[#This Row],[Unit Price]]</f>
        <v>30</v>
      </c>
    </row>
    <row r="685" spans="1:17" x14ac:dyDescent="0.25">
      <c r="A685" t="s">
        <v>2111</v>
      </c>
      <c r="B685" s="5">
        <v>45535</v>
      </c>
      <c r="C685" s="5" t="str">
        <f>TEXT(Greenleaf[[#This Row],[Order Date]],"MMM")</f>
        <v>Aug</v>
      </c>
      <c r="D685" s="5" t="str">
        <f>TEXT(Greenleaf[[#This Row],[Order Date]],"YYYY")</f>
        <v>2024</v>
      </c>
      <c r="E685" t="s">
        <v>2462</v>
      </c>
      <c r="F685" s="7" t="s">
        <v>1013</v>
      </c>
      <c r="G685" s="9">
        <v>5</v>
      </c>
      <c r="H685" s="11">
        <v>25</v>
      </c>
      <c r="I685" s="13">
        <v>7.66</v>
      </c>
      <c r="J685" t="s">
        <v>1021</v>
      </c>
      <c r="K685" t="s">
        <v>2473</v>
      </c>
      <c r="L685" s="7" t="s">
        <v>1416</v>
      </c>
      <c r="M685" s="7" t="s">
        <v>1418</v>
      </c>
      <c r="N685" s="14">
        <f>Greenleaf[[#This Row],[Unit Price]]*Greenleaf[[#This Row],[Quantity Sold]]</f>
        <v>125</v>
      </c>
      <c r="O685" s="13">
        <f>Greenleaf[[#This Row],[Unit Cost]]*Greenleaf[[#This Row],[Quantity Sold]]</f>
        <v>38.299999999999997</v>
      </c>
      <c r="P685" s="13">
        <f>Greenleaf[[#This Row],[ Unit  price per quantity]]-Greenleaf[[#This Row],[ Unit cost per quantity]]</f>
        <v>86.7</v>
      </c>
      <c r="Q685" s="14">
        <f>Greenleaf[[#This Row],[Quantity Sold]]*Greenleaf[[#This Row],[Unit Price]]</f>
        <v>125</v>
      </c>
    </row>
    <row r="686" spans="1:17" x14ac:dyDescent="0.25">
      <c r="A686" t="s">
        <v>2112</v>
      </c>
      <c r="B686" s="5">
        <v>45536</v>
      </c>
      <c r="C686" s="5" t="str">
        <f>TEXT(Greenleaf[[#This Row],[Order Date]],"MMM")</f>
        <v>Sep</v>
      </c>
      <c r="D686" s="5" t="str">
        <f>TEXT(Greenleaf[[#This Row],[Order Date]],"YYYY")</f>
        <v>2024</v>
      </c>
      <c r="E686" t="s">
        <v>2464</v>
      </c>
      <c r="F686" s="7" t="s">
        <v>1012</v>
      </c>
      <c r="G686" s="9">
        <v>8</v>
      </c>
      <c r="H686" s="11">
        <v>40</v>
      </c>
      <c r="I686" s="13">
        <v>12.16</v>
      </c>
      <c r="J686" t="s">
        <v>1171</v>
      </c>
      <c r="K686" t="s">
        <v>2518</v>
      </c>
      <c r="L686" s="7" t="s">
        <v>1417</v>
      </c>
      <c r="M686" s="7" t="s">
        <v>1425</v>
      </c>
      <c r="N686" s="14">
        <f>Greenleaf[[#This Row],[Unit Price]]*Greenleaf[[#This Row],[Quantity Sold]]</f>
        <v>320</v>
      </c>
      <c r="O686" s="13">
        <f>Greenleaf[[#This Row],[Unit Cost]]*Greenleaf[[#This Row],[Quantity Sold]]</f>
        <v>97.28</v>
      </c>
      <c r="P686" s="13">
        <f>Greenleaf[[#This Row],[ Unit  price per quantity]]-Greenleaf[[#This Row],[ Unit cost per quantity]]</f>
        <v>222.72</v>
      </c>
      <c r="Q686" s="14">
        <f>Greenleaf[[#This Row],[Quantity Sold]]*Greenleaf[[#This Row],[Unit Price]]</f>
        <v>320</v>
      </c>
    </row>
    <row r="687" spans="1:17" x14ac:dyDescent="0.25">
      <c r="A687" t="s">
        <v>2113</v>
      </c>
      <c r="B687" s="5">
        <v>45537</v>
      </c>
      <c r="C687" s="5" t="str">
        <f>TEXT(Greenleaf[[#This Row],[Order Date]],"MMM")</f>
        <v>Sep</v>
      </c>
      <c r="D687" s="5" t="str">
        <f>TEXT(Greenleaf[[#This Row],[Order Date]],"YYYY")</f>
        <v>2024</v>
      </c>
      <c r="E687" t="s">
        <v>2461</v>
      </c>
      <c r="F687" s="7" t="s">
        <v>1011</v>
      </c>
      <c r="G687" s="9">
        <v>7</v>
      </c>
      <c r="H687" s="11">
        <v>12</v>
      </c>
      <c r="I687" s="13">
        <v>3.97</v>
      </c>
      <c r="J687" t="s">
        <v>1036</v>
      </c>
      <c r="K687" t="s">
        <v>2544</v>
      </c>
      <c r="L687" s="7" t="s">
        <v>1414</v>
      </c>
      <c r="M687" s="7" t="s">
        <v>1422</v>
      </c>
      <c r="N687" s="14">
        <f>Greenleaf[[#This Row],[Unit Price]]*Greenleaf[[#This Row],[Quantity Sold]]</f>
        <v>84</v>
      </c>
      <c r="O687" s="13">
        <f>Greenleaf[[#This Row],[Unit Cost]]*Greenleaf[[#This Row],[Quantity Sold]]</f>
        <v>27.790000000000003</v>
      </c>
      <c r="P687" s="13">
        <f>Greenleaf[[#This Row],[ Unit  price per quantity]]-Greenleaf[[#This Row],[ Unit cost per quantity]]</f>
        <v>56.209999999999994</v>
      </c>
      <c r="Q687" s="14">
        <f>Greenleaf[[#This Row],[Quantity Sold]]*Greenleaf[[#This Row],[Unit Price]]</f>
        <v>84</v>
      </c>
    </row>
    <row r="688" spans="1:17" x14ac:dyDescent="0.25">
      <c r="A688" t="s">
        <v>2114</v>
      </c>
      <c r="B688" s="5">
        <v>45537</v>
      </c>
      <c r="C688" s="5" t="str">
        <f>TEXT(Greenleaf[[#This Row],[Order Date]],"MMM")</f>
        <v>Sep</v>
      </c>
      <c r="D688" s="5" t="str">
        <f>TEXT(Greenleaf[[#This Row],[Order Date]],"YYYY")</f>
        <v>2024</v>
      </c>
      <c r="E688" t="s">
        <v>2462</v>
      </c>
      <c r="F688" s="7" t="s">
        <v>1013</v>
      </c>
      <c r="G688" s="9">
        <v>4</v>
      </c>
      <c r="H688" s="11">
        <v>25</v>
      </c>
      <c r="I688" s="13">
        <v>6.53</v>
      </c>
      <c r="J688" t="s">
        <v>1107</v>
      </c>
      <c r="K688" t="s">
        <v>2487</v>
      </c>
      <c r="L688" s="7" t="s">
        <v>1415</v>
      </c>
      <c r="M688" s="7" t="s">
        <v>1424</v>
      </c>
      <c r="N688" s="14">
        <f>Greenleaf[[#This Row],[Unit Price]]*Greenleaf[[#This Row],[Quantity Sold]]</f>
        <v>100</v>
      </c>
      <c r="O688" s="13">
        <f>Greenleaf[[#This Row],[Unit Cost]]*Greenleaf[[#This Row],[Quantity Sold]]</f>
        <v>26.12</v>
      </c>
      <c r="P688" s="13">
        <f>Greenleaf[[#This Row],[ Unit  price per quantity]]-Greenleaf[[#This Row],[ Unit cost per quantity]]</f>
        <v>73.88</v>
      </c>
      <c r="Q688" s="14">
        <f>Greenleaf[[#This Row],[Quantity Sold]]*Greenleaf[[#This Row],[Unit Price]]</f>
        <v>100</v>
      </c>
    </row>
    <row r="689" spans="1:17" x14ac:dyDescent="0.25">
      <c r="A689" t="s">
        <v>2115</v>
      </c>
      <c r="B689" s="5">
        <v>45537</v>
      </c>
      <c r="C689" s="5" t="str">
        <f>TEXT(Greenleaf[[#This Row],[Order Date]],"MMM")</f>
        <v>Sep</v>
      </c>
      <c r="D689" s="5" t="str">
        <f>TEXT(Greenleaf[[#This Row],[Order Date]],"YYYY")</f>
        <v>2024</v>
      </c>
      <c r="E689" t="s">
        <v>2463</v>
      </c>
      <c r="F689" s="7" t="s">
        <v>1014</v>
      </c>
      <c r="G689" s="9">
        <v>3</v>
      </c>
      <c r="H689" s="11">
        <v>15</v>
      </c>
      <c r="I689" s="13">
        <v>3.29</v>
      </c>
      <c r="J689" t="s">
        <v>1175</v>
      </c>
      <c r="K689" t="s">
        <v>2518</v>
      </c>
      <c r="L689" s="7" t="s">
        <v>1414</v>
      </c>
      <c r="M689" s="7" t="s">
        <v>1427</v>
      </c>
      <c r="N689" s="14">
        <f>Greenleaf[[#This Row],[Unit Price]]*Greenleaf[[#This Row],[Quantity Sold]]</f>
        <v>45</v>
      </c>
      <c r="O689" s="13">
        <f>Greenleaf[[#This Row],[Unit Cost]]*Greenleaf[[#This Row],[Quantity Sold]]</f>
        <v>9.870000000000001</v>
      </c>
      <c r="P689" s="13">
        <f>Greenleaf[[#This Row],[ Unit  price per quantity]]-Greenleaf[[#This Row],[ Unit cost per quantity]]</f>
        <v>35.129999999999995</v>
      </c>
      <c r="Q689" s="14">
        <f>Greenleaf[[#This Row],[Quantity Sold]]*Greenleaf[[#This Row],[Unit Price]]</f>
        <v>45</v>
      </c>
    </row>
    <row r="690" spans="1:17" x14ac:dyDescent="0.25">
      <c r="A690" t="s">
        <v>2116</v>
      </c>
      <c r="B690" s="5">
        <v>45538</v>
      </c>
      <c r="C690" s="5" t="str">
        <f>TEXT(Greenleaf[[#This Row],[Order Date]],"MMM")</f>
        <v>Sep</v>
      </c>
      <c r="D690" s="5" t="str">
        <f>TEXT(Greenleaf[[#This Row],[Order Date]],"YYYY")</f>
        <v>2024</v>
      </c>
      <c r="E690" t="s">
        <v>2461</v>
      </c>
      <c r="F690" s="7" t="s">
        <v>1011</v>
      </c>
      <c r="G690" s="9">
        <v>10</v>
      </c>
      <c r="H690" s="11">
        <v>12</v>
      </c>
      <c r="I690" s="13">
        <v>2.42</v>
      </c>
      <c r="J690" t="s">
        <v>1054</v>
      </c>
      <c r="K690" t="s">
        <v>2552</v>
      </c>
      <c r="L690" s="7" t="s">
        <v>1416</v>
      </c>
      <c r="M690" s="7" t="s">
        <v>1418</v>
      </c>
      <c r="N690" s="14">
        <f>Greenleaf[[#This Row],[Unit Price]]*Greenleaf[[#This Row],[Quantity Sold]]</f>
        <v>120</v>
      </c>
      <c r="O690" s="13">
        <f>Greenleaf[[#This Row],[Unit Cost]]*Greenleaf[[#This Row],[Quantity Sold]]</f>
        <v>24.2</v>
      </c>
      <c r="P690" s="13">
        <f>Greenleaf[[#This Row],[ Unit  price per quantity]]-Greenleaf[[#This Row],[ Unit cost per quantity]]</f>
        <v>95.8</v>
      </c>
      <c r="Q690" s="14">
        <f>Greenleaf[[#This Row],[Quantity Sold]]*Greenleaf[[#This Row],[Unit Price]]</f>
        <v>120</v>
      </c>
    </row>
    <row r="691" spans="1:17" x14ac:dyDescent="0.25">
      <c r="A691" t="s">
        <v>2117</v>
      </c>
      <c r="B691" s="5">
        <v>45538</v>
      </c>
      <c r="C691" s="5" t="str">
        <f>TEXT(Greenleaf[[#This Row],[Order Date]],"MMM")</f>
        <v>Sep</v>
      </c>
      <c r="D691" s="5" t="str">
        <f>TEXT(Greenleaf[[#This Row],[Order Date]],"YYYY")</f>
        <v>2024</v>
      </c>
      <c r="E691" t="s">
        <v>2462</v>
      </c>
      <c r="F691" s="7" t="s">
        <v>1013</v>
      </c>
      <c r="G691" s="9">
        <v>5</v>
      </c>
      <c r="H691" s="11">
        <v>25</v>
      </c>
      <c r="I691" s="13">
        <v>7.76</v>
      </c>
      <c r="J691" t="s">
        <v>1037</v>
      </c>
      <c r="K691" t="s">
        <v>2544</v>
      </c>
      <c r="L691" s="7" t="s">
        <v>1414</v>
      </c>
      <c r="M691" s="7" t="s">
        <v>1425</v>
      </c>
      <c r="N691" s="14">
        <f>Greenleaf[[#This Row],[Unit Price]]*Greenleaf[[#This Row],[Quantity Sold]]</f>
        <v>125</v>
      </c>
      <c r="O691" s="13">
        <f>Greenleaf[[#This Row],[Unit Cost]]*Greenleaf[[#This Row],[Quantity Sold]]</f>
        <v>38.799999999999997</v>
      </c>
      <c r="P691" s="13">
        <f>Greenleaf[[#This Row],[ Unit  price per quantity]]-Greenleaf[[#This Row],[ Unit cost per quantity]]</f>
        <v>86.2</v>
      </c>
      <c r="Q691" s="14">
        <f>Greenleaf[[#This Row],[Quantity Sold]]*Greenleaf[[#This Row],[Unit Price]]</f>
        <v>125</v>
      </c>
    </row>
    <row r="692" spans="1:17" x14ac:dyDescent="0.25">
      <c r="A692" t="s">
        <v>2118</v>
      </c>
      <c r="B692" s="5">
        <v>45539</v>
      </c>
      <c r="C692" s="5" t="str">
        <f>TEXT(Greenleaf[[#This Row],[Order Date]],"MMM")</f>
        <v>Sep</v>
      </c>
      <c r="D692" s="5" t="str">
        <f>TEXT(Greenleaf[[#This Row],[Order Date]],"YYYY")</f>
        <v>2024</v>
      </c>
      <c r="E692" t="s">
        <v>2460</v>
      </c>
      <c r="F692" s="7" t="s">
        <v>1015</v>
      </c>
      <c r="G692" s="9">
        <v>9</v>
      </c>
      <c r="H692" s="11">
        <v>10</v>
      </c>
      <c r="I692" s="13">
        <v>3.63</v>
      </c>
      <c r="J692" t="s">
        <v>1045</v>
      </c>
      <c r="K692" t="s">
        <v>2585</v>
      </c>
      <c r="L692" s="7" t="s">
        <v>1414</v>
      </c>
      <c r="M692" s="7" t="s">
        <v>1426</v>
      </c>
      <c r="N692" s="14">
        <f>Greenleaf[[#This Row],[Unit Price]]*Greenleaf[[#This Row],[Quantity Sold]]</f>
        <v>90</v>
      </c>
      <c r="O692" s="13">
        <f>Greenleaf[[#This Row],[Unit Cost]]*Greenleaf[[#This Row],[Quantity Sold]]</f>
        <v>32.67</v>
      </c>
      <c r="P692" s="13">
        <f>Greenleaf[[#This Row],[ Unit  price per quantity]]-Greenleaf[[#This Row],[ Unit cost per quantity]]</f>
        <v>57.33</v>
      </c>
      <c r="Q692" s="14">
        <f>Greenleaf[[#This Row],[Quantity Sold]]*Greenleaf[[#This Row],[Unit Price]]</f>
        <v>90</v>
      </c>
    </row>
    <row r="693" spans="1:17" x14ac:dyDescent="0.25">
      <c r="A693" t="s">
        <v>2119</v>
      </c>
      <c r="B693" s="5">
        <v>45539</v>
      </c>
      <c r="C693" s="5" t="str">
        <f>TEXT(Greenleaf[[#This Row],[Order Date]],"MMM")</f>
        <v>Sep</v>
      </c>
      <c r="D693" s="5" t="str">
        <f>TEXT(Greenleaf[[#This Row],[Order Date]],"YYYY")</f>
        <v>2024</v>
      </c>
      <c r="E693" t="s">
        <v>2460</v>
      </c>
      <c r="F693" s="7" t="s">
        <v>1015</v>
      </c>
      <c r="G693" s="9">
        <v>8</v>
      </c>
      <c r="H693" s="11">
        <v>10</v>
      </c>
      <c r="I693" s="13">
        <v>2.33</v>
      </c>
      <c r="J693" t="s">
        <v>1075</v>
      </c>
      <c r="K693" t="s">
        <v>2505</v>
      </c>
      <c r="L693" s="7" t="s">
        <v>1416</v>
      </c>
      <c r="M693" s="7" t="s">
        <v>1427</v>
      </c>
      <c r="N693" s="14">
        <f>Greenleaf[[#This Row],[Unit Price]]*Greenleaf[[#This Row],[Quantity Sold]]</f>
        <v>80</v>
      </c>
      <c r="O693" s="13">
        <f>Greenleaf[[#This Row],[Unit Cost]]*Greenleaf[[#This Row],[Quantity Sold]]</f>
        <v>18.64</v>
      </c>
      <c r="P693" s="13">
        <f>Greenleaf[[#This Row],[ Unit  price per quantity]]-Greenleaf[[#This Row],[ Unit cost per quantity]]</f>
        <v>61.36</v>
      </c>
      <c r="Q693" s="14">
        <f>Greenleaf[[#This Row],[Quantity Sold]]*Greenleaf[[#This Row],[Unit Price]]</f>
        <v>80</v>
      </c>
    </row>
    <row r="694" spans="1:17" x14ac:dyDescent="0.25">
      <c r="A694" t="s">
        <v>2120</v>
      </c>
      <c r="B694" s="5">
        <v>45539</v>
      </c>
      <c r="C694" s="5" t="str">
        <f>TEXT(Greenleaf[[#This Row],[Order Date]],"MMM")</f>
        <v>Sep</v>
      </c>
      <c r="D694" s="5" t="str">
        <f>TEXT(Greenleaf[[#This Row],[Order Date]],"YYYY")</f>
        <v>2024</v>
      </c>
      <c r="E694" t="s">
        <v>2463</v>
      </c>
      <c r="F694" s="7" t="s">
        <v>1014</v>
      </c>
      <c r="G694" s="9">
        <v>4</v>
      </c>
      <c r="H694" s="11">
        <v>15</v>
      </c>
      <c r="I694" s="13">
        <v>4.5599999999999996</v>
      </c>
      <c r="J694" t="s">
        <v>1021</v>
      </c>
      <c r="K694" t="s">
        <v>2473</v>
      </c>
      <c r="L694" s="7" t="s">
        <v>1414</v>
      </c>
      <c r="M694" s="7" t="s">
        <v>1423</v>
      </c>
      <c r="N694" s="14">
        <f>Greenleaf[[#This Row],[Unit Price]]*Greenleaf[[#This Row],[Quantity Sold]]</f>
        <v>60</v>
      </c>
      <c r="O694" s="13">
        <f>Greenleaf[[#This Row],[Unit Cost]]*Greenleaf[[#This Row],[Quantity Sold]]</f>
        <v>18.239999999999998</v>
      </c>
      <c r="P694" s="13">
        <f>Greenleaf[[#This Row],[ Unit  price per quantity]]-Greenleaf[[#This Row],[ Unit cost per quantity]]</f>
        <v>41.760000000000005</v>
      </c>
      <c r="Q694" s="14">
        <f>Greenleaf[[#This Row],[Quantity Sold]]*Greenleaf[[#This Row],[Unit Price]]</f>
        <v>60</v>
      </c>
    </row>
    <row r="695" spans="1:17" x14ac:dyDescent="0.25">
      <c r="A695" t="s">
        <v>2121</v>
      </c>
      <c r="B695" s="5">
        <v>45539</v>
      </c>
      <c r="C695" s="5" t="str">
        <f>TEXT(Greenleaf[[#This Row],[Order Date]],"MMM")</f>
        <v>Sep</v>
      </c>
      <c r="D695" s="5" t="str">
        <f>TEXT(Greenleaf[[#This Row],[Order Date]],"YYYY")</f>
        <v>2024</v>
      </c>
      <c r="E695" t="s">
        <v>2463</v>
      </c>
      <c r="F695" s="7" t="s">
        <v>1014</v>
      </c>
      <c r="G695" s="9">
        <v>7</v>
      </c>
      <c r="H695" s="11">
        <v>15</v>
      </c>
      <c r="I695" s="13">
        <v>5.0599999999999996</v>
      </c>
      <c r="J695" t="s">
        <v>1159</v>
      </c>
      <c r="K695" t="s">
        <v>2480</v>
      </c>
      <c r="L695" s="7" t="s">
        <v>1416</v>
      </c>
      <c r="M695" s="7" t="s">
        <v>1418</v>
      </c>
      <c r="N695" s="14">
        <f>Greenleaf[[#This Row],[Unit Price]]*Greenleaf[[#This Row],[Quantity Sold]]</f>
        <v>105</v>
      </c>
      <c r="O695" s="13">
        <f>Greenleaf[[#This Row],[Unit Cost]]*Greenleaf[[#This Row],[Quantity Sold]]</f>
        <v>35.419999999999995</v>
      </c>
      <c r="P695" s="13">
        <f>Greenleaf[[#This Row],[ Unit  price per quantity]]-Greenleaf[[#This Row],[ Unit cost per quantity]]</f>
        <v>69.580000000000013</v>
      </c>
      <c r="Q695" s="14">
        <f>Greenleaf[[#This Row],[Quantity Sold]]*Greenleaf[[#This Row],[Unit Price]]</f>
        <v>105</v>
      </c>
    </row>
    <row r="696" spans="1:17" x14ac:dyDescent="0.25">
      <c r="A696" t="s">
        <v>2122</v>
      </c>
      <c r="B696" s="5">
        <v>45540</v>
      </c>
      <c r="C696" s="5" t="str">
        <f>TEXT(Greenleaf[[#This Row],[Order Date]],"MMM")</f>
        <v>Sep</v>
      </c>
      <c r="D696" s="5" t="str">
        <f>TEXT(Greenleaf[[#This Row],[Order Date]],"YYYY")</f>
        <v>2024</v>
      </c>
      <c r="E696" t="s">
        <v>2462</v>
      </c>
      <c r="F696" s="7" t="s">
        <v>1013</v>
      </c>
      <c r="G696" s="9">
        <v>1</v>
      </c>
      <c r="H696" s="11">
        <v>25</v>
      </c>
      <c r="I696" s="13">
        <v>8.42</v>
      </c>
      <c r="J696" t="s">
        <v>1130</v>
      </c>
      <c r="K696" t="s">
        <v>2587</v>
      </c>
      <c r="L696" s="7" t="s">
        <v>1416</v>
      </c>
      <c r="M696" s="7" t="s">
        <v>1424</v>
      </c>
      <c r="N696" s="14">
        <f>Greenleaf[[#This Row],[Unit Price]]*Greenleaf[[#This Row],[Quantity Sold]]</f>
        <v>25</v>
      </c>
      <c r="O696" s="13">
        <f>Greenleaf[[#This Row],[Unit Cost]]*Greenleaf[[#This Row],[Quantity Sold]]</f>
        <v>8.42</v>
      </c>
      <c r="P696" s="13">
        <f>Greenleaf[[#This Row],[ Unit  price per quantity]]-Greenleaf[[#This Row],[ Unit cost per quantity]]</f>
        <v>16.579999999999998</v>
      </c>
      <c r="Q696" s="14">
        <f>Greenleaf[[#This Row],[Quantity Sold]]*Greenleaf[[#This Row],[Unit Price]]</f>
        <v>25</v>
      </c>
    </row>
    <row r="697" spans="1:17" x14ac:dyDescent="0.25">
      <c r="A697" t="s">
        <v>2123</v>
      </c>
      <c r="B697" s="5">
        <v>45541</v>
      </c>
      <c r="C697" s="5" t="str">
        <f>TEXT(Greenleaf[[#This Row],[Order Date]],"MMM")</f>
        <v>Sep</v>
      </c>
      <c r="D697" s="5" t="str">
        <f>TEXT(Greenleaf[[#This Row],[Order Date]],"YYYY")</f>
        <v>2024</v>
      </c>
      <c r="E697" t="s">
        <v>2460</v>
      </c>
      <c r="F697" s="7" t="s">
        <v>1015</v>
      </c>
      <c r="G697" s="9">
        <v>7</v>
      </c>
      <c r="H697" s="11">
        <v>10</v>
      </c>
      <c r="I697" s="13">
        <v>3.96</v>
      </c>
      <c r="J697" t="s">
        <v>1085</v>
      </c>
      <c r="K697" t="s">
        <v>2572</v>
      </c>
      <c r="L697" s="7" t="s">
        <v>1414</v>
      </c>
      <c r="M697" s="7" t="s">
        <v>1419</v>
      </c>
      <c r="N697" s="14">
        <f>Greenleaf[[#This Row],[Unit Price]]*Greenleaf[[#This Row],[Quantity Sold]]</f>
        <v>70</v>
      </c>
      <c r="O697" s="13">
        <f>Greenleaf[[#This Row],[Unit Cost]]*Greenleaf[[#This Row],[Quantity Sold]]</f>
        <v>27.72</v>
      </c>
      <c r="P697" s="13">
        <f>Greenleaf[[#This Row],[ Unit  price per quantity]]-Greenleaf[[#This Row],[ Unit cost per quantity]]</f>
        <v>42.28</v>
      </c>
      <c r="Q697" s="14">
        <f>Greenleaf[[#This Row],[Quantity Sold]]*Greenleaf[[#This Row],[Unit Price]]</f>
        <v>70</v>
      </c>
    </row>
    <row r="698" spans="1:17" x14ac:dyDescent="0.25">
      <c r="A698" t="s">
        <v>2124</v>
      </c>
      <c r="B698" s="5">
        <v>45542</v>
      </c>
      <c r="C698" s="5" t="str">
        <f>TEXT(Greenleaf[[#This Row],[Order Date]],"MMM")</f>
        <v>Sep</v>
      </c>
      <c r="D698" s="5" t="str">
        <f>TEXT(Greenleaf[[#This Row],[Order Date]],"YYYY")</f>
        <v>2024</v>
      </c>
      <c r="E698" t="s">
        <v>2463</v>
      </c>
      <c r="F698" s="7" t="s">
        <v>1014</v>
      </c>
      <c r="G698" s="9">
        <v>5</v>
      </c>
      <c r="H698" s="11">
        <v>15</v>
      </c>
      <c r="I698" s="13">
        <v>5.13</v>
      </c>
      <c r="J698" t="s">
        <v>1025</v>
      </c>
      <c r="K698" t="s">
        <v>2471</v>
      </c>
      <c r="L698" s="7" t="s">
        <v>1416</v>
      </c>
      <c r="M698" s="7" t="s">
        <v>1420</v>
      </c>
      <c r="N698" s="14">
        <f>Greenleaf[[#This Row],[Unit Price]]*Greenleaf[[#This Row],[Quantity Sold]]</f>
        <v>75</v>
      </c>
      <c r="O698" s="13">
        <f>Greenleaf[[#This Row],[Unit Cost]]*Greenleaf[[#This Row],[Quantity Sold]]</f>
        <v>25.65</v>
      </c>
      <c r="P698" s="13">
        <f>Greenleaf[[#This Row],[ Unit  price per quantity]]-Greenleaf[[#This Row],[ Unit cost per quantity]]</f>
        <v>49.35</v>
      </c>
      <c r="Q698" s="14">
        <f>Greenleaf[[#This Row],[Quantity Sold]]*Greenleaf[[#This Row],[Unit Price]]</f>
        <v>75</v>
      </c>
    </row>
    <row r="699" spans="1:17" x14ac:dyDescent="0.25">
      <c r="A699" t="s">
        <v>2125</v>
      </c>
      <c r="B699" s="5">
        <v>45542</v>
      </c>
      <c r="C699" s="5" t="str">
        <f>TEXT(Greenleaf[[#This Row],[Order Date]],"MMM")</f>
        <v>Sep</v>
      </c>
      <c r="D699" s="5" t="str">
        <f>TEXT(Greenleaf[[#This Row],[Order Date]],"YYYY")</f>
        <v>2024</v>
      </c>
      <c r="E699" t="s">
        <v>2462</v>
      </c>
      <c r="F699" s="7" t="s">
        <v>1013</v>
      </c>
      <c r="G699" s="9">
        <v>1</v>
      </c>
      <c r="H699" s="11">
        <v>25</v>
      </c>
      <c r="I699" s="13">
        <v>8.6199999999999992</v>
      </c>
      <c r="J699" t="s">
        <v>1162</v>
      </c>
      <c r="K699" t="s">
        <v>2496</v>
      </c>
      <c r="L699" s="7" t="s">
        <v>1414</v>
      </c>
      <c r="M699" s="7" t="s">
        <v>1419</v>
      </c>
      <c r="N699" s="14">
        <f>Greenleaf[[#This Row],[Unit Price]]*Greenleaf[[#This Row],[Quantity Sold]]</f>
        <v>25</v>
      </c>
      <c r="O699" s="13">
        <f>Greenleaf[[#This Row],[Unit Cost]]*Greenleaf[[#This Row],[Quantity Sold]]</f>
        <v>8.6199999999999992</v>
      </c>
      <c r="P699" s="13">
        <f>Greenleaf[[#This Row],[ Unit  price per quantity]]-Greenleaf[[#This Row],[ Unit cost per quantity]]</f>
        <v>16.380000000000003</v>
      </c>
      <c r="Q699" s="14">
        <f>Greenleaf[[#This Row],[Quantity Sold]]*Greenleaf[[#This Row],[Unit Price]]</f>
        <v>25</v>
      </c>
    </row>
    <row r="700" spans="1:17" x14ac:dyDescent="0.25">
      <c r="A700" t="s">
        <v>2126</v>
      </c>
      <c r="B700" s="5">
        <v>45542</v>
      </c>
      <c r="C700" s="5" t="str">
        <f>TEXT(Greenleaf[[#This Row],[Order Date]],"MMM")</f>
        <v>Sep</v>
      </c>
      <c r="D700" s="5" t="str">
        <f>TEXT(Greenleaf[[#This Row],[Order Date]],"YYYY")</f>
        <v>2024</v>
      </c>
      <c r="E700" t="s">
        <v>2462</v>
      </c>
      <c r="F700" s="7" t="s">
        <v>1013</v>
      </c>
      <c r="G700" s="9">
        <v>2</v>
      </c>
      <c r="H700" s="11">
        <v>25</v>
      </c>
      <c r="I700" s="13">
        <v>8.64</v>
      </c>
      <c r="J700" t="s">
        <v>1200</v>
      </c>
      <c r="K700" t="s">
        <v>2559</v>
      </c>
      <c r="L700" s="7" t="s">
        <v>1414</v>
      </c>
      <c r="M700" s="7" t="s">
        <v>1418</v>
      </c>
      <c r="N700" s="14">
        <f>Greenleaf[[#This Row],[Unit Price]]*Greenleaf[[#This Row],[Quantity Sold]]</f>
        <v>50</v>
      </c>
      <c r="O700" s="13">
        <f>Greenleaf[[#This Row],[Unit Cost]]*Greenleaf[[#This Row],[Quantity Sold]]</f>
        <v>17.28</v>
      </c>
      <c r="P700" s="13">
        <f>Greenleaf[[#This Row],[ Unit  price per quantity]]-Greenleaf[[#This Row],[ Unit cost per quantity]]</f>
        <v>32.72</v>
      </c>
      <c r="Q700" s="14">
        <f>Greenleaf[[#This Row],[Quantity Sold]]*Greenleaf[[#This Row],[Unit Price]]</f>
        <v>50</v>
      </c>
    </row>
    <row r="701" spans="1:17" x14ac:dyDescent="0.25">
      <c r="A701" t="s">
        <v>2127</v>
      </c>
      <c r="B701" s="5">
        <v>45543</v>
      </c>
      <c r="C701" s="5" t="str">
        <f>TEXT(Greenleaf[[#This Row],[Order Date]],"MMM")</f>
        <v>Sep</v>
      </c>
      <c r="D701" s="5" t="str">
        <f>TEXT(Greenleaf[[#This Row],[Order Date]],"YYYY")</f>
        <v>2024</v>
      </c>
      <c r="E701" t="s">
        <v>2462</v>
      </c>
      <c r="F701" s="7" t="s">
        <v>1013</v>
      </c>
      <c r="G701" s="9">
        <v>7</v>
      </c>
      <c r="H701" s="11">
        <v>25</v>
      </c>
      <c r="I701" s="13">
        <v>9</v>
      </c>
      <c r="J701" t="s">
        <v>1054</v>
      </c>
      <c r="K701" t="s">
        <v>2552</v>
      </c>
      <c r="L701" s="7" t="s">
        <v>1414</v>
      </c>
      <c r="M701" s="7" t="s">
        <v>1427</v>
      </c>
      <c r="N701" s="14">
        <f>Greenleaf[[#This Row],[Unit Price]]*Greenleaf[[#This Row],[Quantity Sold]]</f>
        <v>175</v>
      </c>
      <c r="O701" s="13">
        <f>Greenleaf[[#This Row],[Unit Cost]]*Greenleaf[[#This Row],[Quantity Sold]]</f>
        <v>63</v>
      </c>
      <c r="P701" s="13">
        <f>Greenleaf[[#This Row],[ Unit  price per quantity]]-Greenleaf[[#This Row],[ Unit cost per quantity]]</f>
        <v>112</v>
      </c>
      <c r="Q701" s="14">
        <f>Greenleaf[[#This Row],[Quantity Sold]]*Greenleaf[[#This Row],[Unit Price]]</f>
        <v>175</v>
      </c>
    </row>
    <row r="702" spans="1:17" x14ac:dyDescent="0.25">
      <c r="A702" t="s">
        <v>2128</v>
      </c>
      <c r="B702" s="5">
        <v>45543</v>
      </c>
      <c r="C702" s="5" t="str">
        <f>TEXT(Greenleaf[[#This Row],[Order Date]],"MMM")</f>
        <v>Sep</v>
      </c>
      <c r="D702" s="5" t="str">
        <f>TEXT(Greenleaf[[#This Row],[Order Date]],"YYYY")</f>
        <v>2024</v>
      </c>
      <c r="E702" t="s">
        <v>2461</v>
      </c>
      <c r="F702" s="7" t="s">
        <v>1011</v>
      </c>
      <c r="G702" s="9">
        <v>8</v>
      </c>
      <c r="H702" s="11">
        <v>12</v>
      </c>
      <c r="I702" s="13">
        <v>3.81</v>
      </c>
      <c r="J702" t="s">
        <v>1079</v>
      </c>
      <c r="K702" t="s">
        <v>2525</v>
      </c>
      <c r="L702" s="7" t="s">
        <v>1414</v>
      </c>
      <c r="M702" s="7" t="s">
        <v>1422</v>
      </c>
      <c r="N702" s="14">
        <f>Greenleaf[[#This Row],[Unit Price]]*Greenleaf[[#This Row],[Quantity Sold]]</f>
        <v>96</v>
      </c>
      <c r="O702" s="13">
        <f>Greenleaf[[#This Row],[Unit Cost]]*Greenleaf[[#This Row],[Quantity Sold]]</f>
        <v>30.48</v>
      </c>
      <c r="P702" s="13">
        <f>Greenleaf[[#This Row],[ Unit  price per quantity]]-Greenleaf[[#This Row],[ Unit cost per quantity]]</f>
        <v>65.52</v>
      </c>
      <c r="Q702" s="14">
        <f>Greenleaf[[#This Row],[Quantity Sold]]*Greenleaf[[#This Row],[Unit Price]]</f>
        <v>96</v>
      </c>
    </row>
    <row r="703" spans="1:17" x14ac:dyDescent="0.25">
      <c r="A703" t="s">
        <v>2129</v>
      </c>
      <c r="B703" s="5">
        <v>45543</v>
      </c>
      <c r="C703" s="5" t="str">
        <f>TEXT(Greenleaf[[#This Row],[Order Date]],"MMM")</f>
        <v>Sep</v>
      </c>
      <c r="D703" s="5" t="str">
        <f>TEXT(Greenleaf[[#This Row],[Order Date]],"YYYY")</f>
        <v>2024</v>
      </c>
      <c r="E703" t="s">
        <v>2460</v>
      </c>
      <c r="F703" s="7" t="s">
        <v>1015</v>
      </c>
      <c r="G703" s="9">
        <v>5</v>
      </c>
      <c r="H703" s="11">
        <v>10</v>
      </c>
      <c r="I703" s="13">
        <v>2.76</v>
      </c>
      <c r="J703" t="s">
        <v>1076</v>
      </c>
      <c r="K703" t="s">
        <v>2525</v>
      </c>
      <c r="L703" s="7" t="s">
        <v>1414</v>
      </c>
      <c r="M703" s="7" t="s">
        <v>1423</v>
      </c>
      <c r="N703" s="14">
        <f>Greenleaf[[#This Row],[Unit Price]]*Greenleaf[[#This Row],[Quantity Sold]]</f>
        <v>50</v>
      </c>
      <c r="O703" s="13">
        <f>Greenleaf[[#This Row],[Unit Cost]]*Greenleaf[[#This Row],[Quantity Sold]]</f>
        <v>13.799999999999999</v>
      </c>
      <c r="P703" s="13">
        <f>Greenleaf[[#This Row],[ Unit  price per quantity]]-Greenleaf[[#This Row],[ Unit cost per quantity]]</f>
        <v>36.200000000000003</v>
      </c>
      <c r="Q703" s="14">
        <f>Greenleaf[[#This Row],[Quantity Sold]]*Greenleaf[[#This Row],[Unit Price]]</f>
        <v>50</v>
      </c>
    </row>
    <row r="704" spans="1:17" x14ac:dyDescent="0.25">
      <c r="A704" t="s">
        <v>2130</v>
      </c>
      <c r="B704" s="5">
        <v>45543</v>
      </c>
      <c r="C704" s="5" t="str">
        <f>TEXT(Greenleaf[[#This Row],[Order Date]],"MMM")</f>
        <v>Sep</v>
      </c>
      <c r="D704" s="5" t="str">
        <f>TEXT(Greenleaf[[#This Row],[Order Date]],"YYYY")</f>
        <v>2024</v>
      </c>
      <c r="E704" t="s">
        <v>2460</v>
      </c>
      <c r="F704" s="7" t="s">
        <v>1015</v>
      </c>
      <c r="G704" s="9">
        <v>9</v>
      </c>
      <c r="H704" s="11">
        <v>10</v>
      </c>
      <c r="I704" s="13">
        <v>2.41</v>
      </c>
      <c r="J704" t="s">
        <v>1093</v>
      </c>
      <c r="K704" t="s">
        <v>2527</v>
      </c>
      <c r="L704" s="7" t="s">
        <v>1414</v>
      </c>
      <c r="M704" s="7" t="s">
        <v>1422</v>
      </c>
      <c r="N704" s="14">
        <f>Greenleaf[[#This Row],[Unit Price]]*Greenleaf[[#This Row],[Quantity Sold]]</f>
        <v>90</v>
      </c>
      <c r="O704" s="13">
        <f>Greenleaf[[#This Row],[Unit Cost]]*Greenleaf[[#This Row],[Quantity Sold]]</f>
        <v>21.69</v>
      </c>
      <c r="P704" s="13">
        <f>Greenleaf[[#This Row],[ Unit  price per quantity]]-Greenleaf[[#This Row],[ Unit cost per quantity]]</f>
        <v>68.31</v>
      </c>
      <c r="Q704" s="14">
        <f>Greenleaf[[#This Row],[Quantity Sold]]*Greenleaf[[#This Row],[Unit Price]]</f>
        <v>90</v>
      </c>
    </row>
    <row r="705" spans="1:17" x14ac:dyDescent="0.25">
      <c r="A705" t="s">
        <v>2131</v>
      </c>
      <c r="B705" s="5">
        <v>45545</v>
      </c>
      <c r="C705" s="5" t="str">
        <f>TEXT(Greenleaf[[#This Row],[Order Date]],"MMM")</f>
        <v>Sep</v>
      </c>
      <c r="D705" s="5" t="str">
        <f>TEXT(Greenleaf[[#This Row],[Order Date]],"YYYY")</f>
        <v>2024</v>
      </c>
      <c r="E705" t="s">
        <v>2461</v>
      </c>
      <c r="F705" s="7" t="s">
        <v>1011</v>
      </c>
      <c r="G705" s="9">
        <v>1</v>
      </c>
      <c r="H705" s="11">
        <v>12</v>
      </c>
      <c r="I705" s="13">
        <v>3.1</v>
      </c>
      <c r="J705" t="s">
        <v>1060</v>
      </c>
      <c r="K705" t="s">
        <v>2504</v>
      </c>
      <c r="L705" s="7" t="s">
        <v>1416</v>
      </c>
      <c r="M705" s="7" t="s">
        <v>1425</v>
      </c>
      <c r="N705" s="14">
        <f>Greenleaf[[#This Row],[Unit Price]]*Greenleaf[[#This Row],[Quantity Sold]]</f>
        <v>12</v>
      </c>
      <c r="O705" s="13">
        <f>Greenleaf[[#This Row],[Unit Cost]]*Greenleaf[[#This Row],[Quantity Sold]]</f>
        <v>3.1</v>
      </c>
      <c r="P705" s="13">
        <f>Greenleaf[[#This Row],[ Unit  price per quantity]]-Greenleaf[[#This Row],[ Unit cost per quantity]]</f>
        <v>8.9</v>
      </c>
      <c r="Q705" s="14">
        <f>Greenleaf[[#This Row],[Quantity Sold]]*Greenleaf[[#This Row],[Unit Price]]</f>
        <v>12</v>
      </c>
    </row>
    <row r="706" spans="1:17" x14ac:dyDescent="0.25">
      <c r="A706" t="s">
        <v>2132</v>
      </c>
      <c r="B706" s="5">
        <v>45545</v>
      </c>
      <c r="C706" s="5" t="str">
        <f>TEXT(Greenleaf[[#This Row],[Order Date]],"MMM")</f>
        <v>Sep</v>
      </c>
      <c r="D706" s="5" t="str">
        <f>TEXT(Greenleaf[[#This Row],[Order Date]],"YYYY")</f>
        <v>2024</v>
      </c>
      <c r="E706" t="s">
        <v>2461</v>
      </c>
      <c r="F706" s="7" t="s">
        <v>1011</v>
      </c>
      <c r="G706" s="9">
        <v>10</v>
      </c>
      <c r="H706" s="11">
        <v>12</v>
      </c>
      <c r="I706" s="13">
        <v>3.77</v>
      </c>
      <c r="J706" t="s">
        <v>1032</v>
      </c>
      <c r="K706" t="s">
        <v>2556</v>
      </c>
      <c r="L706" s="7" t="s">
        <v>1416</v>
      </c>
      <c r="M706" s="7" t="s">
        <v>1425</v>
      </c>
      <c r="N706" s="14">
        <f>Greenleaf[[#This Row],[Unit Price]]*Greenleaf[[#This Row],[Quantity Sold]]</f>
        <v>120</v>
      </c>
      <c r="O706" s="13">
        <f>Greenleaf[[#This Row],[Unit Cost]]*Greenleaf[[#This Row],[Quantity Sold]]</f>
        <v>37.700000000000003</v>
      </c>
      <c r="P706" s="13">
        <f>Greenleaf[[#This Row],[ Unit  price per quantity]]-Greenleaf[[#This Row],[ Unit cost per quantity]]</f>
        <v>82.3</v>
      </c>
      <c r="Q706" s="14">
        <f>Greenleaf[[#This Row],[Quantity Sold]]*Greenleaf[[#This Row],[Unit Price]]</f>
        <v>120</v>
      </c>
    </row>
    <row r="707" spans="1:17" x14ac:dyDescent="0.25">
      <c r="A707" t="s">
        <v>2133</v>
      </c>
      <c r="B707" s="5">
        <v>45546</v>
      </c>
      <c r="C707" s="5" t="str">
        <f>TEXT(Greenleaf[[#This Row],[Order Date]],"MMM")</f>
        <v>Sep</v>
      </c>
      <c r="D707" s="5" t="str">
        <f>TEXT(Greenleaf[[#This Row],[Order Date]],"YYYY")</f>
        <v>2024</v>
      </c>
      <c r="E707" t="s">
        <v>2460</v>
      </c>
      <c r="F707" s="7" t="s">
        <v>1015</v>
      </c>
      <c r="G707" s="9">
        <v>9</v>
      </c>
      <c r="H707" s="11">
        <v>10</v>
      </c>
      <c r="I707" s="13">
        <v>2.02</v>
      </c>
      <c r="J707" t="s">
        <v>1127</v>
      </c>
      <c r="K707" t="s">
        <v>2509</v>
      </c>
      <c r="L707" s="7" t="s">
        <v>1416</v>
      </c>
      <c r="M707" s="7" t="s">
        <v>1421</v>
      </c>
      <c r="N707" s="14">
        <f>Greenleaf[[#This Row],[Unit Price]]*Greenleaf[[#This Row],[Quantity Sold]]</f>
        <v>90</v>
      </c>
      <c r="O707" s="13">
        <f>Greenleaf[[#This Row],[Unit Cost]]*Greenleaf[[#This Row],[Quantity Sold]]</f>
        <v>18.18</v>
      </c>
      <c r="P707" s="13">
        <f>Greenleaf[[#This Row],[ Unit  price per quantity]]-Greenleaf[[#This Row],[ Unit cost per quantity]]</f>
        <v>71.819999999999993</v>
      </c>
      <c r="Q707" s="14">
        <f>Greenleaf[[#This Row],[Quantity Sold]]*Greenleaf[[#This Row],[Unit Price]]</f>
        <v>90</v>
      </c>
    </row>
    <row r="708" spans="1:17" x14ac:dyDescent="0.25">
      <c r="A708" t="s">
        <v>2134</v>
      </c>
      <c r="B708" s="5">
        <v>45546</v>
      </c>
      <c r="C708" s="5" t="str">
        <f>TEXT(Greenleaf[[#This Row],[Order Date]],"MMM")</f>
        <v>Sep</v>
      </c>
      <c r="D708" s="5" t="str">
        <f>TEXT(Greenleaf[[#This Row],[Order Date]],"YYYY")</f>
        <v>2024</v>
      </c>
      <c r="E708" t="s">
        <v>2464</v>
      </c>
      <c r="F708" s="7" t="s">
        <v>1012</v>
      </c>
      <c r="G708" s="9">
        <v>4</v>
      </c>
      <c r="H708" s="11">
        <v>40</v>
      </c>
      <c r="I708" s="13">
        <v>11.92</v>
      </c>
      <c r="J708" t="s">
        <v>1110</v>
      </c>
      <c r="K708" t="s">
        <v>2516</v>
      </c>
      <c r="L708" s="7" t="s">
        <v>1416</v>
      </c>
      <c r="M708" s="7" t="s">
        <v>1422</v>
      </c>
      <c r="N708" s="14">
        <f>Greenleaf[[#This Row],[Unit Price]]*Greenleaf[[#This Row],[Quantity Sold]]</f>
        <v>160</v>
      </c>
      <c r="O708" s="13">
        <f>Greenleaf[[#This Row],[Unit Cost]]*Greenleaf[[#This Row],[Quantity Sold]]</f>
        <v>47.68</v>
      </c>
      <c r="P708" s="13">
        <f>Greenleaf[[#This Row],[ Unit  price per quantity]]-Greenleaf[[#This Row],[ Unit cost per quantity]]</f>
        <v>112.32</v>
      </c>
      <c r="Q708" s="14">
        <f>Greenleaf[[#This Row],[Quantity Sold]]*Greenleaf[[#This Row],[Unit Price]]</f>
        <v>160</v>
      </c>
    </row>
    <row r="709" spans="1:17" x14ac:dyDescent="0.25">
      <c r="A709" t="s">
        <v>2135</v>
      </c>
      <c r="B709" s="5">
        <v>45546</v>
      </c>
      <c r="C709" s="5" t="str">
        <f>TEXT(Greenleaf[[#This Row],[Order Date]],"MMM")</f>
        <v>Sep</v>
      </c>
      <c r="D709" s="5" t="str">
        <f>TEXT(Greenleaf[[#This Row],[Order Date]],"YYYY")</f>
        <v>2024</v>
      </c>
      <c r="E709" t="s">
        <v>2460</v>
      </c>
      <c r="F709" s="7" t="s">
        <v>1015</v>
      </c>
      <c r="G709" s="9">
        <v>8</v>
      </c>
      <c r="H709" s="11">
        <v>10</v>
      </c>
      <c r="I709" s="13">
        <v>3.58</v>
      </c>
      <c r="J709" t="s">
        <v>1097</v>
      </c>
      <c r="K709" t="s">
        <v>2557</v>
      </c>
      <c r="L709" s="7" t="s">
        <v>1414</v>
      </c>
      <c r="M709" s="7" t="s">
        <v>1423</v>
      </c>
      <c r="N709" s="14">
        <f>Greenleaf[[#This Row],[Unit Price]]*Greenleaf[[#This Row],[Quantity Sold]]</f>
        <v>80</v>
      </c>
      <c r="O709" s="13">
        <f>Greenleaf[[#This Row],[Unit Cost]]*Greenleaf[[#This Row],[Quantity Sold]]</f>
        <v>28.64</v>
      </c>
      <c r="P709" s="13">
        <f>Greenleaf[[#This Row],[ Unit  price per quantity]]-Greenleaf[[#This Row],[ Unit cost per quantity]]</f>
        <v>51.36</v>
      </c>
      <c r="Q709" s="14">
        <f>Greenleaf[[#This Row],[Quantity Sold]]*Greenleaf[[#This Row],[Unit Price]]</f>
        <v>80</v>
      </c>
    </row>
    <row r="710" spans="1:17" x14ac:dyDescent="0.25">
      <c r="A710" t="s">
        <v>2136</v>
      </c>
      <c r="B710" s="5">
        <v>45546</v>
      </c>
      <c r="C710" s="5" t="str">
        <f>TEXT(Greenleaf[[#This Row],[Order Date]],"MMM")</f>
        <v>Sep</v>
      </c>
      <c r="D710" s="5" t="str">
        <f>TEXT(Greenleaf[[#This Row],[Order Date]],"YYYY")</f>
        <v>2024</v>
      </c>
      <c r="E710" t="s">
        <v>2462</v>
      </c>
      <c r="F710" s="7" t="s">
        <v>1013</v>
      </c>
      <c r="G710" s="9">
        <v>10</v>
      </c>
      <c r="H710" s="11">
        <v>25</v>
      </c>
      <c r="I710" s="13">
        <v>8.3699999999999992</v>
      </c>
      <c r="J710" t="s">
        <v>1183</v>
      </c>
      <c r="K710" t="s">
        <v>2501</v>
      </c>
      <c r="L710" s="7" t="s">
        <v>1416</v>
      </c>
      <c r="M710" s="7" t="s">
        <v>1418</v>
      </c>
      <c r="N710" s="14">
        <f>Greenleaf[[#This Row],[Unit Price]]*Greenleaf[[#This Row],[Quantity Sold]]</f>
        <v>250</v>
      </c>
      <c r="O710" s="13">
        <f>Greenleaf[[#This Row],[Unit Cost]]*Greenleaf[[#This Row],[Quantity Sold]]</f>
        <v>83.699999999999989</v>
      </c>
      <c r="P710" s="13">
        <f>Greenleaf[[#This Row],[ Unit  price per quantity]]-Greenleaf[[#This Row],[ Unit cost per quantity]]</f>
        <v>166.3</v>
      </c>
      <c r="Q710" s="14">
        <f>Greenleaf[[#This Row],[Quantity Sold]]*Greenleaf[[#This Row],[Unit Price]]</f>
        <v>250</v>
      </c>
    </row>
    <row r="711" spans="1:17" x14ac:dyDescent="0.25">
      <c r="A711" t="s">
        <v>2137</v>
      </c>
      <c r="B711" s="5">
        <v>45546</v>
      </c>
      <c r="C711" s="5" t="str">
        <f>TEXT(Greenleaf[[#This Row],[Order Date]],"MMM")</f>
        <v>Sep</v>
      </c>
      <c r="D711" s="5" t="str">
        <f>TEXT(Greenleaf[[#This Row],[Order Date]],"YYYY")</f>
        <v>2024</v>
      </c>
      <c r="E711" t="s">
        <v>2461</v>
      </c>
      <c r="F711" s="7" t="s">
        <v>1011</v>
      </c>
      <c r="G711" s="9">
        <v>1</v>
      </c>
      <c r="H711" s="11">
        <v>12</v>
      </c>
      <c r="I711" s="13">
        <v>4.25</v>
      </c>
      <c r="J711" t="s">
        <v>1164</v>
      </c>
      <c r="K711" t="s">
        <v>2567</v>
      </c>
      <c r="L711" s="7" t="s">
        <v>1416</v>
      </c>
      <c r="M711" s="7" t="s">
        <v>1419</v>
      </c>
      <c r="N711" s="14">
        <f>Greenleaf[[#This Row],[Unit Price]]*Greenleaf[[#This Row],[Quantity Sold]]</f>
        <v>12</v>
      </c>
      <c r="O711" s="13">
        <f>Greenleaf[[#This Row],[Unit Cost]]*Greenleaf[[#This Row],[Quantity Sold]]</f>
        <v>4.25</v>
      </c>
      <c r="P711" s="13">
        <f>Greenleaf[[#This Row],[ Unit  price per quantity]]-Greenleaf[[#This Row],[ Unit cost per quantity]]</f>
        <v>7.75</v>
      </c>
      <c r="Q711" s="14">
        <f>Greenleaf[[#This Row],[Quantity Sold]]*Greenleaf[[#This Row],[Unit Price]]</f>
        <v>12</v>
      </c>
    </row>
    <row r="712" spans="1:17" x14ac:dyDescent="0.25">
      <c r="A712" t="s">
        <v>2138</v>
      </c>
      <c r="B712" s="5">
        <v>45548</v>
      </c>
      <c r="C712" s="5" t="str">
        <f>TEXT(Greenleaf[[#This Row],[Order Date]],"MMM")</f>
        <v>Sep</v>
      </c>
      <c r="D712" s="5" t="str">
        <f>TEXT(Greenleaf[[#This Row],[Order Date]],"YYYY")</f>
        <v>2024</v>
      </c>
      <c r="E712" t="s">
        <v>2463</v>
      </c>
      <c r="F712" s="7" t="s">
        <v>1014</v>
      </c>
      <c r="G712" s="9">
        <v>4</v>
      </c>
      <c r="H712" s="11">
        <v>15</v>
      </c>
      <c r="I712" s="13">
        <v>4.2</v>
      </c>
      <c r="J712" t="s">
        <v>1134</v>
      </c>
      <c r="K712" t="s">
        <v>2477</v>
      </c>
      <c r="L712" s="7" t="s">
        <v>1417</v>
      </c>
      <c r="M712" s="7" t="s">
        <v>1424</v>
      </c>
      <c r="N712" s="14">
        <f>Greenleaf[[#This Row],[Unit Price]]*Greenleaf[[#This Row],[Quantity Sold]]</f>
        <v>60</v>
      </c>
      <c r="O712" s="13">
        <f>Greenleaf[[#This Row],[Unit Cost]]*Greenleaf[[#This Row],[Quantity Sold]]</f>
        <v>16.8</v>
      </c>
      <c r="P712" s="13">
        <f>Greenleaf[[#This Row],[ Unit  price per quantity]]-Greenleaf[[#This Row],[ Unit cost per quantity]]</f>
        <v>43.2</v>
      </c>
      <c r="Q712" s="14">
        <f>Greenleaf[[#This Row],[Quantity Sold]]*Greenleaf[[#This Row],[Unit Price]]</f>
        <v>60</v>
      </c>
    </row>
    <row r="713" spans="1:17" x14ac:dyDescent="0.25">
      <c r="A713" t="s">
        <v>2139</v>
      </c>
      <c r="B713" s="5">
        <v>45548</v>
      </c>
      <c r="C713" s="5" t="str">
        <f>TEXT(Greenleaf[[#This Row],[Order Date]],"MMM")</f>
        <v>Sep</v>
      </c>
      <c r="D713" s="5" t="str">
        <f>TEXT(Greenleaf[[#This Row],[Order Date]],"YYYY")</f>
        <v>2024</v>
      </c>
      <c r="E713" t="s">
        <v>2463</v>
      </c>
      <c r="F713" s="7" t="s">
        <v>1014</v>
      </c>
      <c r="G713" s="9">
        <v>4</v>
      </c>
      <c r="H713" s="11">
        <v>15</v>
      </c>
      <c r="I713" s="13">
        <v>4.03</v>
      </c>
      <c r="J713" t="s">
        <v>1075</v>
      </c>
      <c r="K713" t="s">
        <v>2505</v>
      </c>
      <c r="L713" s="7" t="s">
        <v>1414</v>
      </c>
      <c r="M713" s="7" t="s">
        <v>1422</v>
      </c>
      <c r="N713" s="14">
        <f>Greenleaf[[#This Row],[Unit Price]]*Greenleaf[[#This Row],[Quantity Sold]]</f>
        <v>60</v>
      </c>
      <c r="O713" s="13">
        <f>Greenleaf[[#This Row],[Unit Cost]]*Greenleaf[[#This Row],[Quantity Sold]]</f>
        <v>16.12</v>
      </c>
      <c r="P713" s="13">
        <f>Greenleaf[[#This Row],[ Unit  price per quantity]]-Greenleaf[[#This Row],[ Unit cost per quantity]]</f>
        <v>43.879999999999995</v>
      </c>
      <c r="Q713" s="14">
        <f>Greenleaf[[#This Row],[Quantity Sold]]*Greenleaf[[#This Row],[Unit Price]]</f>
        <v>60</v>
      </c>
    </row>
    <row r="714" spans="1:17" x14ac:dyDescent="0.25">
      <c r="A714" t="s">
        <v>2140</v>
      </c>
      <c r="B714" s="5">
        <v>45548</v>
      </c>
      <c r="C714" s="5" t="str">
        <f>TEXT(Greenleaf[[#This Row],[Order Date]],"MMM")</f>
        <v>Sep</v>
      </c>
      <c r="D714" s="5" t="str">
        <f>TEXT(Greenleaf[[#This Row],[Order Date]],"YYYY")</f>
        <v>2024</v>
      </c>
      <c r="E714" t="s">
        <v>2461</v>
      </c>
      <c r="F714" s="7" t="s">
        <v>1011</v>
      </c>
      <c r="G714" s="9">
        <v>4</v>
      </c>
      <c r="H714" s="11">
        <v>12</v>
      </c>
      <c r="I714" s="13">
        <v>2.68</v>
      </c>
      <c r="J714" t="s">
        <v>1034</v>
      </c>
      <c r="K714" t="s">
        <v>2473</v>
      </c>
      <c r="L714" s="7" t="s">
        <v>1415</v>
      </c>
      <c r="M714" s="7" t="s">
        <v>1420</v>
      </c>
      <c r="N714" s="14">
        <f>Greenleaf[[#This Row],[Unit Price]]*Greenleaf[[#This Row],[Quantity Sold]]</f>
        <v>48</v>
      </c>
      <c r="O714" s="13">
        <f>Greenleaf[[#This Row],[Unit Cost]]*Greenleaf[[#This Row],[Quantity Sold]]</f>
        <v>10.72</v>
      </c>
      <c r="P714" s="13">
        <f>Greenleaf[[#This Row],[ Unit  price per quantity]]-Greenleaf[[#This Row],[ Unit cost per quantity]]</f>
        <v>37.28</v>
      </c>
      <c r="Q714" s="14">
        <f>Greenleaf[[#This Row],[Quantity Sold]]*Greenleaf[[#This Row],[Unit Price]]</f>
        <v>48</v>
      </c>
    </row>
    <row r="715" spans="1:17" x14ac:dyDescent="0.25">
      <c r="A715" t="s">
        <v>2141</v>
      </c>
      <c r="B715" s="5">
        <v>45549</v>
      </c>
      <c r="C715" s="5" t="str">
        <f>TEXT(Greenleaf[[#This Row],[Order Date]],"MMM")</f>
        <v>Sep</v>
      </c>
      <c r="D715" s="5" t="str">
        <f>TEXT(Greenleaf[[#This Row],[Order Date]],"YYYY")</f>
        <v>2024</v>
      </c>
      <c r="E715" t="s">
        <v>2460</v>
      </c>
      <c r="F715" s="7" t="s">
        <v>1015</v>
      </c>
      <c r="G715" s="9">
        <v>10</v>
      </c>
      <c r="H715" s="11">
        <v>10</v>
      </c>
      <c r="I715" s="13">
        <v>2.65</v>
      </c>
      <c r="J715" t="s">
        <v>1042</v>
      </c>
      <c r="K715" t="s">
        <v>2544</v>
      </c>
      <c r="L715" s="7" t="s">
        <v>1414</v>
      </c>
      <c r="M715" s="7" t="s">
        <v>1424</v>
      </c>
      <c r="N715" s="14">
        <f>Greenleaf[[#This Row],[Unit Price]]*Greenleaf[[#This Row],[Quantity Sold]]</f>
        <v>100</v>
      </c>
      <c r="O715" s="13">
        <f>Greenleaf[[#This Row],[Unit Cost]]*Greenleaf[[#This Row],[Quantity Sold]]</f>
        <v>26.5</v>
      </c>
      <c r="P715" s="13">
        <f>Greenleaf[[#This Row],[ Unit  price per quantity]]-Greenleaf[[#This Row],[ Unit cost per quantity]]</f>
        <v>73.5</v>
      </c>
      <c r="Q715" s="14">
        <f>Greenleaf[[#This Row],[Quantity Sold]]*Greenleaf[[#This Row],[Unit Price]]</f>
        <v>100</v>
      </c>
    </row>
    <row r="716" spans="1:17" x14ac:dyDescent="0.25">
      <c r="A716" t="s">
        <v>2142</v>
      </c>
      <c r="B716" s="5">
        <v>45549</v>
      </c>
      <c r="C716" s="5" t="str">
        <f>TEXT(Greenleaf[[#This Row],[Order Date]],"MMM")</f>
        <v>Sep</v>
      </c>
      <c r="D716" s="5" t="str">
        <f>TEXT(Greenleaf[[#This Row],[Order Date]],"YYYY")</f>
        <v>2024</v>
      </c>
      <c r="E716" t="s">
        <v>2464</v>
      </c>
      <c r="F716" s="7" t="s">
        <v>1012</v>
      </c>
      <c r="G716" s="9">
        <v>8</v>
      </c>
      <c r="H716" s="11">
        <v>40</v>
      </c>
      <c r="I716" s="13">
        <v>8.8699999999999992</v>
      </c>
      <c r="J716" t="s">
        <v>1052</v>
      </c>
      <c r="K716" t="s">
        <v>2504</v>
      </c>
      <c r="L716" s="7" t="s">
        <v>1416</v>
      </c>
      <c r="M716" s="7" t="s">
        <v>1427</v>
      </c>
      <c r="N716" s="14">
        <f>Greenleaf[[#This Row],[Unit Price]]*Greenleaf[[#This Row],[Quantity Sold]]</f>
        <v>320</v>
      </c>
      <c r="O716" s="13">
        <f>Greenleaf[[#This Row],[Unit Cost]]*Greenleaf[[#This Row],[Quantity Sold]]</f>
        <v>70.959999999999994</v>
      </c>
      <c r="P716" s="13">
        <f>Greenleaf[[#This Row],[ Unit  price per quantity]]-Greenleaf[[#This Row],[ Unit cost per quantity]]</f>
        <v>249.04000000000002</v>
      </c>
      <c r="Q716" s="14">
        <f>Greenleaf[[#This Row],[Quantity Sold]]*Greenleaf[[#This Row],[Unit Price]]</f>
        <v>320</v>
      </c>
    </row>
    <row r="717" spans="1:17" x14ac:dyDescent="0.25">
      <c r="A717" t="s">
        <v>2143</v>
      </c>
      <c r="B717" s="5">
        <v>45550</v>
      </c>
      <c r="C717" s="5" t="str">
        <f>TEXT(Greenleaf[[#This Row],[Order Date]],"MMM")</f>
        <v>Sep</v>
      </c>
      <c r="D717" s="5" t="str">
        <f>TEXT(Greenleaf[[#This Row],[Order Date]],"YYYY")</f>
        <v>2024</v>
      </c>
      <c r="E717" t="s">
        <v>2464</v>
      </c>
      <c r="F717" s="7" t="s">
        <v>1012</v>
      </c>
      <c r="G717" s="9">
        <v>3</v>
      </c>
      <c r="H717" s="11">
        <v>40</v>
      </c>
      <c r="I717" s="13">
        <v>14.24</v>
      </c>
      <c r="J717" t="s">
        <v>1027</v>
      </c>
      <c r="K717" t="s">
        <v>2561</v>
      </c>
      <c r="L717" s="7" t="s">
        <v>1414</v>
      </c>
      <c r="M717" s="7" t="s">
        <v>1419</v>
      </c>
      <c r="N717" s="14">
        <f>Greenleaf[[#This Row],[Unit Price]]*Greenleaf[[#This Row],[Quantity Sold]]</f>
        <v>120</v>
      </c>
      <c r="O717" s="13">
        <f>Greenleaf[[#This Row],[Unit Cost]]*Greenleaf[[#This Row],[Quantity Sold]]</f>
        <v>42.72</v>
      </c>
      <c r="P717" s="13">
        <f>Greenleaf[[#This Row],[ Unit  price per quantity]]-Greenleaf[[#This Row],[ Unit cost per quantity]]</f>
        <v>77.28</v>
      </c>
      <c r="Q717" s="14">
        <f>Greenleaf[[#This Row],[Quantity Sold]]*Greenleaf[[#This Row],[Unit Price]]</f>
        <v>120</v>
      </c>
    </row>
    <row r="718" spans="1:17" x14ac:dyDescent="0.25">
      <c r="A718" t="s">
        <v>2144</v>
      </c>
      <c r="B718" s="5">
        <v>45550</v>
      </c>
      <c r="C718" s="5" t="str">
        <f>TEXT(Greenleaf[[#This Row],[Order Date]],"MMM")</f>
        <v>Sep</v>
      </c>
      <c r="D718" s="5" t="str">
        <f>TEXT(Greenleaf[[#This Row],[Order Date]],"YYYY")</f>
        <v>2024</v>
      </c>
      <c r="E718" t="s">
        <v>2460</v>
      </c>
      <c r="F718" s="7" t="s">
        <v>1015</v>
      </c>
      <c r="G718" s="9">
        <v>2</v>
      </c>
      <c r="H718" s="11">
        <v>10</v>
      </c>
      <c r="I718" s="13">
        <v>3.03</v>
      </c>
      <c r="J718" t="s">
        <v>1105</v>
      </c>
      <c r="K718" t="s">
        <v>2560</v>
      </c>
      <c r="L718" s="7" t="s">
        <v>1416</v>
      </c>
      <c r="M718" s="7" t="s">
        <v>1422</v>
      </c>
      <c r="N718" s="14">
        <f>Greenleaf[[#This Row],[Unit Price]]*Greenleaf[[#This Row],[Quantity Sold]]</f>
        <v>20</v>
      </c>
      <c r="O718" s="13">
        <f>Greenleaf[[#This Row],[Unit Cost]]*Greenleaf[[#This Row],[Quantity Sold]]</f>
        <v>6.06</v>
      </c>
      <c r="P718" s="13">
        <f>Greenleaf[[#This Row],[ Unit  price per quantity]]-Greenleaf[[#This Row],[ Unit cost per quantity]]</f>
        <v>13.940000000000001</v>
      </c>
      <c r="Q718" s="14">
        <f>Greenleaf[[#This Row],[Quantity Sold]]*Greenleaf[[#This Row],[Unit Price]]</f>
        <v>20</v>
      </c>
    </row>
    <row r="719" spans="1:17" x14ac:dyDescent="0.25">
      <c r="A719" t="s">
        <v>2145</v>
      </c>
      <c r="B719" s="5">
        <v>45551</v>
      </c>
      <c r="C719" s="5" t="str">
        <f>TEXT(Greenleaf[[#This Row],[Order Date]],"MMM")</f>
        <v>Sep</v>
      </c>
      <c r="D719" s="5" t="str">
        <f>TEXT(Greenleaf[[#This Row],[Order Date]],"YYYY")</f>
        <v>2024</v>
      </c>
      <c r="E719" t="s">
        <v>2460</v>
      </c>
      <c r="F719" s="7" t="s">
        <v>1015</v>
      </c>
      <c r="G719" s="9">
        <v>9</v>
      </c>
      <c r="H719" s="11">
        <v>10</v>
      </c>
      <c r="I719" s="13">
        <v>2.11</v>
      </c>
      <c r="J719" t="s">
        <v>1029</v>
      </c>
      <c r="K719" t="s">
        <v>2470</v>
      </c>
      <c r="L719" s="7" t="s">
        <v>1416</v>
      </c>
      <c r="M719" s="7" t="s">
        <v>1419</v>
      </c>
      <c r="N719" s="14">
        <f>Greenleaf[[#This Row],[Unit Price]]*Greenleaf[[#This Row],[Quantity Sold]]</f>
        <v>90</v>
      </c>
      <c r="O719" s="13">
        <f>Greenleaf[[#This Row],[Unit Cost]]*Greenleaf[[#This Row],[Quantity Sold]]</f>
        <v>18.989999999999998</v>
      </c>
      <c r="P719" s="13">
        <f>Greenleaf[[#This Row],[ Unit  price per quantity]]-Greenleaf[[#This Row],[ Unit cost per quantity]]</f>
        <v>71.010000000000005</v>
      </c>
      <c r="Q719" s="14">
        <f>Greenleaf[[#This Row],[Quantity Sold]]*Greenleaf[[#This Row],[Unit Price]]</f>
        <v>90</v>
      </c>
    </row>
    <row r="720" spans="1:17" x14ac:dyDescent="0.25">
      <c r="A720" t="s">
        <v>2146</v>
      </c>
      <c r="B720" s="5">
        <v>45551</v>
      </c>
      <c r="C720" s="5" t="str">
        <f>TEXT(Greenleaf[[#This Row],[Order Date]],"MMM")</f>
        <v>Sep</v>
      </c>
      <c r="D720" s="5" t="str">
        <f>TEXT(Greenleaf[[#This Row],[Order Date]],"YYYY")</f>
        <v>2024</v>
      </c>
      <c r="E720" t="s">
        <v>2462</v>
      </c>
      <c r="F720" s="7" t="s">
        <v>1013</v>
      </c>
      <c r="G720" s="9">
        <v>10</v>
      </c>
      <c r="H720" s="11">
        <v>25</v>
      </c>
      <c r="I720" s="13">
        <v>6.58</v>
      </c>
      <c r="J720" t="s">
        <v>1055</v>
      </c>
      <c r="K720" t="s">
        <v>2553</v>
      </c>
      <c r="L720" s="7" t="s">
        <v>1414</v>
      </c>
      <c r="M720" s="7" t="s">
        <v>1419</v>
      </c>
      <c r="N720" s="14">
        <f>Greenleaf[[#This Row],[Unit Price]]*Greenleaf[[#This Row],[Quantity Sold]]</f>
        <v>250</v>
      </c>
      <c r="O720" s="13">
        <f>Greenleaf[[#This Row],[Unit Cost]]*Greenleaf[[#This Row],[Quantity Sold]]</f>
        <v>65.8</v>
      </c>
      <c r="P720" s="13">
        <f>Greenleaf[[#This Row],[ Unit  price per quantity]]-Greenleaf[[#This Row],[ Unit cost per quantity]]</f>
        <v>184.2</v>
      </c>
      <c r="Q720" s="14">
        <f>Greenleaf[[#This Row],[Quantity Sold]]*Greenleaf[[#This Row],[Unit Price]]</f>
        <v>250</v>
      </c>
    </row>
    <row r="721" spans="1:17" x14ac:dyDescent="0.25">
      <c r="A721" t="s">
        <v>2147</v>
      </c>
      <c r="B721" s="5">
        <v>45552</v>
      </c>
      <c r="C721" s="5" t="str">
        <f>TEXT(Greenleaf[[#This Row],[Order Date]],"MMM")</f>
        <v>Sep</v>
      </c>
      <c r="D721" s="5" t="str">
        <f>TEXT(Greenleaf[[#This Row],[Order Date]],"YYYY")</f>
        <v>2024</v>
      </c>
      <c r="E721" t="s">
        <v>2464</v>
      </c>
      <c r="F721" s="7" t="s">
        <v>1012</v>
      </c>
      <c r="G721" s="9">
        <v>6</v>
      </c>
      <c r="H721" s="11">
        <v>40</v>
      </c>
      <c r="I721" s="13">
        <v>15.57</v>
      </c>
      <c r="J721" t="s">
        <v>1046</v>
      </c>
      <c r="K721" t="s">
        <v>2500</v>
      </c>
      <c r="L721" s="7" t="s">
        <v>1414</v>
      </c>
      <c r="M721" s="7" t="s">
        <v>1422</v>
      </c>
      <c r="N721" s="14">
        <f>Greenleaf[[#This Row],[Unit Price]]*Greenleaf[[#This Row],[Quantity Sold]]</f>
        <v>240</v>
      </c>
      <c r="O721" s="13">
        <f>Greenleaf[[#This Row],[Unit Cost]]*Greenleaf[[#This Row],[Quantity Sold]]</f>
        <v>93.42</v>
      </c>
      <c r="P721" s="13">
        <f>Greenleaf[[#This Row],[ Unit  price per quantity]]-Greenleaf[[#This Row],[ Unit cost per quantity]]</f>
        <v>146.57999999999998</v>
      </c>
      <c r="Q721" s="14">
        <f>Greenleaf[[#This Row],[Quantity Sold]]*Greenleaf[[#This Row],[Unit Price]]</f>
        <v>240</v>
      </c>
    </row>
    <row r="722" spans="1:17" x14ac:dyDescent="0.25">
      <c r="A722" t="s">
        <v>2148</v>
      </c>
      <c r="B722" s="5">
        <v>45552</v>
      </c>
      <c r="C722" s="5" t="str">
        <f>TEXT(Greenleaf[[#This Row],[Order Date]],"MMM")</f>
        <v>Sep</v>
      </c>
      <c r="D722" s="5" t="str">
        <f>TEXT(Greenleaf[[#This Row],[Order Date]],"YYYY")</f>
        <v>2024</v>
      </c>
      <c r="E722" t="s">
        <v>2462</v>
      </c>
      <c r="F722" s="7" t="s">
        <v>1013</v>
      </c>
      <c r="G722" s="9">
        <v>9</v>
      </c>
      <c r="H722" s="11">
        <v>25</v>
      </c>
      <c r="I722" s="13">
        <v>8.24</v>
      </c>
      <c r="J722" t="s">
        <v>1124</v>
      </c>
      <c r="K722" t="s">
        <v>2519</v>
      </c>
      <c r="L722" s="7" t="s">
        <v>1414</v>
      </c>
      <c r="M722" s="7" t="s">
        <v>1418</v>
      </c>
      <c r="N722" s="14">
        <f>Greenleaf[[#This Row],[Unit Price]]*Greenleaf[[#This Row],[Quantity Sold]]</f>
        <v>225</v>
      </c>
      <c r="O722" s="13">
        <f>Greenleaf[[#This Row],[Unit Cost]]*Greenleaf[[#This Row],[Quantity Sold]]</f>
        <v>74.16</v>
      </c>
      <c r="P722" s="13">
        <f>Greenleaf[[#This Row],[ Unit  price per quantity]]-Greenleaf[[#This Row],[ Unit cost per quantity]]</f>
        <v>150.84</v>
      </c>
      <c r="Q722" s="14">
        <f>Greenleaf[[#This Row],[Quantity Sold]]*Greenleaf[[#This Row],[Unit Price]]</f>
        <v>225</v>
      </c>
    </row>
    <row r="723" spans="1:17" x14ac:dyDescent="0.25">
      <c r="A723" t="s">
        <v>2149</v>
      </c>
      <c r="B723" s="5">
        <v>45552</v>
      </c>
      <c r="C723" s="5" t="str">
        <f>TEXT(Greenleaf[[#This Row],[Order Date]],"MMM")</f>
        <v>Sep</v>
      </c>
      <c r="D723" s="5" t="str">
        <f>TEXT(Greenleaf[[#This Row],[Order Date]],"YYYY")</f>
        <v>2024</v>
      </c>
      <c r="E723" t="s">
        <v>2462</v>
      </c>
      <c r="F723" s="7" t="s">
        <v>1013</v>
      </c>
      <c r="G723" s="9">
        <v>10</v>
      </c>
      <c r="H723" s="11">
        <v>25</v>
      </c>
      <c r="I723" s="13">
        <v>5.84</v>
      </c>
      <c r="J723" t="s">
        <v>1045</v>
      </c>
      <c r="K723" t="s">
        <v>2585</v>
      </c>
      <c r="L723" s="7" t="s">
        <v>1416</v>
      </c>
      <c r="M723" s="7" t="s">
        <v>1418</v>
      </c>
      <c r="N723" s="14">
        <f>Greenleaf[[#This Row],[Unit Price]]*Greenleaf[[#This Row],[Quantity Sold]]</f>
        <v>250</v>
      </c>
      <c r="O723" s="13">
        <f>Greenleaf[[#This Row],[Unit Cost]]*Greenleaf[[#This Row],[Quantity Sold]]</f>
        <v>58.4</v>
      </c>
      <c r="P723" s="13">
        <f>Greenleaf[[#This Row],[ Unit  price per quantity]]-Greenleaf[[#This Row],[ Unit cost per quantity]]</f>
        <v>191.6</v>
      </c>
      <c r="Q723" s="14">
        <f>Greenleaf[[#This Row],[Quantity Sold]]*Greenleaf[[#This Row],[Unit Price]]</f>
        <v>250</v>
      </c>
    </row>
    <row r="724" spans="1:17" x14ac:dyDescent="0.25">
      <c r="A724" t="s">
        <v>2150</v>
      </c>
      <c r="B724" s="5">
        <v>45553</v>
      </c>
      <c r="C724" s="5" t="str">
        <f>TEXT(Greenleaf[[#This Row],[Order Date]],"MMM")</f>
        <v>Sep</v>
      </c>
      <c r="D724" s="5" t="str">
        <f>TEXT(Greenleaf[[#This Row],[Order Date]],"YYYY")</f>
        <v>2024</v>
      </c>
      <c r="E724" t="s">
        <v>2460</v>
      </c>
      <c r="F724" s="7" t="s">
        <v>1015</v>
      </c>
      <c r="G724" s="9">
        <v>4</v>
      </c>
      <c r="H724" s="11">
        <v>10</v>
      </c>
      <c r="I724" s="13">
        <v>3.28</v>
      </c>
      <c r="J724" t="s">
        <v>1025</v>
      </c>
      <c r="K724" t="s">
        <v>2471</v>
      </c>
      <c r="L724" s="7" t="s">
        <v>1414</v>
      </c>
      <c r="M724" s="7" t="s">
        <v>1421</v>
      </c>
      <c r="N724" s="14">
        <f>Greenleaf[[#This Row],[Unit Price]]*Greenleaf[[#This Row],[Quantity Sold]]</f>
        <v>40</v>
      </c>
      <c r="O724" s="13">
        <f>Greenleaf[[#This Row],[Unit Cost]]*Greenleaf[[#This Row],[Quantity Sold]]</f>
        <v>13.12</v>
      </c>
      <c r="P724" s="13">
        <f>Greenleaf[[#This Row],[ Unit  price per quantity]]-Greenleaf[[#This Row],[ Unit cost per quantity]]</f>
        <v>26.880000000000003</v>
      </c>
      <c r="Q724" s="14">
        <f>Greenleaf[[#This Row],[Quantity Sold]]*Greenleaf[[#This Row],[Unit Price]]</f>
        <v>40</v>
      </c>
    </row>
    <row r="725" spans="1:17" x14ac:dyDescent="0.25">
      <c r="A725" t="s">
        <v>2151</v>
      </c>
      <c r="B725" s="5">
        <v>45553</v>
      </c>
      <c r="C725" s="5" t="str">
        <f>TEXT(Greenleaf[[#This Row],[Order Date]],"MMM")</f>
        <v>Sep</v>
      </c>
      <c r="D725" s="5" t="str">
        <f>TEXT(Greenleaf[[#This Row],[Order Date]],"YYYY")</f>
        <v>2024</v>
      </c>
      <c r="E725" t="s">
        <v>2462</v>
      </c>
      <c r="F725" s="7" t="s">
        <v>1013</v>
      </c>
      <c r="G725" s="9">
        <v>8</v>
      </c>
      <c r="H725" s="11">
        <v>25</v>
      </c>
      <c r="I725" s="13">
        <v>9.33</v>
      </c>
      <c r="J725" t="s">
        <v>1181</v>
      </c>
      <c r="K725" t="s">
        <v>2536</v>
      </c>
      <c r="L725" s="7" t="s">
        <v>1414</v>
      </c>
      <c r="M725" s="7" t="s">
        <v>1426</v>
      </c>
      <c r="N725" s="14">
        <f>Greenleaf[[#This Row],[Unit Price]]*Greenleaf[[#This Row],[Quantity Sold]]</f>
        <v>200</v>
      </c>
      <c r="O725" s="13">
        <f>Greenleaf[[#This Row],[Unit Cost]]*Greenleaf[[#This Row],[Quantity Sold]]</f>
        <v>74.64</v>
      </c>
      <c r="P725" s="13">
        <f>Greenleaf[[#This Row],[ Unit  price per quantity]]-Greenleaf[[#This Row],[ Unit cost per quantity]]</f>
        <v>125.36</v>
      </c>
      <c r="Q725" s="14">
        <f>Greenleaf[[#This Row],[Quantity Sold]]*Greenleaf[[#This Row],[Unit Price]]</f>
        <v>200</v>
      </c>
    </row>
    <row r="726" spans="1:17" x14ac:dyDescent="0.25">
      <c r="A726" t="s">
        <v>2152</v>
      </c>
      <c r="B726" s="5">
        <v>45554</v>
      </c>
      <c r="C726" s="5" t="str">
        <f>TEXT(Greenleaf[[#This Row],[Order Date]],"MMM")</f>
        <v>Sep</v>
      </c>
      <c r="D726" s="5" t="str">
        <f>TEXT(Greenleaf[[#This Row],[Order Date]],"YYYY")</f>
        <v>2024</v>
      </c>
      <c r="E726" t="s">
        <v>2463</v>
      </c>
      <c r="F726" s="7" t="s">
        <v>1014</v>
      </c>
      <c r="G726" s="9">
        <v>10</v>
      </c>
      <c r="H726" s="11">
        <v>15</v>
      </c>
      <c r="I726" s="13">
        <v>5.0199999999999996</v>
      </c>
      <c r="J726" t="s">
        <v>1113</v>
      </c>
      <c r="K726" t="s">
        <v>2540</v>
      </c>
      <c r="L726" s="7" t="s">
        <v>1414</v>
      </c>
      <c r="M726" s="7" t="s">
        <v>1427</v>
      </c>
      <c r="N726" s="14">
        <f>Greenleaf[[#This Row],[Unit Price]]*Greenleaf[[#This Row],[Quantity Sold]]</f>
        <v>150</v>
      </c>
      <c r="O726" s="13">
        <f>Greenleaf[[#This Row],[Unit Cost]]*Greenleaf[[#This Row],[Quantity Sold]]</f>
        <v>50.199999999999996</v>
      </c>
      <c r="P726" s="13">
        <f>Greenleaf[[#This Row],[ Unit  price per quantity]]-Greenleaf[[#This Row],[ Unit cost per quantity]]</f>
        <v>99.800000000000011</v>
      </c>
      <c r="Q726" s="14">
        <f>Greenleaf[[#This Row],[Quantity Sold]]*Greenleaf[[#This Row],[Unit Price]]</f>
        <v>150</v>
      </c>
    </row>
    <row r="727" spans="1:17" x14ac:dyDescent="0.25">
      <c r="A727" t="s">
        <v>2153</v>
      </c>
      <c r="B727" s="5">
        <v>45554</v>
      </c>
      <c r="C727" s="5" t="str">
        <f>TEXT(Greenleaf[[#This Row],[Order Date]],"MMM")</f>
        <v>Sep</v>
      </c>
      <c r="D727" s="5" t="str">
        <f>TEXT(Greenleaf[[#This Row],[Order Date]],"YYYY")</f>
        <v>2024</v>
      </c>
      <c r="E727" t="s">
        <v>2462</v>
      </c>
      <c r="F727" s="7" t="s">
        <v>1013</v>
      </c>
      <c r="G727" s="9">
        <v>1</v>
      </c>
      <c r="H727" s="11">
        <v>25</v>
      </c>
      <c r="I727" s="13">
        <v>8.68</v>
      </c>
      <c r="J727" t="s">
        <v>1036</v>
      </c>
      <c r="K727" t="s">
        <v>2544</v>
      </c>
      <c r="L727" s="7" t="s">
        <v>1415</v>
      </c>
      <c r="M727" s="7" t="s">
        <v>1420</v>
      </c>
      <c r="N727" s="14">
        <f>Greenleaf[[#This Row],[Unit Price]]*Greenleaf[[#This Row],[Quantity Sold]]</f>
        <v>25</v>
      </c>
      <c r="O727" s="13">
        <f>Greenleaf[[#This Row],[Unit Cost]]*Greenleaf[[#This Row],[Quantity Sold]]</f>
        <v>8.68</v>
      </c>
      <c r="P727" s="13">
        <f>Greenleaf[[#This Row],[ Unit  price per quantity]]-Greenleaf[[#This Row],[ Unit cost per quantity]]</f>
        <v>16.32</v>
      </c>
      <c r="Q727" s="14">
        <f>Greenleaf[[#This Row],[Quantity Sold]]*Greenleaf[[#This Row],[Unit Price]]</f>
        <v>25</v>
      </c>
    </row>
    <row r="728" spans="1:17" x14ac:dyDescent="0.25">
      <c r="A728" t="s">
        <v>2154</v>
      </c>
      <c r="B728" s="5">
        <v>45554</v>
      </c>
      <c r="C728" s="5" t="str">
        <f>TEXT(Greenleaf[[#This Row],[Order Date]],"MMM")</f>
        <v>Sep</v>
      </c>
      <c r="D728" s="5" t="str">
        <f>TEXT(Greenleaf[[#This Row],[Order Date]],"YYYY")</f>
        <v>2024</v>
      </c>
      <c r="E728" t="s">
        <v>2464</v>
      </c>
      <c r="F728" s="7" t="s">
        <v>1012</v>
      </c>
      <c r="G728" s="9">
        <v>7</v>
      </c>
      <c r="H728" s="11">
        <v>40</v>
      </c>
      <c r="I728" s="13">
        <v>8.74</v>
      </c>
      <c r="J728" t="s">
        <v>1182</v>
      </c>
      <c r="K728" t="s">
        <v>2580</v>
      </c>
      <c r="L728" s="7" t="s">
        <v>1416</v>
      </c>
      <c r="M728" s="7" t="s">
        <v>1422</v>
      </c>
      <c r="N728" s="14">
        <f>Greenleaf[[#This Row],[Unit Price]]*Greenleaf[[#This Row],[Quantity Sold]]</f>
        <v>280</v>
      </c>
      <c r="O728" s="13">
        <f>Greenleaf[[#This Row],[Unit Cost]]*Greenleaf[[#This Row],[Quantity Sold]]</f>
        <v>61.18</v>
      </c>
      <c r="P728" s="13">
        <f>Greenleaf[[#This Row],[ Unit  price per quantity]]-Greenleaf[[#This Row],[ Unit cost per quantity]]</f>
        <v>218.82</v>
      </c>
      <c r="Q728" s="14">
        <f>Greenleaf[[#This Row],[Quantity Sold]]*Greenleaf[[#This Row],[Unit Price]]</f>
        <v>280</v>
      </c>
    </row>
    <row r="729" spans="1:17" x14ac:dyDescent="0.25">
      <c r="A729" t="s">
        <v>2155</v>
      </c>
      <c r="B729" s="5">
        <v>45555</v>
      </c>
      <c r="C729" s="5" t="str">
        <f>TEXT(Greenleaf[[#This Row],[Order Date]],"MMM")</f>
        <v>Sep</v>
      </c>
      <c r="D729" s="5" t="str">
        <f>TEXT(Greenleaf[[#This Row],[Order Date]],"YYYY")</f>
        <v>2024</v>
      </c>
      <c r="E729" t="s">
        <v>2462</v>
      </c>
      <c r="F729" s="7" t="s">
        <v>1013</v>
      </c>
      <c r="G729" s="9">
        <v>3</v>
      </c>
      <c r="H729" s="11">
        <v>25</v>
      </c>
      <c r="I729" s="13">
        <v>7.17</v>
      </c>
      <c r="J729" t="s">
        <v>1085</v>
      </c>
      <c r="K729" t="s">
        <v>2572</v>
      </c>
      <c r="L729" s="7" t="s">
        <v>1414</v>
      </c>
      <c r="M729" s="7" t="s">
        <v>1419</v>
      </c>
      <c r="N729" s="14">
        <f>Greenleaf[[#This Row],[Unit Price]]*Greenleaf[[#This Row],[Quantity Sold]]</f>
        <v>75</v>
      </c>
      <c r="O729" s="13">
        <f>Greenleaf[[#This Row],[Unit Cost]]*Greenleaf[[#This Row],[Quantity Sold]]</f>
        <v>21.509999999999998</v>
      </c>
      <c r="P729" s="13">
        <f>Greenleaf[[#This Row],[ Unit  price per quantity]]-Greenleaf[[#This Row],[ Unit cost per quantity]]</f>
        <v>53.49</v>
      </c>
      <c r="Q729" s="14">
        <f>Greenleaf[[#This Row],[Quantity Sold]]*Greenleaf[[#This Row],[Unit Price]]</f>
        <v>75</v>
      </c>
    </row>
    <row r="730" spans="1:17" x14ac:dyDescent="0.25">
      <c r="A730" t="s">
        <v>2156</v>
      </c>
      <c r="B730" s="5">
        <v>45556</v>
      </c>
      <c r="C730" s="5" t="str">
        <f>TEXT(Greenleaf[[#This Row],[Order Date]],"MMM")</f>
        <v>Sep</v>
      </c>
      <c r="D730" s="5" t="str">
        <f>TEXT(Greenleaf[[#This Row],[Order Date]],"YYYY")</f>
        <v>2024</v>
      </c>
      <c r="E730" t="s">
        <v>2460</v>
      </c>
      <c r="F730" s="7" t="s">
        <v>1015</v>
      </c>
      <c r="G730" s="9">
        <v>8</v>
      </c>
      <c r="H730" s="11">
        <v>10</v>
      </c>
      <c r="I730" s="13">
        <v>3.47</v>
      </c>
      <c r="J730" t="s">
        <v>1158</v>
      </c>
      <c r="K730" t="s">
        <v>2541</v>
      </c>
      <c r="L730" s="7" t="s">
        <v>1416</v>
      </c>
      <c r="M730" s="7" t="s">
        <v>1419</v>
      </c>
      <c r="N730" s="14">
        <f>Greenleaf[[#This Row],[Unit Price]]*Greenleaf[[#This Row],[Quantity Sold]]</f>
        <v>80</v>
      </c>
      <c r="O730" s="13">
        <f>Greenleaf[[#This Row],[Unit Cost]]*Greenleaf[[#This Row],[Quantity Sold]]</f>
        <v>27.76</v>
      </c>
      <c r="P730" s="13">
        <f>Greenleaf[[#This Row],[ Unit  price per quantity]]-Greenleaf[[#This Row],[ Unit cost per quantity]]</f>
        <v>52.239999999999995</v>
      </c>
      <c r="Q730" s="14">
        <f>Greenleaf[[#This Row],[Quantity Sold]]*Greenleaf[[#This Row],[Unit Price]]</f>
        <v>80</v>
      </c>
    </row>
    <row r="731" spans="1:17" x14ac:dyDescent="0.25">
      <c r="A731" t="s">
        <v>2157</v>
      </c>
      <c r="B731" s="5">
        <v>45557</v>
      </c>
      <c r="C731" s="5" t="str">
        <f>TEXT(Greenleaf[[#This Row],[Order Date]],"MMM")</f>
        <v>Sep</v>
      </c>
      <c r="D731" s="5" t="str">
        <f>TEXT(Greenleaf[[#This Row],[Order Date]],"YYYY")</f>
        <v>2024</v>
      </c>
      <c r="E731" t="s">
        <v>2461</v>
      </c>
      <c r="F731" s="7" t="s">
        <v>1011</v>
      </c>
      <c r="G731" s="9">
        <v>5</v>
      </c>
      <c r="H731" s="11">
        <v>12</v>
      </c>
      <c r="I731" s="13">
        <v>2.78</v>
      </c>
      <c r="J731" t="s">
        <v>1062</v>
      </c>
      <c r="K731" t="s">
        <v>2541</v>
      </c>
      <c r="L731" s="7" t="s">
        <v>1416</v>
      </c>
      <c r="M731" s="7" t="s">
        <v>1423</v>
      </c>
      <c r="N731" s="14">
        <f>Greenleaf[[#This Row],[Unit Price]]*Greenleaf[[#This Row],[Quantity Sold]]</f>
        <v>60</v>
      </c>
      <c r="O731" s="13">
        <f>Greenleaf[[#This Row],[Unit Cost]]*Greenleaf[[#This Row],[Quantity Sold]]</f>
        <v>13.899999999999999</v>
      </c>
      <c r="P731" s="13">
        <f>Greenleaf[[#This Row],[ Unit  price per quantity]]-Greenleaf[[#This Row],[ Unit cost per quantity]]</f>
        <v>46.1</v>
      </c>
      <c r="Q731" s="14">
        <f>Greenleaf[[#This Row],[Quantity Sold]]*Greenleaf[[#This Row],[Unit Price]]</f>
        <v>60</v>
      </c>
    </row>
    <row r="732" spans="1:17" x14ac:dyDescent="0.25">
      <c r="A732" t="s">
        <v>2158</v>
      </c>
      <c r="B732" s="5">
        <v>45557</v>
      </c>
      <c r="C732" s="5" t="str">
        <f>TEXT(Greenleaf[[#This Row],[Order Date]],"MMM")</f>
        <v>Sep</v>
      </c>
      <c r="D732" s="5" t="str">
        <f>TEXT(Greenleaf[[#This Row],[Order Date]],"YYYY")</f>
        <v>2024</v>
      </c>
      <c r="E732" t="s">
        <v>2461</v>
      </c>
      <c r="F732" s="7" t="s">
        <v>1011</v>
      </c>
      <c r="G732" s="9">
        <v>9</v>
      </c>
      <c r="H732" s="11">
        <v>12</v>
      </c>
      <c r="I732" s="13">
        <v>2.94</v>
      </c>
      <c r="J732" t="s">
        <v>1023</v>
      </c>
      <c r="K732" t="s">
        <v>2473</v>
      </c>
      <c r="L732" s="7" t="s">
        <v>1414</v>
      </c>
      <c r="M732" s="7" t="s">
        <v>1427</v>
      </c>
      <c r="N732" s="14">
        <f>Greenleaf[[#This Row],[Unit Price]]*Greenleaf[[#This Row],[Quantity Sold]]</f>
        <v>108</v>
      </c>
      <c r="O732" s="13">
        <f>Greenleaf[[#This Row],[Unit Cost]]*Greenleaf[[#This Row],[Quantity Sold]]</f>
        <v>26.46</v>
      </c>
      <c r="P732" s="13">
        <f>Greenleaf[[#This Row],[ Unit  price per quantity]]-Greenleaf[[#This Row],[ Unit cost per quantity]]</f>
        <v>81.539999999999992</v>
      </c>
      <c r="Q732" s="14">
        <f>Greenleaf[[#This Row],[Quantity Sold]]*Greenleaf[[#This Row],[Unit Price]]</f>
        <v>108</v>
      </c>
    </row>
    <row r="733" spans="1:17" x14ac:dyDescent="0.25">
      <c r="A733" t="s">
        <v>2159</v>
      </c>
      <c r="B733" s="5">
        <v>45557</v>
      </c>
      <c r="C733" s="5" t="str">
        <f>TEXT(Greenleaf[[#This Row],[Order Date]],"MMM")</f>
        <v>Sep</v>
      </c>
      <c r="D733" s="5" t="str">
        <f>TEXT(Greenleaf[[#This Row],[Order Date]],"YYYY")</f>
        <v>2024</v>
      </c>
      <c r="E733" t="s">
        <v>2461</v>
      </c>
      <c r="F733" s="7" t="s">
        <v>1011</v>
      </c>
      <c r="G733" s="9">
        <v>3</v>
      </c>
      <c r="H733" s="11">
        <v>12</v>
      </c>
      <c r="I733" s="13">
        <v>4.49</v>
      </c>
      <c r="J733" t="s">
        <v>1046</v>
      </c>
      <c r="K733" t="s">
        <v>2500</v>
      </c>
      <c r="L733" s="7" t="s">
        <v>1414</v>
      </c>
      <c r="M733" s="7" t="s">
        <v>1423</v>
      </c>
      <c r="N733" s="14">
        <f>Greenleaf[[#This Row],[Unit Price]]*Greenleaf[[#This Row],[Quantity Sold]]</f>
        <v>36</v>
      </c>
      <c r="O733" s="13">
        <f>Greenleaf[[#This Row],[Unit Cost]]*Greenleaf[[#This Row],[Quantity Sold]]</f>
        <v>13.47</v>
      </c>
      <c r="P733" s="13">
        <f>Greenleaf[[#This Row],[ Unit  price per quantity]]-Greenleaf[[#This Row],[ Unit cost per quantity]]</f>
        <v>22.53</v>
      </c>
      <c r="Q733" s="14">
        <f>Greenleaf[[#This Row],[Quantity Sold]]*Greenleaf[[#This Row],[Unit Price]]</f>
        <v>36</v>
      </c>
    </row>
    <row r="734" spans="1:17" x14ac:dyDescent="0.25">
      <c r="A734" t="s">
        <v>2160</v>
      </c>
      <c r="B734" s="5">
        <v>45558</v>
      </c>
      <c r="C734" s="5" t="str">
        <f>TEXT(Greenleaf[[#This Row],[Order Date]],"MMM")</f>
        <v>Sep</v>
      </c>
      <c r="D734" s="5" t="str">
        <f>TEXT(Greenleaf[[#This Row],[Order Date]],"YYYY")</f>
        <v>2024</v>
      </c>
      <c r="E734" t="s">
        <v>2462</v>
      </c>
      <c r="F734" s="7" t="s">
        <v>1013</v>
      </c>
      <c r="G734" s="9">
        <v>8</v>
      </c>
      <c r="H734" s="11">
        <v>25</v>
      </c>
      <c r="I734" s="13">
        <v>6.84</v>
      </c>
      <c r="J734" t="s">
        <v>1102</v>
      </c>
      <c r="K734" t="s">
        <v>2564</v>
      </c>
      <c r="L734" s="7" t="s">
        <v>1417</v>
      </c>
      <c r="M734" s="7" t="s">
        <v>1426</v>
      </c>
      <c r="N734" s="14">
        <f>Greenleaf[[#This Row],[Unit Price]]*Greenleaf[[#This Row],[Quantity Sold]]</f>
        <v>200</v>
      </c>
      <c r="O734" s="13">
        <f>Greenleaf[[#This Row],[Unit Cost]]*Greenleaf[[#This Row],[Quantity Sold]]</f>
        <v>54.72</v>
      </c>
      <c r="P734" s="13">
        <f>Greenleaf[[#This Row],[ Unit  price per quantity]]-Greenleaf[[#This Row],[ Unit cost per quantity]]</f>
        <v>145.28</v>
      </c>
      <c r="Q734" s="14">
        <f>Greenleaf[[#This Row],[Quantity Sold]]*Greenleaf[[#This Row],[Unit Price]]</f>
        <v>200</v>
      </c>
    </row>
    <row r="735" spans="1:17" x14ac:dyDescent="0.25">
      <c r="A735" t="s">
        <v>2161</v>
      </c>
      <c r="B735" s="5">
        <v>45558</v>
      </c>
      <c r="C735" s="5" t="str">
        <f>TEXT(Greenleaf[[#This Row],[Order Date]],"MMM")</f>
        <v>Sep</v>
      </c>
      <c r="D735" s="5" t="str">
        <f>TEXT(Greenleaf[[#This Row],[Order Date]],"YYYY")</f>
        <v>2024</v>
      </c>
      <c r="E735" t="s">
        <v>2462</v>
      </c>
      <c r="F735" s="7" t="s">
        <v>1013</v>
      </c>
      <c r="G735" s="9">
        <v>9</v>
      </c>
      <c r="H735" s="11">
        <v>25</v>
      </c>
      <c r="I735" s="13">
        <v>7.79</v>
      </c>
      <c r="J735" t="s">
        <v>1080</v>
      </c>
      <c r="K735" t="s">
        <v>2470</v>
      </c>
      <c r="L735" s="7" t="s">
        <v>1414</v>
      </c>
      <c r="M735" s="7" t="s">
        <v>1425</v>
      </c>
      <c r="N735" s="14">
        <f>Greenleaf[[#This Row],[Unit Price]]*Greenleaf[[#This Row],[Quantity Sold]]</f>
        <v>225</v>
      </c>
      <c r="O735" s="13">
        <f>Greenleaf[[#This Row],[Unit Cost]]*Greenleaf[[#This Row],[Quantity Sold]]</f>
        <v>70.11</v>
      </c>
      <c r="P735" s="13">
        <f>Greenleaf[[#This Row],[ Unit  price per quantity]]-Greenleaf[[#This Row],[ Unit cost per quantity]]</f>
        <v>154.88999999999999</v>
      </c>
      <c r="Q735" s="14">
        <f>Greenleaf[[#This Row],[Quantity Sold]]*Greenleaf[[#This Row],[Unit Price]]</f>
        <v>225</v>
      </c>
    </row>
    <row r="736" spans="1:17" x14ac:dyDescent="0.25">
      <c r="A736" t="s">
        <v>2162</v>
      </c>
      <c r="B736" s="5">
        <v>45558</v>
      </c>
      <c r="C736" s="5" t="str">
        <f>TEXT(Greenleaf[[#This Row],[Order Date]],"MMM")</f>
        <v>Sep</v>
      </c>
      <c r="D736" s="5" t="str">
        <f>TEXT(Greenleaf[[#This Row],[Order Date]],"YYYY")</f>
        <v>2024</v>
      </c>
      <c r="E736" t="s">
        <v>2462</v>
      </c>
      <c r="F736" s="7" t="s">
        <v>1013</v>
      </c>
      <c r="G736" s="9">
        <v>7</v>
      </c>
      <c r="H736" s="11">
        <v>25</v>
      </c>
      <c r="I736" s="13">
        <v>8.2899999999999991</v>
      </c>
      <c r="J736" t="s">
        <v>1173</v>
      </c>
      <c r="K736" t="s">
        <v>2543</v>
      </c>
      <c r="L736" s="7" t="s">
        <v>1414</v>
      </c>
      <c r="M736" s="7" t="s">
        <v>1422</v>
      </c>
      <c r="N736" s="14">
        <f>Greenleaf[[#This Row],[Unit Price]]*Greenleaf[[#This Row],[Quantity Sold]]</f>
        <v>175</v>
      </c>
      <c r="O736" s="13">
        <f>Greenleaf[[#This Row],[Unit Cost]]*Greenleaf[[#This Row],[Quantity Sold]]</f>
        <v>58.029999999999994</v>
      </c>
      <c r="P736" s="13">
        <f>Greenleaf[[#This Row],[ Unit  price per quantity]]-Greenleaf[[#This Row],[ Unit cost per quantity]]</f>
        <v>116.97</v>
      </c>
      <c r="Q736" s="14">
        <f>Greenleaf[[#This Row],[Quantity Sold]]*Greenleaf[[#This Row],[Unit Price]]</f>
        <v>175</v>
      </c>
    </row>
    <row r="737" spans="1:17" x14ac:dyDescent="0.25">
      <c r="A737" t="s">
        <v>2163</v>
      </c>
      <c r="B737" s="5">
        <v>45559</v>
      </c>
      <c r="C737" s="5" t="str">
        <f>TEXT(Greenleaf[[#This Row],[Order Date]],"MMM")</f>
        <v>Sep</v>
      </c>
      <c r="D737" s="5" t="str">
        <f>TEXT(Greenleaf[[#This Row],[Order Date]],"YYYY")</f>
        <v>2024</v>
      </c>
      <c r="E737" t="s">
        <v>2460</v>
      </c>
      <c r="F737" s="7" t="s">
        <v>1015</v>
      </c>
      <c r="G737" s="9">
        <v>2</v>
      </c>
      <c r="H737" s="11">
        <v>10</v>
      </c>
      <c r="I737" s="13">
        <v>2.94</v>
      </c>
      <c r="J737" t="s">
        <v>1165</v>
      </c>
      <c r="K737" t="s">
        <v>2515</v>
      </c>
      <c r="L737" s="7" t="s">
        <v>1415</v>
      </c>
      <c r="M737" s="7" t="s">
        <v>1418</v>
      </c>
      <c r="N737" s="14">
        <f>Greenleaf[[#This Row],[Unit Price]]*Greenleaf[[#This Row],[Quantity Sold]]</f>
        <v>20</v>
      </c>
      <c r="O737" s="13">
        <f>Greenleaf[[#This Row],[Unit Cost]]*Greenleaf[[#This Row],[Quantity Sold]]</f>
        <v>5.88</v>
      </c>
      <c r="P737" s="13">
        <f>Greenleaf[[#This Row],[ Unit  price per quantity]]-Greenleaf[[#This Row],[ Unit cost per quantity]]</f>
        <v>14.120000000000001</v>
      </c>
      <c r="Q737" s="14">
        <f>Greenleaf[[#This Row],[Quantity Sold]]*Greenleaf[[#This Row],[Unit Price]]</f>
        <v>20</v>
      </c>
    </row>
    <row r="738" spans="1:17" x14ac:dyDescent="0.25">
      <c r="A738" t="s">
        <v>2164</v>
      </c>
      <c r="B738" s="5">
        <v>45559</v>
      </c>
      <c r="C738" s="5" t="str">
        <f>TEXT(Greenleaf[[#This Row],[Order Date]],"MMM")</f>
        <v>Sep</v>
      </c>
      <c r="D738" s="5" t="str">
        <f>TEXT(Greenleaf[[#This Row],[Order Date]],"YYYY")</f>
        <v>2024</v>
      </c>
      <c r="E738" t="s">
        <v>2460</v>
      </c>
      <c r="F738" s="7" t="s">
        <v>1015</v>
      </c>
      <c r="G738" s="9">
        <v>1</v>
      </c>
      <c r="H738" s="11">
        <v>10</v>
      </c>
      <c r="I738" s="13">
        <v>3.62</v>
      </c>
      <c r="J738" t="s">
        <v>1098</v>
      </c>
      <c r="K738" t="s">
        <v>2492</v>
      </c>
      <c r="L738" s="7" t="s">
        <v>1414</v>
      </c>
      <c r="M738" s="7" t="s">
        <v>1418</v>
      </c>
      <c r="N738" s="14">
        <f>Greenleaf[[#This Row],[Unit Price]]*Greenleaf[[#This Row],[Quantity Sold]]</f>
        <v>10</v>
      </c>
      <c r="O738" s="13">
        <f>Greenleaf[[#This Row],[Unit Cost]]*Greenleaf[[#This Row],[Quantity Sold]]</f>
        <v>3.62</v>
      </c>
      <c r="P738" s="13">
        <f>Greenleaf[[#This Row],[ Unit  price per quantity]]-Greenleaf[[#This Row],[ Unit cost per quantity]]</f>
        <v>6.38</v>
      </c>
      <c r="Q738" s="14">
        <f>Greenleaf[[#This Row],[Quantity Sold]]*Greenleaf[[#This Row],[Unit Price]]</f>
        <v>10</v>
      </c>
    </row>
    <row r="739" spans="1:17" x14ac:dyDescent="0.25">
      <c r="A739" t="s">
        <v>2165</v>
      </c>
      <c r="B739" s="5">
        <v>45560</v>
      </c>
      <c r="C739" s="5" t="str">
        <f>TEXT(Greenleaf[[#This Row],[Order Date]],"MMM")</f>
        <v>Sep</v>
      </c>
      <c r="D739" s="5" t="str">
        <f>TEXT(Greenleaf[[#This Row],[Order Date]],"YYYY")</f>
        <v>2024</v>
      </c>
      <c r="E739" t="s">
        <v>2460</v>
      </c>
      <c r="F739" s="7" t="s">
        <v>1015</v>
      </c>
      <c r="G739" s="9">
        <v>8</v>
      </c>
      <c r="H739" s="11">
        <v>10</v>
      </c>
      <c r="I739" s="13">
        <v>2.08</v>
      </c>
      <c r="J739" t="s">
        <v>1086</v>
      </c>
      <c r="K739" t="s">
        <v>2520</v>
      </c>
      <c r="L739" s="7" t="s">
        <v>1414</v>
      </c>
      <c r="M739" s="7" t="s">
        <v>1423</v>
      </c>
      <c r="N739" s="14">
        <f>Greenleaf[[#This Row],[Unit Price]]*Greenleaf[[#This Row],[Quantity Sold]]</f>
        <v>80</v>
      </c>
      <c r="O739" s="13">
        <f>Greenleaf[[#This Row],[Unit Cost]]*Greenleaf[[#This Row],[Quantity Sold]]</f>
        <v>16.64</v>
      </c>
      <c r="P739" s="13">
        <f>Greenleaf[[#This Row],[ Unit  price per quantity]]-Greenleaf[[#This Row],[ Unit cost per quantity]]</f>
        <v>63.36</v>
      </c>
      <c r="Q739" s="14">
        <f>Greenleaf[[#This Row],[Quantity Sold]]*Greenleaf[[#This Row],[Unit Price]]</f>
        <v>80</v>
      </c>
    </row>
    <row r="740" spans="1:17" x14ac:dyDescent="0.25">
      <c r="A740" t="s">
        <v>2166</v>
      </c>
      <c r="B740" s="5">
        <v>45561</v>
      </c>
      <c r="C740" s="5" t="str">
        <f>TEXT(Greenleaf[[#This Row],[Order Date]],"MMM")</f>
        <v>Sep</v>
      </c>
      <c r="D740" s="5" t="str">
        <f>TEXT(Greenleaf[[#This Row],[Order Date]],"YYYY")</f>
        <v>2024</v>
      </c>
      <c r="E740" t="s">
        <v>2461</v>
      </c>
      <c r="F740" s="7" t="s">
        <v>1011</v>
      </c>
      <c r="G740" s="9">
        <v>5</v>
      </c>
      <c r="H740" s="11">
        <v>12</v>
      </c>
      <c r="I740" s="13">
        <v>4.6900000000000004</v>
      </c>
      <c r="J740" t="s">
        <v>1191</v>
      </c>
      <c r="K740" t="s">
        <v>2574</v>
      </c>
      <c r="L740" s="7" t="s">
        <v>1414</v>
      </c>
      <c r="M740" s="7" t="s">
        <v>1427</v>
      </c>
      <c r="N740" s="14">
        <f>Greenleaf[[#This Row],[Unit Price]]*Greenleaf[[#This Row],[Quantity Sold]]</f>
        <v>60</v>
      </c>
      <c r="O740" s="13">
        <f>Greenleaf[[#This Row],[Unit Cost]]*Greenleaf[[#This Row],[Quantity Sold]]</f>
        <v>23.450000000000003</v>
      </c>
      <c r="P740" s="13">
        <f>Greenleaf[[#This Row],[ Unit  price per quantity]]-Greenleaf[[#This Row],[ Unit cost per quantity]]</f>
        <v>36.549999999999997</v>
      </c>
      <c r="Q740" s="14">
        <f>Greenleaf[[#This Row],[Quantity Sold]]*Greenleaf[[#This Row],[Unit Price]]</f>
        <v>60</v>
      </c>
    </row>
    <row r="741" spans="1:17" x14ac:dyDescent="0.25">
      <c r="A741" t="s">
        <v>2167</v>
      </c>
      <c r="B741" s="5">
        <v>45561</v>
      </c>
      <c r="C741" s="5" t="str">
        <f>TEXT(Greenleaf[[#This Row],[Order Date]],"MMM")</f>
        <v>Sep</v>
      </c>
      <c r="D741" s="5" t="str">
        <f>TEXT(Greenleaf[[#This Row],[Order Date]],"YYYY")</f>
        <v>2024</v>
      </c>
      <c r="E741" t="s">
        <v>2461</v>
      </c>
      <c r="F741" s="7" t="s">
        <v>1011</v>
      </c>
      <c r="G741" s="9">
        <v>7</v>
      </c>
      <c r="H741" s="11">
        <v>12</v>
      </c>
      <c r="I741" s="13">
        <v>3.9</v>
      </c>
      <c r="J741" t="s">
        <v>1109</v>
      </c>
      <c r="K741" t="s">
        <v>2560</v>
      </c>
      <c r="L741" s="7" t="s">
        <v>1415</v>
      </c>
      <c r="M741" s="7" t="s">
        <v>1425</v>
      </c>
      <c r="N741" s="14">
        <f>Greenleaf[[#This Row],[Unit Price]]*Greenleaf[[#This Row],[Quantity Sold]]</f>
        <v>84</v>
      </c>
      <c r="O741" s="13">
        <f>Greenleaf[[#This Row],[Unit Cost]]*Greenleaf[[#This Row],[Quantity Sold]]</f>
        <v>27.3</v>
      </c>
      <c r="P741" s="13">
        <f>Greenleaf[[#This Row],[ Unit  price per quantity]]-Greenleaf[[#This Row],[ Unit cost per quantity]]</f>
        <v>56.7</v>
      </c>
      <c r="Q741" s="14">
        <f>Greenleaf[[#This Row],[Quantity Sold]]*Greenleaf[[#This Row],[Unit Price]]</f>
        <v>84</v>
      </c>
    </row>
    <row r="742" spans="1:17" x14ac:dyDescent="0.25">
      <c r="A742" t="s">
        <v>2168</v>
      </c>
      <c r="B742" s="5">
        <v>45562</v>
      </c>
      <c r="C742" s="5" t="str">
        <f>TEXT(Greenleaf[[#This Row],[Order Date]],"MMM")</f>
        <v>Sep</v>
      </c>
      <c r="D742" s="5" t="str">
        <f>TEXT(Greenleaf[[#This Row],[Order Date]],"YYYY")</f>
        <v>2024</v>
      </c>
      <c r="E742" t="s">
        <v>2463</v>
      </c>
      <c r="F742" s="7" t="s">
        <v>1014</v>
      </c>
      <c r="G742" s="9">
        <v>10</v>
      </c>
      <c r="H742" s="11">
        <v>15</v>
      </c>
      <c r="I742" s="13">
        <v>3.05</v>
      </c>
      <c r="J742" t="s">
        <v>1151</v>
      </c>
      <c r="K742" t="s">
        <v>2568</v>
      </c>
      <c r="L742" s="7" t="s">
        <v>1416</v>
      </c>
      <c r="M742" s="7" t="s">
        <v>1423</v>
      </c>
      <c r="N742" s="14">
        <f>Greenleaf[[#This Row],[Unit Price]]*Greenleaf[[#This Row],[Quantity Sold]]</f>
        <v>150</v>
      </c>
      <c r="O742" s="13">
        <f>Greenleaf[[#This Row],[Unit Cost]]*Greenleaf[[#This Row],[Quantity Sold]]</f>
        <v>30.5</v>
      </c>
      <c r="P742" s="13">
        <f>Greenleaf[[#This Row],[ Unit  price per quantity]]-Greenleaf[[#This Row],[ Unit cost per quantity]]</f>
        <v>119.5</v>
      </c>
      <c r="Q742" s="14">
        <f>Greenleaf[[#This Row],[Quantity Sold]]*Greenleaf[[#This Row],[Unit Price]]</f>
        <v>150</v>
      </c>
    </row>
    <row r="743" spans="1:17" x14ac:dyDescent="0.25">
      <c r="A743" t="s">
        <v>2169</v>
      </c>
      <c r="B743" s="5">
        <v>45562</v>
      </c>
      <c r="C743" s="5" t="str">
        <f>TEXT(Greenleaf[[#This Row],[Order Date]],"MMM")</f>
        <v>Sep</v>
      </c>
      <c r="D743" s="5" t="str">
        <f>TEXT(Greenleaf[[#This Row],[Order Date]],"YYYY")</f>
        <v>2024</v>
      </c>
      <c r="E743" t="s">
        <v>2464</v>
      </c>
      <c r="F743" s="7" t="s">
        <v>1012</v>
      </c>
      <c r="G743" s="9">
        <v>5</v>
      </c>
      <c r="H743" s="11">
        <v>40</v>
      </c>
      <c r="I743" s="13">
        <v>8.11</v>
      </c>
      <c r="J743" t="s">
        <v>1127</v>
      </c>
      <c r="K743" t="s">
        <v>2509</v>
      </c>
      <c r="L743" s="7" t="s">
        <v>1414</v>
      </c>
      <c r="M743" s="7" t="s">
        <v>1426</v>
      </c>
      <c r="N743" s="14">
        <f>Greenleaf[[#This Row],[Unit Price]]*Greenleaf[[#This Row],[Quantity Sold]]</f>
        <v>200</v>
      </c>
      <c r="O743" s="13">
        <f>Greenleaf[[#This Row],[Unit Cost]]*Greenleaf[[#This Row],[Quantity Sold]]</f>
        <v>40.549999999999997</v>
      </c>
      <c r="P743" s="13">
        <f>Greenleaf[[#This Row],[ Unit  price per quantity]]-Greenleaf[[#This Row],[ Unit cost per quantity]]</f>
        <v>159.44999999999999</v>
      </c>
      <c r="Q743" s="14">
        <f>Greenleaf[[#This Row],[Quantity Sold]]*Greenleaf[[#This Row],[Unit Price]]</f>
        <v>200</v>
      </c>
    </row>
    <row r="744" spans="1:17" x14ac:dyDescent="0.25">
      <c r="A744" t="s">
        <v>2170</v>
      </c>
      <c r="B744" s="5">
        <v>45562</v>
      </c>
      <c r="C744" s="5" t="str">
        <f>TEXT(Greenleaf[[#This Row],[Order Date]],"MMM")</f>
        <v>Sep</v>
      </c>
      <c r="D744" s="5" t="str">
        <f>TEXT(Greenleaf[[#This Row],[Order Date]],"YYYY")</f>
        <v>2024</v>
      </c>
      <c r="E744" t="s">
        <v>2460</v>
      </c>
      <c r="F744" s="7" t="s">
        <v>1015</v>
      </c>
      <c r="G744" s="9">
        <v>10</v>
      </c>
      <c r="H744" s="11">
        <v>10</v>
      </c>
      <c r="I744" s="13">
        <v>3.29</v>
      </c>
      <c r="J744" t="s">
        <v>1173</v>
      </c>
      <c r="K744" t="s">
        <v>2543</v>
      </c>
      <c r="L744" s="7" t="s">
        <v>1414</v>
      </c>
      <c r="M744" s="7" t="s">
        <v>1424</v>
      </c>
      <c r="N744" s="14">
        <f>Greenleaf[[#This Row],[Unit Price]]*Greenleaf[[#This Row],[Quantity Sold]]</f>
        <v>100</v>
      </c>
      <c r="O744" s="13">
        <f>Greenleaf[[#This Row],[Unit Cost]]*Greenleaf[[#This Row],[Quantity Sold]]</f>
        <v>32.9</v>
      </c>
      <c r="P744" s="13">
        <f>Greenleaf[[#This Row],[ Unit  price per quantity]]-Greenleaf[[#This Row],[ Unit cost per quantity]]</f>
        <v>67.099999999999994</v>
      </c>
      <c r="Q744" s="14">
        <f>Greenleaf[[#This Row],[Quantity Sold]]*Greenleaf[[#This Row],[Unit Price]]</f>
        <v>100</v>
      </c>
    </row>
    <row r="745" spans="1:17" x14ac:dyDescent="0.25">
      <c r="A745" t="s">
        <v>2171</v>
      </c>
      <c r="B745" s="5">
        <v>45563</v>
      </c>
      <c r="C745" s="5" t="str">
        <f>TEXT(Greenleaf[[#This Row],[Order Date]],"MMM")</f>
        <v>Sep</v>
      </c>
      <c r="D745" s="5" t="str">
        <f>TEXT(Greenleaf[[#This Row],[Order Date]],"YYYY")</f>
        <v>2024</v>
      </c>
      <c r="E745" t="s">
        <v>2460</v>
      </c>
      <c r="F745" s="7" t="s">
        <v>1015</v>
      </c>
      <c r="G745" s="9">
        <v>5</v>
      </c>
      <c r="H745" s="11">
        <v>10</v>
      </c>
      <c r="I745" s="13">
        <v>2.66</v>
      </c>
      <c r="J745" t="s">
        <v>1070</v>
      </c>
      <c r="K745" t="s">
        <v>2517</v>
      </c>
      <c r="L745" s="7" t="s">
        <v>1416</v>
      </c>
      <c r="M745" s="7" t="s">
        <v>1424</v>
      </c>
      <c r="N745" s="14">
        <f>Greenleaf[[#This Row],[Unit Price]]*Greenleaf[[#This Row],[Quantity Sold]]</f>
        <v>50</v>
      </c>
      <c r="O745" s="13">
        <f>Greenleaf[[#This Row],[Unit Cost]]*Greenleaf[[#This Row],[Quantity Sold]]</f>
        <v>13.3</v>
      </c>
      <c r="P745" s="13">
        <f>Greenleaf[[#This Row],[ Unit  price per quantity]]-Greenleaf[[#This Row],[ Unit cost per quantity]]</f>
        <v>36.700000000000003</v>
      </c>
      <c r="Q745" s="14">
        <f>Greenleaf[[#This Row],[Quantity Sold]]*Greenleaf[[#This Row],[Unit Price]]</f>
        <v>50</v>
      </c>
    </row>
    <row r="746" spans="1:17" x14ac:dyDescent="0.25">
      <c r="A746" t="s">
        <v>2172</v>
      </c>
      <c r="B746" s="5">
        <v>45563</v>
      </c>
      <c r="C746" s="5" t="str">
        <f>TEXT(Greenleaf[[#This Row],[Order Date]],"MMM")</f>
        <v>Sep</v>
      </c>
      <c r="D746" s="5" t="str">
        <f>TEXT(Greenleaf[[#This Row],[Order Date]],"YYYY")</f>
        <v>2024</v>
      </c>
      <c r="E746" t="s">
        <v>2463</v>
      </c>
      <c r="F746" s="7" t="s">
        <v>1014</v>
      </c>
      <c r="G746" s="9">
        <v>7</v>
      </c>
      <c r="H746" s="11">
        <v>15</v>
      </c>
      <c r="I746" s="13">
        <v>3.82</v>
      </c>
      <c r="J746" t="s">
        <v>1069</v>
      </c>
      <c r="K746" t="s">
        <v>2471</v>
      </c>
      <c r="L746" s="7" t="s">
        <v>1414</v>
      </c>
      <c r="M746" s="7" t="s">
        <v>1426</v>
      </c>
      <c r="N746" s="14">
        <f>Greenleaf[[#This Row],[Unit Price]]*Greenleaf[[#This Row],[Quantity Sold]]</f>
        <v>105</v>
      </c>
      <c r="O746" s="13">
        <f>Greenleaf[[#This Row],[Unit Cost]]*Greenleaf[[#This Row],[Quantity Sold]]</f>
        <v>26.74</v>
      </c>
      <c r="P746" s="13">
        <f>Greenleaf[[#This Row],[ Unit  price per quantity]]-Greenleaf[[#This Row],[ Unit cost per quantity]]</f>
        <v>78.260000000000005</v>
      </c>
      <c r="Q746" s="14">
        <f>Greenleaf[[#This Row],[Quantity Sold]]*Greenleaf[[#This Row],[Unit Price]]</f>
        <v>105</v>
      </c>
    </row>
    <row r="747" spans="1:17" x14ac:dyDescent="0.25">
      <c r="A747" t="s">
        <v>2173</v>
      </c>
      <c r="B747" s="5">
        <v>45564</v>
      </c>
      <c r="C747" s="5" t="str">
        <f>TEXT(Greenleaf[[#This Row],[Order Date]],"MMM")</f>
        <v>Sep</v>
      </c>
      <c r="D747" s="5" t="str">
        <f>TEXT(Greenleaf[[#This Row],[Order Date]],"YYYY")</f>
        <v>2024</v>
      </c>
      <c r="E747" t="s">
        <v>2464</v>
      </c>
      <c r="F747" s="7" t="s">
        <v>1012</v>
      </c>
      <c r="G747" s="9">
        <v>4</v>
      </c>
      <c r="H747" s="11">
        <v>40</v>
      </c>
      <c r="I747" s="13">
        <v>9.31</v>
      </c>
      <c r="J747" t="s">
        <v>1130</v>
      </c>
      <c r="K747" t="s">
        <v>2587</v>
      </c>
      <c r="L747" s="7" t="s">
        <v>1416</v>
      </c>
      <c r="M747" s="7" t="s">
        <v>1419</v>
      </c>
      <c r="N747" s="14">
        <f>Greenleaf[[#This Row],[Unit Price]]*Greenleaf[[#This Row],[Quantity Sold]]</f>
        <v>160</v>
      </c>
      <c r="O747" s="13">
        <f>Greenleaf[[#This Row],[Unit Cost]]*Greenleaf[[#This Row],[Quantity Sold]]</f>
        <v>37.24</v>
      </c>
      <c r="P747" s="13">
        <f>Greenleaf[[#This Row],[ Unit  price per quantity]]-Greenleaf[[#This Row],[ Unit cost per quantity]]</f>
        <v>122.75999999999999</v>
      </c>
      <c r="Q747" s="14">
        <f>Greenleaf[[#This Row],[Quantity Sold]]*Greenleaf[[#This Row],[Unit Price]]</f>
        <v>160</v>
      </c>
    </row>
    <row r="748" spans="1:17" x14ac:dyDescent="0.25">
      <c r="A748" t="s">
        <v>2174</v>
      </c>
      <c r="B748" s="5">
        <v>45564</v>
      </c>
      <c r="C748" s="5" t="str">
        <f>TEXT(Greenleaf[[#This Row],[Order Date]],"MMM")</f>
        <v>Sep</v>
      </c>
      <c r="D748" s="5" t="str">
        <f>TEXT(Greenleaf[[#This Row],[Order Date]],"YYYY")</f>
        <v>2024</v>
      </c>
      <c r="E748" t="s">
        <v>2461</v>
      </c>
      <c r="F748" s="7" t="s">
        <v>1011</v>
      </c>
      <c r="G748" s="9">
        <v>6</v>
      </c>
      <c r="H748" s="11">
        <v>12</v>
      </c>
      <c r="I748" s="13">
        <v>3.66</v>
      </c>
      <c r="J748" t="s">
        <v>1064</v>
      </c>
      <c r="K748" t="s">
        <v>2563</v>
      </c>
      <c r="L748" s="7" t="s">
        <v>1414</v>
      </c>
      <c r="M748" s="7" t="s">
        <v>1426</v>
      </c>
      <c r="N748" s="14">
        <f>Greenleaf[[#This Row],[Unit Price]]*Greenleaf[[#This Row],[Quantity Sold]]</f>
        <v>72</v>
      </c>
      <c r="O748" s="13">
        <f>Greenleaf[[#This Row],[Unit Cost]]*Greenleaf[[#This Row],[Quantity Sold]]</f>
        <v>21.96</v>
      </c>
      <c r="P748" s="13">
        <f>Greenleaf[[#This Row],[ Unit  price per quantity]]-Greenleaf[[#This Row],[ Unit cost per quantity]]</f>
        <v>50.04</v>
      </c>
      <c r="Q748" s="14">
        <f>Greenleaf[[#This Row],[Quantity Sold]]*Greenleaf[[#This Row],[Unit Price]]</f>
        <v>72</v>
      </c>
    </row>
    <row r="749" spans="1:17" x14ac:dyDescent="0.25">
      <c r="A749" t="s">
        <v>2175</v>
      </c>
      <c r="B749" s="5">
        <v>45565</v>
      </c>
      <c r="C749" s="5" t="str">
        <f>TEXT(Greenleaf[[#This Row],[Order Date]],"MMM")</f>
        <v>Sep</v>
      </c>
      <c r="D749" s="5" t="str">
        <f>TEXT(Greenleaf[[#This Row],[Order Date]],"YYYY")</f>
        <v>2024</v>
      </c>
      <c r="E749" t="s">
        <v>2464</v>
      </c>
      <c r="F749" s="7" t="s">
        <v>1012</v>
      </c>
      <c r="G749" s="9">
        <v>1</v>
      </c>
      <c r="H749" s="11">
        <v>40</v>
      </c>
      <c r="I749" s="13">
        <v>9.89</v>
      </c>
      <c r="J749" t="s">
        <v>1131</v>
      </c>
      <c r="K749" t="s">
        <v>2479</v>
      </c>
      <c r="L749" s="7" t="s">
        <v>1416</v>
      </c>
      <c r="M749" s="7" t="s">
        <v>1419</v>
      </c>
      <c r="N749" s="14">
        <f>Greenleaf[[#This Row],[Unit Price]]*Greenleaf[[#This Row],[Quantity Sold]]</f>
        <v>40</v>
      </c>
      <c r="O749" s="13">
        <f>Greenleaf[[#This Row],[Unit Cost]]*Greenleaf[[#This Row],[Quantity Sold]]</f>
        <v>9.89</v>
      </c>
      <c r="P749" s="13">
        <f>Greenleaf[[#This Row],[ Unit  price per quantity]]-Greenleaf[[#This Row],[ Unit cost per quantity]]</f>
        <v>30.11</v>
      </c>
      <c r="Q749" s="14">
        <f>Greenleaf[[#This Row],[Quantity Sold]]*Greenleaf[[#This Row],[Unit Price]]</f>
        <v>40</v>
      </c>
    </row>
    <row r="750" spans="1:17" x14ac:dyDescent="0.25">
      <c r="A750" t="s">
        <v>2176</v>
      </c>
      <c r="B750" s="5">
        <v>45565</v>
      </c>
      <c r="C750" s="5" t="str">
        <f>TEXT(Greenleaf[[#This Row],[Order Date]],"MMM")</f>
        <v>Sep</v>
      </c>
      <c r="D750" s="5" t="str">
        <f>TEXT(Greenleaf[[#This Row],[Order Date]],"YYYY")</f>
        <v>2024</v>
      </c>
      <c r="E750" t="s">
        <v>2460</v>
      </c>
      <c r="F750" s="7" t="s">
        <v>1015</v>
      </c>
      <c r="G750" s="9">
        <v>1</v>
      </c>
      <c r="H750" s="11">
        <v>10</v>
      </c>
      <c r="I750" s="13">
        <v>3.17</v>
      </c>
      <c r="J750" t="s">
        <v>1072</v>
      </c>
      <c r="K750" t="s">
        <v>2571</v>
      </c>
      <c r="L750" s="7" t="s">
        <v>1416</v>
      </c>
      <c r="M750" s="7" t="s">
        <v>1424</v>
      </c>
      <c r="N750" s="14">
        <f>Greenleaf[[#This Row],[Unit Price]]*Greenleaf[[#This Row],[Quantity Sold]]</f>
        <v>10</v>
      </c>
      <c r="O750" s="13">
        <f>Greenleaf[[#This Row],[Unit Cost]]*Greenleaf[[#This Row],[Quantity Sold]]</f>
        <v>3.17</v>
      </c>
      <c r="P750" s="13">
        <f>Greenleaf[[#This Row],[ Unit  price per quantity]]-Greenleaf[[#This Row],[ Unit cost per quantity]]</f>
        <v>6.83</v>
      </c>
      <c r="Q750" s="14">
        <f>Greenleaf[[#This Row],[Quantity Sold]]*Greenleaf[[#This Row],[Unit Price]]</f>
        <v>10</v>
      </c>
    </row>
    <row r="751" spans="1:17" x14ac:dyDescent="0.25">
      <c r="A751" t="s">
        <v>2177</v>
      </c>
      <c r="B751" s="5">
        <v>45565</v>
      </c>
      <c r="C751" s="5" t="str">
        <f>TEXT(Greenleaf[[#This Row],[Order Date]],"MMM")</f>
        <v>Sep</v>
      </c>
      <c r="D751" s="5" t="str">
        <f>TEXT(Greenleaf[[#This Row],[Order Date]],"YYYY")</f>
        <v>2024</v>
      </c>
      <c r="E751" t="s">
        <v>2461</v>
      </c>
      <c r="F751" s="7" t="s">
        <v>1011</v>
      </c>
      <c r="G751" s="9">
        <v>1</v>
      </c>
      <c r="H751" s="11">
        <v>12</v>
      </c>
      <c r="I751" s="13">
        <v>2.92</v>
      </c>
      <c r="J751" t="s">
        <v>1208</v>
      </c>
      <c r="K751" t="s">
        <v>2486</v>
      </c>
      <c r="L751" s="7" t="s">
        <v>1414</v>
      </c>
      <c r="M751" s="7" t="s">
        <v>1426</v>
      </c>
      <c r="N751" s="14">
        <f>Greenleaf[[#This Row],[Unit Price]]*Greenleaf[[#This Row],[Quantity Sold]]</f>
        <v>12</v>
      </c>
      <c r="O751" s="13">
        <f>Greenleaf[[#This Row],[Unit Cost]]*Greenleaf[[#This Row],[Quantity Sold]]</f>
        <v>2.92</v>
      </c>
      <c r="P751" s="13">
        <f>Greenleaf[[#This Row],[ Unit  price per quantity]]-Greenleaf[[#This Row],[ Unit cost per quantity]]</f>
        <v>9.08</v>
      </c>
      <c r="Q751" s="14">
        <f>Greenleaf[[#This Row],[Quantity Sold]]*Greenleaf[[#This Row],[Unit Price]]</f>
        <v>12</v>
      </c>
    </row>
    <row r="752" spans="1:17" x14ac:dyDescent="0.25">
      <c r="A752" t="s">
        <v>2178</v>
      </c>
      <c r="B752" s="5">
        <v>45566</v>
      </c>
      <c r="C752" s="5" t="str">
        <f>TEXT(Greenleaf[[#This Row],[Order Date]],"MMM")</f>
        <v>Oct</v>
      </c>
      <c r="D752" s="5" t="str">
        <f>TEXT(Greenleaf[[#This Row],[Order Date]],"YYYY")</f>
        <v>2024</v>
      </c>
      <c r="E752" t="s">
        <v>2460</v>
      </c>
      <c r="F752" s="7" t="s">
        <v>1015</v>
      </c>
      <c r="G752" s="9">
        <v>10</v>
      </c>
      <c r="H752" s="11">
        <v>10</v>
      </c>
      <c r="I752" s="13">
        <v>2.95</v>
      </c>
      <c r="J752" t="s">
        <v>1145</v>
      </c>
      <c r="K752" t="s">
        <v>2581</v>
      </c>
      <c r="L752" s="7" t="s">
        <v>1416</v>
      </c>
      <c r="M752" s="7" t="s">
        <v>1422</v>
      </c>
      <c r="N752" s="14">
        <f>Greenleaf[[#This Row],[Unit Price]]*Greenleaf[[#This Row],[Quantity Sold]]</f>
        <v>100</v>
      </c>
      <c r="O752" s="13">
        <f>Greenleaf[[#This Row],[Unit Cost]]*Greenleaf[[#This Row],[Quantity Sold]]</f>
        <v>29.5</v>
      </c>
      <c r="P752" s="13">
        <f>Greenleaf[[#This Row],[ Unit  price per quantity]]-Greenleaf[[#This Row],[ Unit cost per quantity]]</f>
        <v>70.5</v>
      </c>
      <c r="Q752" s="14">
        <f>Greenleaf[[#This Row],[Quantity Sold]]*Greenleaf[[#This Row],[Unit Price]]</f>
        <v>100</v>
      </c>
    </row>
    <row r="753" spans="1:17" x14ac:dyDescent="0.25">
      <c r="A753" t="s">
        <v>2179</v>
      </c>
      <c r="B753" s="5">
        <v>45566</v>
      </c>
      <c r="C753" s="5" t="str">
        <f>TEXT(Greenleaf[[#This Row],[Order Date]],"MMM")</f>
        <v>Oct</v>
      </c>
      <c r="D753" s="5" t="str">
        <f>TEXT(Greenleaf[[#This Row],[Order Date]],"YYYY")</f>
        <v>2024</v>
      </c>
      <c r="E753" t="s">
        <v>2464</v>
      </c>
      <c r="F753" s="7" t="s">
        <v>1012</v>
      </c>
      <c r="G753" s="9">
        <v>10</v>
      </c>
      <c r="H753" s="11">
        <v>40</v>
      </c>
      <c r="I753" s="13">
        <v>15.92</v>
      </c>
      <c r="J753" t="s">
        <v>1186</v>
      </c>
      <c r="K753" t="s">
        <v>2477</v>
      </c>
      <c r="L753" s="7" t="s">
        <v>1414</v>
      </c>
      <c r="M753" s="7" t="s">
        <v>1423</v>
      </c>
      <c r="N753" s="14">
        <f>Greenleaf[[#This Row],[Unit Price]]*Greenleaf[[#This Row],[Quantity Sold]]</f>
        <v>400</v>
      </c>
      <c r="O753" s="13">
        <f>Greenleaf[[#This Row],[Unit Cost]]*Greenleaf[[#This Row],[Quantity Sold]]</f>
        <v>159.19999999999999</v>
      </c>
      <c r="P753" s="13">
        <f>Greenleaf[[#This Row],[ Unit  price per quantity]]-Greenleaf[[#This Row],[ Unit cost per quantity]]</f>
        <v>240.8</v>
      </c>
      <c r="Q753" s="14">
        <f>Greenleaf[[#This Row],[Quantity Sold]]*Greenleaf[[#This Row],[Unit Price]]</f>
        <v>400</v>
      </c>
    </row>
    <row r="754" spans="1:17" x14ac:dyDescent="0.25">
      <c r="A754" t="s">
        <v>2180</v>
      </c>
      <c r="B754" s="5">
        <v>45567</v>
      </c>
      <c r="C754" s="5" t="str">
        <f>TEXT(Greenleaf[[#This Row],[Order Date]],"MMM")</f>
        <v>Oct</v>
      </c>
      <c r="D754" s="5" t="str">
        <f>TEXT(Greenleaf[[#This Row],[Order Date]],"YYYY")</f>
        <v>2024</v>
      </c>
      <c r="E754" t="s">
        <v>2461</v>
      </c>
      <c r="F754" s="7" t="s">
        <v>1011</v>
      </c>
      <c r="G754" s="9">
        <v>5</v>
      </c>
      <c r="H754" s="11">
        <v>12</v>
      </c>
      <c r="I754" s="13">
        <v>4.0199999999999996</v>
      </c>
      <c r="J754" t="s">
        <v>1021</v>
      </c>
      <c r="K754" t="s">
        <v>2473</v>
      </c>
      <c r="L754" s="7" t="s">
        <v>1415</v>
      </c>
      <c r="M754" s="7" t="s">
        <v>1424</v>
      </c>
      <c r="N754" s="14">
        <f>Greenleaf[[#This Row],[Unit Price]]*Greenleaf[[#This Row],[Quantity Sold]]</f>
        <v>60</v>
      </c>
      <c r="O754" s="13">
        <f>Greenleaf[[#This Row],[Unit Cost]]*Greenleaf[[#This Row],[Quantity Sold]]</f>
        <v>20.099999999999998</v>
      </c>
      <c r="P754" s="13">
        <f>Greenleaf[[#This Row],[ Unit  price per quantity]]-Greenleaf[[#This Row],[ Unit cost per quantity]]</f>
        <v>39.900000000000006</v>
      </c>
      <c r="Q754" s="14">
        <f>Greenleaf[[#This Row],[Quantity Sold]]*Greenleaf[[#This Row],[Unit Price]]</f>
        <v>60</v>
      </c>
    </row>
    <row r="755" spans="1:17" x14ac:dyDescent="0.25">
      <c r="A755" t="s">
        <v>2181</v>
      </c>
      <c r="B755" s="5">
        <v>45568</v>
      </c>
      <c r="C755" s="5" t="str">
        <f>TEXT(Greenleaf[[#This Row],[Order Date]],"MMM")</f>
        <v>Oct</v>
      </c>
      <c r="D755" s="5" t="str">
        <f>TEXT(Greenleaf[[#This Row],[Order Date]],"YYYY")</f>
        <v>2024</v>
      </c>
      <c r="E755" t="s">
        <v>2460</v>
      </c>
      <c r="F755" s="7" t="s">
        <v>1015</v>
      </c>
      <c r="G755" s="9">
        <v>5</v>
      </c>
      <c r="H755" s="11">
        <v>10</v>
      </c>
      <c r="I755" s="13">
        <v>3.63</v>
      </c>
      <c r="J755" t="s">
        <v>1046</v>
      </c>
      <c r="K755" t="s">
        <v>2500</v>
      </c>
      <c r="L755" s="7" t="s">
        <v>1414</v>
      </c>
      <c r="M755" s="7" t="s">
        <v>1422</v>
      </c>
      <c r="N755" s="14">
        <f>Greenleaf[[#This Row],[Unit Price]]*Greenleaf[[#This Row],[Quantity Sold]]</f>
        <v>50</v>
      </c>
      <c r="O755" s="13">
        <f>Greenleaf[[#This Row],[Unit Cost]]*Greenleaf[[#This Row],[Quantity Sold]]</f>
        <v>18.149999999999999</v>
      </c>
      <c r="P755" s="13">
        <f>Greenleaf[[#This Row],[ Unit  price per quantity]]-Greenleaf[[#This Row],[ Unit cost per quantity]]</f>
        <v>31.85</v>
      </c>
      <c r="Q755" s="14">
        <f>Greenleaf[[#This Row],[Quantity Sold]]*Greenleaf[[#This Row],[Unit Price]]</f>
        <v>50</v>
      </c>
    </row>
    <row r="756" spans="1:17" x14ac:dyDescent="0.25">
      <c r="A756" t="s">
        <v>2182</v>
      </c>
      <c r="B756" s="5">
        <v>45568</v>
      </c>
      <c r="C756" s="5" t="str">
        <f>TEXT(Greenleaf[[#This Row],[Order Date]],"MMM")</f>
        <v>Oct</v>
      </c>
      <c r="D756" s="5" t="str">
        <f>TEXT(Greenleaf[[#This Row],[Order Date]],"YYYY")</f>
        <v>2024</v>
      </c>
      <c r="E756" t="s">
        <v>2464</v>
      </c>
      <c r="F756" s="7" t="s">
        <v>1012</v>
      </c>
      <c r="G756" s="9">
        <v>10</v>
      </c>
      <c r="H756" s="11">
        <v>40</v>
      </c>
      <c r="I756" s="13">
        <v>9.3800000000000008</v>
      </c>
      <c r="J756" t="s">
        <v>1164</v>
      </c>
      <c r="K756" t="s">
        <v>2567</v>
      </c>
      <c r="L756" s="7" t="s">
        <v>1417</v>
      </c>
      <c r="M756" s="7" t="s">
        <v>1420</v>
      </c>
      <c r="N756" s="14">
        <f>Greenleaf[[#This Row],[Unit Price]]*Greenleaf[[#This Row],[Quantity Sold]]</f>
        <v>400</v>
      </c>
      <c r="O756" s="13">
        <f>Greenleaf[[#This Row],[Unit Cost]]*Greenleaf[[#This Row],[Quantity Sold]]</f>
        <v>93.800000000000011</v>
      </c>
      <c r="P756" s="13">
        <f>Greenleaf[[#This Row],[ Unit  price per quantity]]-Greenleaf[[#This Row],[ Unit cost per quantity]]</f>
        <v>306.2</v>
      </c>
      <c r="Q756" s="14">
        <f>Greenleaf[[#This Row],[Quantity Sold]]*Greenleaf[[#This Row],[Unit Price]]</f>
        <v>400</v>
      </c>
    </row>
    <row r="757" spans="1:17" x14ac:dyDescent="0.25">
      <c r="A757" t="s">
        <v>2183</v>
      </c>
      <c r="B757" s="5">
        <v>45568</v>
      </c>
      <c r="C757" s="5" t="str">
        <f>TEXT(Greenleaf[[#This Row],[Order Date]],"MMM")</f>
        <v>Oct</v>
      </c>
      <c r="D757" s="5" t="str">
        <f>TEXT(Greenleaf[[#This Row],[Order Date]],"YYYY")</f>
        <v>2024</v>
      </c>
      <c r="E757" t="s">
        <v>2463</v>
      </c>
      <c r="F757" s="7" t="s">
        <v>1014</v>
      </c>
      <c r="G757" s="9">
        <v>9</v>
      </c>
      <c r="H757" s="11">
        <v>15</v>
      </c>
      <c r="I757" s="13">
        <v>3.13</v>
      </c>
      <c r="J757" t="s">
        <v>1060</v>
      </c>
      <c r="K757" t="s">
        <v>2504</v>
      </c>
      <c r="L757" s="7" t="s">
        <v>1415</v>
      </c>
      <c r="M757" s="7" t="s">
        <v>1422</v>
      </c>
      <c r="N757" s="14">
        <f>Greenleaf[[#This Row],[Unit Price]]*Greenleaf[[#This Row],[Quantity Sold]]</f>
        <v>135</v>
      </c>
      <c r="O757" s="13">
        <f>Greenleaf[[#This Row],[Unit Cost]]*Greenleaf[[#This Row],[Quantity Sold]]</f>
        <v>28.169999999999998</v>
      </c>
      <c r="P757" s="13">
        <f>Greenleaf[[#This Row],[ Unit  price per quantity]]-Greenleaf[[#This Row],[ Unit cost per quantity]]</f>
        <v>106.83</v>
      </c>
      <c r="Q757" s="14">
        <f>Greenleaf[[#This Row],[Quantity Sold]]*Greenleaf[[#This Row],[Unit Price]]</f>
        <v>135</v>
      </c>
    </row>
    <row r="758" spans="1:17" x14ac:dyDescent="0.25">
      <c r="A758" t="s">
        <v>2184</v>
      </c>
      <c r="B758" s="5">
        <v>45569</v>
      </c>
      <c r="C758" s="5" t="str">
        <f>TEXT(Greenleaf[[#This Row],[Order Date]],"MMM")</f>
        <v>Oct</v>
      </c>
      <c r="D758" s="5" t="str">
        <f>TEXT(Greenleaf[[#This Row],[Order Date]],"YYYY")</f>
        <v>2024</v>
      </c>
      <c r="E758" t="s">
        <v>2460</v>
      </c>
      <c r="F758" s="7" t="s">
        <v>1015</v>
      </c>
      <c r="G758" s="9">
        <v>6</v>
      </c>
      <c r="H758" s="11">
        <v>10</v>
      </c>
      <c r="I758" s="13">
        <v>2.29</v>
      </c>
      <c r="J758" t="s">
        <v>1117</v>
      </c>
      <c r="K758" t="s">
        <v>2568</v>
      </c>
      <c r="L758" s="7" t="s">
        <v>1414</v>
      </c>
      <c r="M758" s="7" t="s">
        <v>1423</v>
      </c>
      <c r="N758" s="14">
        <f>Greenleaf[[#This Row],[Unit Price]]*Greenleaf[[#This Row],[Quantity Sold]]</f>
        <v>60</v>
      </c>
      <c r="O758" s="13">
        <f>Greenleaf[[#This Row],[Unit Cost]]*Greenleaf[[#This Row],[Quantity Sold]]</f>
        <v>13.74</v>
      </c>
      <c r="P758" s="13">
        <f>Greenleaf[[#This Row],[ Unit  price per quantity]]-Greenleaf[[#This Row],[ Unit cost per quantity]]</f>
        <v>46.26</v>
      </c>
      <c r="Q758" s="14">
        <f>Greenleaf[[#This Row],[Quantity Sold]]*Greenleaf[[#This Row],[Unit Price]]</f>
        <v>60</v>
      </c>
    </row>
    <row r="759" spans="1:17" x14ac:dyDescent="0.25">
      <c r="A759" t="s">
        <v>2185</v>
      </c>
      <c r="B759" s="5">
        <v>45569</v>
      </c>
      <c r="C759" s="5" t="str">
        <f>TEXT(Greenleaf[[#This Row],[Order Date]],"MMM")</f>
        <v>Oct</v>
      </c>
      <c r="D759" s="5" t="str">
        <f>TEXT(Greenleaf[[#This Row],[Order Date]],"YYYY")</f>
        <v>2024</v>
      </c>
      <c r="E759" t="s">
        <v>2463</v>
      </c>
      <c r="F759" s="7" t="s">
        <v>1014</v>
      </c>
      <c r="G759" s="9">
        <v>3</v>
      </c>
      <c r="H759" s="11">
        <v>15</v>
      </c>
      <c r="I759" s="13">
        <v>5.75</v>
      </c>
      <c r="J759" t="s">
        <v>1084</v>
      </c>
      <c r="K759" t="s">
        <v>2553</v>
      </c>
      <c r="L759" s="7" t="s">
        <v>1414</v>
      </c>
      <c r="M759" s="7" t="s">
        <v>1427</v>
      </c>
      <c r="N759" s="14">
        <f>Greenleaf[[#This Row],[Unit Price]]*Greenleaf[[#This Row],[Quantity Sold]]</f>
        <v>45</v>
      </c>
      <c r="O759" s="13">
        <f>Greenleaf[[#This Row],[Unit Cost]]*Greenleaf[[#This Row],[Quantity Sold]]</f>
        <v>17.25</v>
      </c>
      <c r="P759" s="13">
        <f>Greenleaf[[#This Row],[ Unit  price per quantity]]-Greenleaf[[#This Row],[ Unit cost per quantity]]</f>
        <v>27.75</v>
      </c>
      <c r="Q759" s="14">
        <f>Greenleaf[[#This Row],[Quantity Sold]]*Greenleaf[[#This Row],[Unit Price]]</f>
        <v>45</v>
      </c>
    </row>
    <row r="760" spans="1:17" x14ac:dyDescent="0.25">
      <c r="A760" t="s">
        <v>2186</v>
      </c>
      <c r="B760" s="5">
        <v>45569</v>
      </c>
      <c r="C760" s="5" t="str">
        <f>TEXT(Greenleaf[[#This Row],[Order Date]],"MMM")</f>
        <v>Oct</v>
      </c>
      <c r="D760" s="5" t="str">
        <f>TEXT(Greenleaf[[#This Row],[Order Date]],"YYYY")</f>
        <v>2024</v>
      </c>
      <c r="E760" t="s">
        <v>2461</v>
      </c>
      <c r="F760" s="7" t="s">
        <v>1011</v>
      </c>
      <c r="G760" s="9">
        <v>1</v>
      </c>
      <c r="H760" s="11">
        <v>12</v>
      </c>
      <c r="I760" s="13">
        <v>3.85</v>
      </c>
      <c r="J760" t="s">
        <v>1074</v>
      </c>
      <c r="K760" t="s">
        <v>2506</v>
      </c>
      <c r="L760" s="7" t="s">
        <v>1414</v>
      </c>
      <c r="M760" s="7" t="s">
        <v>1425</v>
      </c>
      <c r="N760" s="14">
        <f>Greenleaf[[#This Row],[Unit Price]]*Greenleaf[[#This Row],[Quantity Sold]]</f>
        <v>12</v>
      </c>
      <c r="O760" s="13">
        <f>Greenleaf[[#This Row],[Unit Cost]]*Greenleaf[[#This Row],[Quantity Sold]]</f>
        <v>3.85</v>
      </c>
      <c r="P760" s="13">
        <f>Greenleaf[[#This Row],[ Unit  price per quantity]]-Greenleaf[[#This Row],[ Unit cost per quantity]]</f>
        <v>8.15</v>
      </c>
      <c r="Q760" s="14">
        <f>Greenleaf[[#This Row],[Quantity Sold]]*Greenleaf[[#This Row],[Unit Price]]</f>
        <v>12</v>
      </c>
    </row>
    <row r="761" spans="1:17" x14ac:dyDescent="0.25">
      <c r="A761" t="s">
        <v>2187</v>
      </c>
      <c r="B761" s="5">
        <v>45570</v>
      </c>
      <c r="C761" s="5" t="str">
        <f>TEXT(Greenleaf[[#This Row],[Order Date]],"MMM")</f>
        <v>Oct</v>
      </c>
      <c r="D761" s="5" t="str">
        <f>TEXT(Greenleaf[[#This Row],[Order Date]],"YYYY")</f>
        <v>2024</v>
      </c>
      <c r="E761" t="s">
        <v>2464</v>
      </c>
      <c r="F761" s="7" t="s">
        <v>1012</v>
      </c>
      <c r="G761" s="9">
        <v>7</v>
      </c>
      <c r="H761" s="11">
        <v>40</v>
      </c>
      <c r="I761" s="13">
        <v>10.52</v>
      </c>
      <c r="J761" t="s">
        <v>1095</v>
      </c>
      <c r="K761" t="s">
        <v>2524</v>
      </c>
      <c r="L761" s="7" t="s">
        <v>1414</v>
      </c>
      <c r="M761" s="7" t="s">
        <v>1427</v>
      </c>
      <c r="N761" s="14">
        <f>Greenleaf[[#This Row],[Unit Price]]*Greenleaf[[#This Row],[Quantity Sold]]</f>
        <v>280</v>
      </c>
      <c r="O761" s="13">
        <f>Greenleaf[[#This Row],[Unit Cost]]*Greenleaf[[#This Row],[Quantity Sold]]</f>
        <v>73.64</v>
      </c>
      <c r="P761" s="13">
        <f>Greenleaf[[#This Row],[ Unit  price per quantity]]-Greenleaf[[#This Row],[ Unit cost per quantity]]</f>
        <v>206.36</v>
      </c>
      <c r="Q761" s="14">
        <f>Greenleaf[[#This Row],[Quantity Sold]]*Greenleaf[[#This Row],[Unit Price]]</f>
        <v>280</v>
      </c>
    </row>
    <row r="762" spans="1:17" x14ac:dyDescent="0.25">
      <c r="A762" t="s">
        <v>2188</v>
      </c>
      <c r="B762" s="5">
        <v>45570</v>
      </c>
      <c r="C762" s="5" t="str">
        <f>TEXT(Greenleaf[[#This Row],[Order Date]],"MMM")</f>
        <v>Oct</v>
      </c>
      <c r="D762" s="5" t="str">
        <f>TEXT(Greenleaf[[#This Row],[Order Date]],"YYYY")</f>
        <v>2024</v>
      </c>
      <c r="E762" t="s">
        <v>2460</v>
      </c>
      <c r="F762" s="7" t="s">
        <v>1015</v>
      </c>
      <c r="G762" s="9">
        <v>1</v>
      </c>
      <c r="H762" s="11">
        <v>10</v>
      </c>
      <c r="I762" s="13">
        <v>3.77</v>
      </c>
      <c r="J762" t="s">
        <v>1128</v>
      </c>
      <c r="K762" t="s">
        <v>2523</v>
      </c>
      <c r="L762" s="7" t="s">
        <v>1414</v>
      </c>
      <c r="M762" s="7" t="s">
        <v>1420</v>
      </c>
      <c r="N762" s="14">
        <f>Greenleaf[[#This Row],[Unit Price]]*Greenleaf[[#This Row],[Quantity Sold]]</f>
        <v>10</v>
      </c>
      <c r="O762" s="13">
        <f>Greenleaf[[#This Row],[Unit Cost]]*Greenleaf[[#This Row],[Quantity Sold]]</f>
        <v>3.77</v>
      </c>
      <c r="P762" s="13">
        <f>Greenleaf[[#This Row],[ Unit  price per quantity]]-Greenleaf[[#This Row],[ Unit cost per quantity]]</f>
        <v>6.23</v>
      </c>
      <c r="Q762" s="14">
        <f>Greenleaf[[#This Row],[Quantity Sold]]*Greenleaf[[#This Row],[Unit Price]]</f>
        <v>10</v>
      </c>
    </row>
    <row r="763" spans="1:17" x14ac:dyDescent="0.25">
      <c r="A763" t="s">
        <v>2189</v>
      </c>
      <c r="B763" s="5">
        <v>45571</v>
      </c>
      <c r="C763" s="5" t="str">
        <f>TEXT(Greenleaf[[#This Row],[Order Date]],"MMM")</f>
        <v>Oct</v>
      </c>
      <c r="D763" s="5" t="str">
        <f>TEXT(Greenleaf[[#This Row],[Order Date]],"YYYY")</f>
        <v>2024</v>
      </c>
      <c r="E763" t="s">
        <v>2462</v>
      </c>
      <c r="F763" s="7" t="s">
        <v>1013</v>
      </c>
      <c r="G763" s="9">
        <v>8</v>
      </c>
      <c r="H763" s="11">
        <v>25</v>
      </c>
      <c r="I763" s="13">
        <v>8.85</v>
      </c>
      <c r="J763" t="s">
        <v>1065</v>
      </c>
      <c r="K763" t="s">
        <v>2579</v>
      </c>
      <c r="L763" s="7" t="s">
        <v>1414</v>
      </c>
      <c r="M763" s="7" t="s">
        <v>1427</v>
      </c>
      <c r="N763" s="14">
        <f>Greenleaf[[#This Row],[Unit Price]]*Greenleaf[[#This Row],[Quantity Sold]]</f>
        <v>200</v>
      </c>
      <c r="O763" s="13">
        <f>Greenleaf[[#This Row],[Unit Cost]]*Greenleaf[[#This Row],[Quantity Sold]]</f>
        <v>70.8</v>
      </c>
      <c r="P763" s="13">
        <f>Greenleaf[[#This Row],[ Unit  price per quantity]]-Greenleaf[[#This Row],[ Unit cost per quantity]]</f>
        <v>129.19999999999999</v>
      </c>
      <c r="Q763" s="14">
        <f>Greenleaf[[#This Row],[Quantity Sold]]*Greenleaf[[#This Row],[Unit Price]]</f>
        <v>200</v>
      </c>
    </row>
    <row r="764" spans="1:17" x14ac:dyDescent="0.25">
      <c r="A764" t="s">
        <v>2190</v>
      </c>
      <c r="B764" s="5">
        <v>45571</v>
      </c>
      <c r="C764" s="5" t="str">
        <f>TEXT(Greenleaf[[#This Row],[Order Date]],"MMM")</f>
        <v>Oct</v>
      </c>
      <c r="D764" s="5" t="str">
        <f>TEXT(Greenleaf[[#This Row],[Order Date]],"YYYY")</f>
        <v>2024</v>
      </c>
      <c r="E764" t="s">
        <v>2462</v>
      </c>
      <c r="F764" s="7" t="s">
        <v>1013</v>
      </c>
      <c r="G764" s="9">
        <v>2</v>
      </c>
      <c r="H764" s="11">
        <v>25</v>
      </c>
      <c r="I764" s="13">
        <v>8.5399999999999991</v>
      </c>
      <c r="J764" t="s">
        <v>1098</v>
      </c>
      <c r="K764" t="s">
        <v>2492</v>
      </c>
      <c r="L764" s="7" t="s">
        <v>1414</v>
      </c>
      <c r="M764" s="7" t="s">
        <v>1425</v>
      </c>
      <c r="N764" s="14">
        <f>Greenleaf[[#This Row],[Unit Price]]*Greenleaf[[#This Row],[Quantity Sold]]</f>
        <v>50</v>
      </c>
      <c r="O764" s="13">
        <f>Greenleaf[[#This Row],[Unit Cost]]*Greenleaf[[#This Row],[Quantity Sold]]</f>
        <v>17.079999999999998</v>
      </c>
      <c r="P764" s="13">
        <f>Greenleaf[[#This Row],[ Unit  price per quantity]]-Greenleaf[[#This Row],[ Unit cost per quantity]]</f>
        <v>32.92</v>
      </c>
      <c r="Q764" s="14">
        <f>Greenleaf[[#This Row],[Quantity Sold]]*Greenleaf[[#This Row],[Unit Price]]</f>
        <v>50</v>
      </c>
    </row>
    <row r="765" spans="1:17" x14ac:dyDescent="0.25">
      <c r="A765" t="s">
        <v>2191</v>
      </c>
      <c r="B765" s="5">
        <v>45572</v>
      </c>
      <c r="C765" s="5" t="str">
        <f>TEXT(Greenleaf[[#This Row],[Order Date]],"MMM")</f>
        <v>Oct</v>
      </c>
      <c r="D765" s="5" t="str">
        <f>TEXT(Greenleaf[[#This Row],[Order Date]],"YYYY")</f>
        <v>2024</v>
      </c>
      <c r="E765" t="s">
        <v>2463</v>
      </c>
      <c r="F765" s="7" t="s">
        <v>1014</v>
      </c>
      <c r="G765" s="9">
        <v>10</v>
      </c>
      <c r="H765" s="11">
        <v>15</v>
      </c>
      <c r="I765" s="13">
        <v>4.92</v>
      </c>
      <c r="J765" t="s">
        <v>1058</v>
      </c>
      <c r="K765" t="s">
        <v>2522</v>
      </c>
      <c r="L765" s="7" t="s">
        <v>1414</v>
      </c>
      <c r="M765" s="7" t="s">
        <v>1421</v>
      </c>
      <c r="N765" s="14">
        <f>Greenleaf[[#This Row],[Unit Price]]*Greenleaf[[#This Row],[Quantity Sold]]</f>
        <v>150</v>
      </c>
      <c r="O765" s="13">
        <f>Greenleaf[[#This Row],[Unit Cost]]*Greenleaf[[#This Row],[Quantity Sold]]</f>
        <v>49.2</v>
      </c>
      <c r="P765" s="13">
        <f>Greenleaf[[#This Row],[ Unit  price per quantity]]-Greenleaf[[#This Row],[ Unit cost per quantity]]</f>
        <v>100.8</v>
      </c>
      <c r="Q765" s="14">
        <f>Greenleaf[[#This Row],[Quantity Sold]]*Greenleaf[[#This Row],[Unit Price]]</f>
        <v>150</v>
      </c>
    </row>
    <row r="766" spans="1:17" x14ac:dyDescent="0.25">
      <c r="A766" t="s">
        <v>2192</v>
      </c>
      <c r="B766" s="5">
        <v>45573</v>
      </c>
      <c r="C766" s="5" t="str">
        <f>TEXT(Greenleaf[[#This Row],[Order Date]],"MMM")</f>
        <v>Oct</v>
      </c>
      <c r="D766" s="5" t="str">
        <f>TEXT(Greenleaf[[#This Row],[Order Date]],"YYYY")</f>
        <v>2024</v>
      </c>
      <c r="E766" t="s">
        <v>2464</v>
      </c>
      <c r="F766" s="7" t="s">
        <v>1012</v>
      </c>
      <c r="G766" s="9">
        <v>8</v>
      </c>
      <c r="H766" s="11">
        <v>40</v>
      </c>
      <c r="I766" s="13">
        <v>15.87</v>
      </c>
      <c r="J766" t="s">
        <v>1172</v>
      </c>
      <c r="K766" t="s">
        <v>2502</v>
      </c>
      <c r="L766" s="7" t="s">
        <v>1417</v>
      </c>
      <c r="M766" s="7" t="s">
        <v>1418</v>
      </c>
      <c r="N766" s="14">
        <f>Greenleaf[[#This Row],[Unit Price]]*Greenleaf[[#This Row],[Quantity Sold]]</f>
        <v>320</v>
      </c>
      <c r="O766" s="13">
        <f>Greenleaf[[#This Row],[Unit Cost]]*Greenleaf[[#This Row],[Quantity Sold]]</f>
        <v>126.96</v>
      </c>
      <c r="P766" s="13">
        <f>Greenleaf[[#This Row],[ Unit  price per quantity]]-Greenleaf[[#This Row],[ Unit cost per quantity]]</f>
        <v>193.04000000000002</v>
      </c>
      <c r="Q766" s="14">
        <f>Greenleaf[[#This Row],[Quantity Sold]]*Greenleaf[[#This Row],[Unit Price]]</f>
        <v>320</v>
      </c>
    </row>
    <row r="767" spans="1:17" x14ac:dyDescent="0.25">
      <c r="A767" t="s">
        <v>2193</v>
      </c>
      <c r="B767" s="5">
        <v>45573</v>
      </c>
      <c r="C767" s="5" t="str">
        <f>TEXT(Greenleaf[[#This Row],[Order Date]],"MMM")</f>
        <v>Oct</v>
      </c>
      <c r="D767" s="5" t="str">
        <f>TEXT(Greenleaf[[#This Row],[Order Date]],"YYYY")</f>
        <v>2024</v>
      </c>
      <c r="E767" t="s">
        <v>2461</v>
      </c>
      <c r="F767" s="7" t="s">
        <v>1011</v>
      </c>
      <c r="G767" s="9">
        <v>8</v>
      </c>
      <c r="H767" s="11">
        <v>12</v>
      </c>
      <c r="I767" s="13">
        <v>2.44</v>
      </c>
      <c r="J767" t="s">
        <v>1113</v>
      </c>
      <c r="K767" t="s">
        <v>2540</v>
      </c>
      <c r="L767" s="7" t="s">
        <v>1414</v>
      </c>
      <c r="M767" s="7" t="s">
        <v>1424</v>
      </c>
      <c r="N767" s="14">
        <f>Greenleaf[[#This Row],[Unit Price]]*Greenleaf[[#This Row],[Quantity Sold]]</f>
        <v>96</v>
      </c>
      <c r="O767" s="13">
        <f>Greenleaf[[#This Row],[Unit Cost]]*Greenleaf[[#This Row],[Quantity Sold]]</f>
        <v>19.52</v>
      </c>
      <c r="P767" s="13">
        <f>Greenleaf[[#This Row],[ Unit  price per quantity]]-Greenleaf[[#This Row],[ Unit cost per quantity]]</f>
        <v>76.48</v>
      </c>
      <c r="Q767" s="14">
        <f>Greenleaf[[#This Row],[Quantity Sold]]*Greenleaf[[#This Row],[Unit Price]]</f>
        <v>96</v>
      </c>
    </row>
    <row r="768" spans="1:17" x14ac:dyDescent="0.25">
      <c r="A768" t="s">
        <v>2194</v>
      </c>
      <c r="B768" s="5">
        <v>45573</v>
      </c>
      <c r="C768" s="5" t="str">
        <f>TEXT(Greenleaf[[#This Row],[Order Date]],"MMM")</f>
        <v>Oct</v>
      </c>
      <c r="D768" s="5" t="str">
        <f>TEXT(Greenleaf[[#This Row],[Order Date]],"YYYY")</f>
        <v>2024</v>
      </c>
      <c r="E768" t="s">
        <v>2463</v>
      </c>
      <c r="F768" s="7" t="s">
        <v>1014</v>
      </c>
      <c r="G768" s="9">
        <v>7</v>
      </c>
      <c r="H768" s="11">
        <v>15</v>
      </c>
      <c r="I768" s="13">
        <v>3.55</v>
      </c>
      <c r="J768" t="s">
        <v>1053</v>
      </c>
      <c r="K768" t="s">
        <v>2558</v>
      </c>
      <c r="L768" s="7" t="s">
        <v>1414</v>
      </c>
      <c r="M768" s="7" t="s">
        <v>1419</v>
      </c>
      <c r="N768" s="14">
        <f>Greenleaf[[#This Row],[Unit Price]]*Greenleaf[[#This Row],[Quantity Sold]]</f>
        <v>105</v>
      </c>
      <c r="O768" s="13">
        <f>Greenleaf[[#This Row],[Unit Cost]]*Greenleaf[[#This Row],[Quantity Sold]]</f>
        <v>24.849999999999998</v>
      </c>
      <c r="P768" s="13">
        <f>Greenleaf[[#This Row],[ Unit  price per quantity]]-Greenleaf[[#This Row],[ Unit cost per quantity]]</f>
        <v>80.150000000000006</v>
      </c>
      <c r="Q768" s="14">
        <f>Greenleaf[[#This Row],[Quantity Sold]]*Greenleaf[[#This Row],[Unit Price]]</f>
        <v>105</v>
      </c>
    </row>
    <row r="769" spans="1:17" x14ac:dyDescent="0.25">
      <c r="A769" t="s">
        <v>2195</v>
      </c>
      <c r="B769" s="5">
        <v>45573</v>
      </c>
      <c r="C769" s="5" t="str">
        <f>TEXT(Greenleaf[[#This Row],[Order Date]],"MMM")</f>
        <v>Oct</v>
      </c>
      <c r="D769" s="5" t="str">
        <f>TEXT(Greenleaf[[#This Row],[Order Date]],"YYYY")</f>
        <v>2024</v>
      </c>
      <c r="E769" t="s">
        <v>2460</v>
      </c>
      <c r="F769" s="7" t="s">
        <v>1015</v>
      </c>
      <c r="G769" s="9">
        <v>1</v>
      </c>
      <c r="H769" s="11">
        <v>10</v>
      </c>
      <c r="I769" s="13">
        <v>3.51</v>
      </c>
      <c r="J769" t="s">
        <v>1084</v>
      </c>
      <c r="K769" t="s">
        <v>2553</v>
      </c>
      <c r="L769" s="7" t="s">
        <v>1414</v>
      </c>
      <c r="M769" s="7" t="s">
        <v>1424</v>
      </c>
      <c r="N769" s="14">
        <f>Greenleaf[[#This Row],[Unit Price]]*Greenleaf[[#This Row],[Quantity Sold]]</f>
        <v>10</v>
      </c>
      <c r="O769" s="13">
        <f>Greenleaf[[#This Row],[Unit Cost]]*Greenleaf[[#This Row],[Quantity Sold]]</f>
        <v>3.51</v>
      </c>
      <c r="P769" s="13">
        <f>Greenleaf[[#This Row],[ Unit  price per quantity]]-Greenleaf[[#This Row],[ Unit cost per quantity]]</f>
        <v>6.49</v>
      </c>
      <c r="Q769" s="14">
        <f>Greenleaf[[#This Row],[Quantity Sold]]*Greenleaf[[#This Row],[Unit Price]]</f>
        <v>10</v>
      </c>
    </row>
    <row r="770" spans="1:17" x14ac:dyDescent="0.25">
      <c r="A770" t="s">
        <v>2196</v>
      </c>
      <c r="B770" s="5">
        <v>45574</v>
      </c>
      <c r="C770" s="5" t="str">
        <f>TEXT(Greenleaf[[#This Row],[Order Date]],"MMM")</f>
        <v>Oct</v>
      </c>
      <c r="D770" s="5" t="str">
        <f>TEXT(Greenleaf[[#This Row],[Order Date]],"YYYY")</f>
        <v>2024</v>
      </c>
      <c r="E770" t="s">
        <v>2462</v>
      </c>
      <c r="F770" s="7" t="s">
        <v>1013</v>
      </c>
      <c r="G770" s="9">
        <v>3</v>
      </c>
      <c r="H770" s="11">
        <v>25</v>
      </c>
      <c r="I770" s="13">
        <v>8.26</v>
      </c>
      <c r="J770" t="s">
        <v>1067</v>
      </c>
      <c r="K770" t="s">
        <v>2475</v>
      </c>
      <c r="L770" s="7" t="s">
        <v>1414</v>
      </c>
      <c r="M770" s="7" t="s">
        <v>1424</v>
      </c>
      <c r="N770" s="14">
        <f>Greenleaf[[#This Row],[Unit Price]]*Greenleaf[[#This Row],[Quantity Sold]]</f>
        <v>75</v>
      </c>
      <c r="O770" s="13">
        <f>Greenleaf[[#This Row],[Unit Cost]]*Greenleaf[[#This Row],[Quantity Sold]]</f>
        <v>24.78</v>
      </c>
      <c r="P770" s="13">
        <f>Greenleaf[[#This Row],[ Unit  price per quantity]]-Greenleaf[[#This Row],[ Unit cost per quantity]]</f>
        <v>50.22</v>
      </c>
      <c r="Q770" s="14">
        <f>Greenleaf[[#This Row],[Quantity Sold]]*Greenleaf[[#This Row],[Unit Price]]</f>
        <v>75</v>
      </c>
    </row>
    <row r="771" spans="1:17" x14ac:dyDescent="0.25">
      <c r="A771" t="s">
        <v>2197</v>
      </c>
      <c r="B771" s="5">
        <v>45575</v>
      </c>
      <c r="C771" s="5" t="str">
        <f>TEXT(Greenleaf[[#This Row],[Order Date]],"MMM")</f>
        <v>Oct</v>
      </c>
      <c r="D771" s="5" t="str">
        <f>TEXT(Greenleaf[[#This Row],[Order Date]],"YYYY")</f>
        <v>2024</v>
      </c>
      <c r="E771" t="s">
        <v>2462</v>
      </c>
      <c r="F771" s="7" t="s">
        <v>1013</v>
      </c>
      <c r="G771" s="9">
        <v>10</v>
      </c>
      <c r="H771" s="11">
        <v>25</v>
      </c>
      <c r="I771" s="13">
        <v>7.05</v>
      </c>
      <c r="J771" t="s">
        <v>1062</v>
      </c>
      <c r="K771" t="s">
        <v>2541</v>
      </c>
      <c r="L771" s="7" t="s">
        <v>1416</v>
      </c>
      <c r="M771" s="7" t="s">
        <v>1418</v>
      </c>
      <c r="N771" s="14">
        <f>Greenleaf[[#This Row],[Unit Price]]*Greenleaf[[#This Row],[Quantity Sold]]</f>
        <v>250</v>
      </c>
      <c r="O771" s="13">
        <f>Greenleaf[[#This Row],[Unit Cost]]*Greenleaf[[#This Row],[Quantity Sold]]</f>
        <v>70.5</v>
      </c>
      <c r="P771" s="13">
        <f>Greenleaf[[#This Row],[ Unit  price per quantity]]-Greenleaf[[#This Row],[ Unit cost per quantity]]</f>
        <v>179.5</v>
      </c>
      <c r="Q771" s="14">
        <f>Greenleaf[[#This Row],[Quantity Sold]]*Greenleaf[[#This Row],[Unit Price]]</f>
        <v>250</v>
      </c>
    </row>
    <row r="772" spans="1:17" x14ac:dyDescent="0.25">
      <c r="A772" t="s">
        <v>2198</v>
      </c>
      <c r="B772" s="5">
        <v>45575</v>
      </c>
      <c r="C772" s="5" t="str">
        <f>TEXT(Greenleaf[[#This Row],[Order Date]],"MMM")</f>
        <v>Oct</v>
      </c>
      <c r="D772" s="5" t="str">
        <f>TEXT(Greenleaf[[#This Row],[Order Date]],"YYYY")</f>
        <v>2024</v>
      </c>
      <c r="E772" t="s">
        <v>2464</v>
      </c>
      <c r="F772" s="7" t="s">
        <v>1012</v>
      </c>
      <c r="G772" s="9">
        <v>4</v>
      </c>
      <c r="H772" s="11">
        <v>40</v>
      </c>
      <c r="I772" s="13">
        <v>14.12</v>
      </c>
      <c r="J772" t="s">
        <v>1098</v>
      </c>
      <c r="K772" t="s">
        <v>2492</v>
      </c>
      <c r="L772" s="7" t="s">
        <v>1417</v>
      </c>
      <c r="M772" s="7" t="s">
        <v>1423</v>
      </c>
      <c r="N772" s="14">
        <f>Greenleaf[[#This Row],[Unit Price]]*Greenleaf[[#This Row],[Quantity Sold]]</f>
        <v>160</v>
      </c>
      <c r="O772" s="13">
        <f>Greenleaf[[#This Row],[Unit Cost]]*Greenleaf[[#This Row],[Quantity Sold]]</f>
        <v>56.48</v>
      </c>
      <c r="P772" s="13">
        <f>Greenleaf[[#This Row],[ Unit  price per quantity]]-Greenleaf[[#This Row],[ Unit cost per quantity]]</f>
        <v>103.52000000000001</v>
      </c>
      <c r="Q772" s="14">
        <f>Greenleaf[[#This Row],[Quantity Sold]]*Greenleaf[[#This Row],[Unit Price]]</f>
        <v>160</v>
      </c>
    </row>
    <row r="773" spans="1:17" x14ac:dyDescent="0.25">
      <c r="A773" t="s">
        <v>2199</v>
      </c>
      <c r="B773" s="5">
        <v>45576</v>
      </c>
      <c r="C773" s="5" t="str">
        <f>TEXT(Greenleaf[[#This Row],[Order Date]],"MMM")</f>
        <v>Oct</v>
      </c>
      <c r="D773" s="5" t="str">
        <f>TEXT(Greenleaf[[#This Row],[Order Date]],"YYYY")</f>
        <v>2024</v>
      </c>
      <c r="E773" t="s">
        <v>2464</v>
      </c>
      <c r="F773" s="7" t="s">
        <v>1012</v>
      </c>
      <c r="G773" s="9">
        <v>7</v>
      </c>
      <c r="H773" s="11">
        <v>40</v>
      </c>
      <c r="I773" s="13">
        <v>10.23</v>
      </c>
      <c r="J773" t="s">
        <v>1065</v>
      </c>
      <c r="K773" t="s">
        <v>2579</v>
      </c>
      <c r="L773" s="7" t="s">
        <v>1414</v>
      </c>
      <c r="M773" s="7" t="s">
        <v>1423</v>
      </c>
      <c r="N773" s="14">
        <f>Greenleaf[[#This Row],[Unit Price]]*Greenleaf[[#This Row],[Quantity Sold]]</f>
        <v>280</v>
      </c>
      <c r="O773" s="13">
        <f>Greenleaf[[#This Row],[Unit Cost]]*Greenleaf[[#This Row],[Quantity Sold]]</f>
        <v>71.61</v>
      </c>
      <c r="P773" s="13">
        <f>Greenleaf[[#This Row],[ Unit  price per quantity]]-Greenleaf[[#This Row],[ Unit cost per quantity]]</f>
        <v>208.39</v>
      </c>
      <c r="Q773" s="14">
        <f>Greenleaf[[#This Row],[Quantity Sold]]*Greenleaf[[#This Row],[Unit Price]]</f>
        <v>280</v>
      </c>
    </row>
    <row r="774" spans="1:17" x14ac:dyDescent="0.25">
      <c r="A774" t="s">
        <v>2200</v>
      </c>
      <c r="B774" s="5">
        <v>45576</v>
      </c>
      <c r="C774" s="5" t="str">
        <f>TEXT(Greenleaf[[#This Row],[Order Date]],"MMM")</f>
        <v>Oct</v>
      </c>
      <c r="D774" s="5" t="str">
        <f>TEXT(Greenleaf[[#This Row],[Order Date]],"YYYY")</f>
        <v>2024</v>
      </c>
      <c r="E774" t="s">
        <v>2463</v>
      </c>
      <c r="F774" s="7" t="s">
        <v>1014</v>
      </c>
      <c r="G774" s="9">
        <v>5</v>
      </c>
      <c r="H774" s="11">
        <v>15</v>
      </c>
      <c r="I774" s="13">
        <v>5.01</v>
      </c>
      <c r="J774" t="s">
        <v>1090</v>
      </c>
      <c r="K774" t="s">
        <v>2498</v>
      </c>
      <c r="L774" s="7" t="s">
        <v>1417</v>
      </c>
      <c r="M774" s="7" t="s">
        <v>1423</v>
      </c>
      <c r="N774" s="14">
        <f>Greenleaf[[#This Row],[Unit Price]]*Greenleaf[[#This Row],[Quantity Sold]]</f>
        <v>75</v>
      </c>
      <c r="O774" s="13">
        <f>Greenleaf[[#This Row],[Unit Cost]]*Greenleaf[[#This Row],[Quantity Sold]]</f>
        <v>25.049999999999997</v>
      </c>
      <c r="P774" s="13">
        <f>Greenleaf[[#This Row],[ Unit  price per quantity]]-Greenleaf[[#This Row],[ Unit cost per quantity]]</f>
        <v>49.95</v>
      </c>
      <c r="Q774" s="14">
        <f>Greenleaf[[#This Row],[Quantity Sold]]*Greenleaf[[#This Row],[Unit Price]]</f>
        <v>75</v>
      </c>
    </row>
    <row r="775" spans="1:17" x14ac:dyDescent="0.25">
      <c r="A775" t="s">
        <v>2201</v>
      </c>
      <c r="B775" s="5">
        <v>45577</v>
      </c>
      <c r="C775" s="5" t="str">
        <f>TEXT(Greenleaf[[#This Row],[Order Date]],"MMM")</f>
        <v>Oct</v>
      </c>
      <c r="D775" s="5" t="str">
        <f>TEXT(Greenleaf[[#This Row],[Order Date]],"YYYY")</f>
        <v>2024</v>
      </c>
      <c r="E775" t="s">
        <v>2462</v>
      </c>
      <c r="F775" s="7" t="s">
        <v>1013</v>
      </c>
      <c r="G775" s="9">
        <v>9</v>
      </c>
      <c r="H775" s="11">
        <v>25</v>
      </c>
      <c r="I775" s="13">
        <v>7.98</v>
      </c>
      <c r="J775" t="s">
        <v>1200</v>
      </c>
      <c r="K775" t="s">
        <v>2559</v>
      </c>
      <c r="L775" s="7" t="s">
        <v>1414</v>
      </c>
      <c r="M775" s="7" t="s">
        <v>1426</v>
      </c>
      <c r="N775" s="14">
        <f>Greenleaf[[#This Row],[Unit Price]]*Greenleaf[[#This Row],[Quantity Sold]]</f>
        <v>225</v>
      </c>
      <c r="O775" s="13">
        <f>Greenleaf[[#This Row],[Unit Cost]]*Greenleaf[[#This Row],[Quantity Sold]]</f>
        <v>71.820000000000007</v>
      </c>
      <c r="P775" s="13">
        <f>Greenleaf[[#This Row],[ Unit  price per quantity]]-Greenleaf[[#This Row],[ Unit cost per quantity]]</f>
        <v>153.18</v>
      </c>
      <c r="Q775" s="14">
        <f>Greenleaf[[#This Row],[Quantity Sold]]*Greenleaf[[#This Row],[Unit Price]]</f>
        <v>225</v>
      </c>
    </row>
    <row r="776" spans="1:17" x14ac:dyDescent="0.25">
      <c r="A776" t="s">
        <v>2202</v>
      </c>
      <c r="B776" s="5">
        <v>45577</v>
      </c>
      <c r="C776" s="5" t="str">
        <f>TEXT(Greenleaf[[#This Row],[Order Date]],"MMM")</f>
        <v>Oct</v>
      </c>
      <c r="D776" s="5" t="str">
        <f>TEXT(Greenleaf[[#This Row],[Order Date]],"YYYY")</f>
        <v>2024</v>
      </c>
      <c r="E776" t="s">
        <v>2464</v>
      </c>
      <c r="F776" s="7" t="s">
        <v>1012</v>
      </c>
      <c r="G776" s="9">
        <v>7</v>
      </c>
      <c r="H776" s="11">
        <v>40</v>
      </c>
      <c r="I776" s="13">
        <v>14.85</v>
      </c>
      <c r="J776" t="s">
        <v>1134</v>
      </c>
      <c r="K776" t="s">
        <v>2477</v>
      </c>
      <c r="L776" s="7" t="s">
        <v>1417</v>
      </c>
      <c r="M776" s="7" t="s">
        <v>1420</v>
      </c>
      <c r="N776" s="14">
        <f>Greenleaf[[#This Row],[Unit Price]]*Greenleaf[[#This Row],[Quantity Sold]]</f>
        <v>280</v>
      </c>
      <c r="O776" s="13">
        <f>Greenleaf[[#This Row],[Unit Cost]]*Greenleaf[[#This Row],[Quantity Sold]]</f>
        <v>103.95</v>
      </c>
      <c r="P776" s="13">
        <f>Greenleaf[[#This Row],[ Unit  price per quantity]]-Greenleaf[[#This Row],[ Unit cost per quantity]]</f>
        <v>176.05</v>
      </c>
      <c r="Q776" s="14">
        <f>Greenleaf[[#This Row],[Quantity Sold]]*Greenleaf[[#This Row],[Unit Price]]</f>
        <v>280</v>
      </c>
    </row>
    <row r="777" spans="1:17" x14ac:dyDescent="0.25">
      <c r="A777" t="s">
        <v>2203</v>
      </c>
      <c r="B777" s="5">
        <v>45577</v>
      </c>
      <c r="C777" s="5" t="str">
        <f>TEXT(Greenleaf[[#This Row],[Order Date]],"MMM")</f>
        <v>Oct</v>
      </c>
      <c r="D777" s="5" t="str">
        <f>TEXT(Greenleaf[[#This Row],[Order Date]],"YYYY")</f>
        <v>2024</v>
      </c>
      <c r="E777" t="s">
        <v>2461</v>
      </c>
      <c r="F777" s="7" t="s">
        <v>1011</v>
      </c>
      <c r="G777" s="9">
        <v>7</v>
      </c>
      <c r="H777" s="11">
        <v>12</v>
      </c>
      <c r="I777" s="13">
        <v>4.57</v>
      </c>
      <c r="J777" t="s">
        <v>1150</v>
      </c>
      <c r="K777" t="s">
        <v>2529</v>
      </c>
      <c r="L777" s="7" t="s">
        <v>1414</v>
      </c>
      <c r="M777" s="7" t="s">
        <v>1423</v>
      </c>
      <c r="N777" s="14">
        <f>Greenleaf[[#This Row],[Unit Price]]*Greenleaf[[#This Row],[Quantity Sold]]</f>
        <v>84</v>
      </c>
      <c r="O777" s="13">
        <f>Greenleaf[[#This Row],[Unit Cost]]*Greenleaf[[#This Row],[Quantity Sold]]</f>
        <v>31.990000000000002</v>
      </c>
      <c r="P777" s="13">
        <f>Greenleaf[[#This Row],[ Unit  price per quantity]]-Greenleaf[[#This Row],[ Unit cost per quantity]]</f>
        <v>52.01</v>
      </c>
      <c r="Q777" s="14">
        <f>Greenleaf[[#This Row],[Quantity Sold]]*Greenleaf[[#This Row],[Unit Price]]</f>
        <v>84</v>
      </c>
    </row>
    <row r="778" spans="1:17" x14ac:dyDescent="0.25">
      <c r="A778" t="s">
        <v>2204</v>
      </c>
      <c r="B778" s="5">
        <v>45578</v>
      </c>
      <c r="C778" s="5" t="str">
        <f>TEXT(Greenleaf[[#This Row],[Order Date]],"MMM")</f>
        <v>Oct</v>
      </c>
      <c r="D778" s="5" t="str">
        <f>TEXT(Greenleaf[[#This Row],[Order Date]],"YYYY")</f>
        <v>2024</v>
      </c>
      <c r="E778" t="s">
        <v>2461</v>
      </c>
      <c r="F778" s="7" t="s">
        <v>1011</v>
      </c>
      <c r="G778" s="9">
        <v>7</v>
      </c>
      <c r="H778" s="11">
        <v>12</v>
      </c>
      <c r="I778" s="13">
        <v>4.38</v>
      </c>
      <c r="J778" t="s">
        <v>1037</v>
      </c>
      <c r="K778" t="s">
        <v>2544</v>
      </c>
      <c r="L778" s="7" t="s">
        <v>1414</v>
      </c>
      <c r="M778" s="7" t="s">
        <v>1423</v>
      </c>
      <c r="N778" s="14">
        <f>Greenleaf[[#This Row],[Unit Price]]*Greenleaf[[#This Row],[Quantity Sold]]</f>
        <v>84</v>
      </c>
      <c r="O778" s="13">
        <f>Greenleaf[[#This Row],[Unit Cost]]*Greenleaf[[#This Row],[Quantity Sold]]</f>
        <v>30.66</v>
      </c>
      <c r="P778" s="13">
        <f>Greenleaf[[#This Row],[ Unit  price per quantity]]-Greenleaf[[#This Row],[ Unit cost per quantity]]</f>
        <v>53.34</v>
      </c>
      <c r="Q778" s="14">
        <f>Greenleaf[[#This Row],[Quantity Sold]]*Greenleaf[[#This Row],[Unit Price]]</f>
        <v>84</v>
      </c>
    </row>
    <row r="779" spans="1:17" x14ac:dyDescent="0.25">
      <c r="A779" t="s">
        <v>2205</v>
      </c>
      <c r="B779" s="5">
        <v>45578</v>
      </c>
      <c r="C779" s="5" t="str">
        <f>TEXT(Greenleaf[[#This Row],[Order Date]],"MMM")</f>
        <v>Oct</v>
      </c>
      <c r="D779" s="5" t="str">
        <f>TEXT(Greenleaf[[#This Row],[Order Date]],"YYYY")</f>
        <v>2024</v>
      </c>
      <c r="E779" t="s">
        <v>2463</v>
      </c>
      <c r="F779" s="7" t="s">
        <v>1014</v>
      </c>
      <c r="G779" s="9">
        <v>10</v>
      </c>
      <c r="H779" s="11">
        <v>15</v>
      </c>
      <c r="I779" s="13">
        <v>3.73</v>
      </c>
      <c r="J779" t="s">
        <v>1035</v>
      </c>
      <c r="K779" t="s">
        <v>2483</v>
      </c>
      <c r="L779" s="7" t="s">
        <v>1415</v>
      </c>
      <c r="M779" s="7" t="s">
        <v>1425</v>
      </c>
      <c r="N779" s="14">
        <f>Greenleaf[[#This Row],[Unit Price]]*Greenleaf[[#This Row],[Quantity Sold]]</f>
        <v>150</v>
      </c>
      <c r="O779" s="13">
        <f>Greenleaf[[#This Row],[Unit Cost]]*Greenleaf[[#This Row],[Quantity Sold]]</f>
        <v>37.299999999999997</v>
      </c>
      <c r="P779" s="13">
        <f>Greenleaf[[#This Row],[ Unit  price per quantity]]-Greenleaf[[#This Row],[ Unit cost per quantity]]</f>
        <v>112.7</v>
      </c>
      <c r="Q779" s="14">
        <f>Greenleaf[[#This Row],[Quantity Sold]]*Greenleaf[[#This Row],[Unit Price]]</f>
        <v>150</v>
      </c>
    </row>
    <row r="780" spans="1:17" x14ac:dyDescent="0.25">
      <c r="A780" t="s">
        <v>2206</v>
      </c>
      <c r="B780" s="5">
        <v>45578</v>
      </c>
      <c r="C780" s="5" t="str">
        <f>TEXT(Greenleaf[[#This Row],[Order Date]],"MMM")</f>
        <v>Oct</v>
      </c>
      <c r="D780" s="5" t="str">
        <f>TEXT(Greenleaf[[#This Row],[Order Date]],"YYYY")</f>
        <v>2024</v>
      </c>
      <c r="E780" t="s">
        <v>2464</v>
      </c>
      <c r="F780" s="7" t="s">
        <v>1012</v>
      </c>
      <c r="G780" s="9">
        <v>6</v>
      </c>
      <c r="H780" s="11">
        <v>40</v>
      </c>
      <c r="I780" s="13">
        <v>10.78</v>
      </c>
      <c r="J780" t="s">
        <v>1081</v>
      </c>
      <c r="K780" t="s">
        <v>2541</v>
      </c>
      <c r="L780" s="7" t="s">
        <v>1416</v>
      </c>
      <c r="M780" s="7" t="s">
        <v>1426</v>
      </c>
      <c r="N780" s="14">
        <f>Greenleaf[[#This Row],[Unit Price]]*Greenleaf[[#This Row],[Quantity Sold]]</f>
        <v>240</v>
      </c>
      <c r="O780" s="13">
        <f>Greenleaf[[#This Row],[Unit Cost]]*Greenleaf[[#This Row],[Quantity Sold]]</f>
        <v>64.679999999999993</v>
      </c>
      <c r="P780" s="13">
        <f>Greenleaf[[#This Row],[ Unit  price per quantity]]-Greenleaf[[#This Row],[ Unit cost per quantity]]</f>
        <v>175.32</v>
      </c>
      <c r="Q780" s="14">
        <f>Greenleaf[[#This Row],[Quantity Sold]]*Greenleaf[[#This Row],[Unit Price]]</f>
        <v>240</v>
      </c>
    </row>
    <row r="781" spans="1:17" x14ac:dyDescent="0.25">
      <c r="A781" t="s">
        <v>2207</v>
      </c>
      <c r="B781" s="5">
        <v>45578</v>
      </c>
      <c r="C781" s="5" t="str">
        <f>TEXT(Greenleaf[[#This Row],[Order Date]],"MMM")</f>
        <v>Oct</v>
      </c>
      <c r="D781" s="5" t="str">
        <f>TEXT(Greenleaf[[#This Row],[Order Date]],"YYYY")</f>
        <v>2024</v>
      </c>
      <c r="E781" t="s">
        <v>2463</v>
      </c>
      <c r="F781" s="7" t="s">
        <v>1014</v>
      </c>
      <c r="G781" s="9">
        <v>9</v>
      </c>
      <c r="H781" s="11">
        <v>15</v>
      </c>
      <c r="I781" s="13">
        <v>4.62</v>
      </c>
      <c r="J781" t="s">
        <v>1063</v>
      </c>
      <c r="K781" t="s">
        <v>2588</v>
      </c>
      <c r="L781" s="7" t="s">
        <v>1416</v>
      </c>
      <c r="M781" s="7" t="s">
        <v>1424</v>
      </c>
      <c r="N781" s="14">
        <f>Greenleaf[[#This Row],[Unit Price]]*Greenleaf[[#This Row],[Quantity Sold]]</f>
        <v>135</v>
      </c>
      <c r="O781" s="13">
        <f>Greenleaf[[#This Row],[Unit Cost]]*Greenleaf[[#This Row],[Quantity Sold]]</f>
        <v>41.58</v>
      </c>
      <c r="P781" s="13">
        <f>Greenleaf[[#This Row],[ Unit  price per quantity]]-Greenleaf[[#This Row],[ Unit cost per quantity]]</f>
        <v>93.42</v>
      </c>
      <c r="Q781" s="14">
        <f>Greenleaf[[#This Row],[Quantity Sold]]*Greenleaf[[#This Row],[Unit Price]]</f>
        <v>135</v>
      </c>
    </row>
    <row r="782" spans="1:17" x14ac:dyDescent="0.25">
      <c r="A782" t="s">
        <v>2208</v>
      </c>
      <c r="B782" s="5">
        <v>45578</v>
      </c>
      <c r="C782" s="5" t="str">
        <f>TEXT(Greenleaf[[#This Row],[Order Date]],"MMM")</f>
        <v>Oct</v>
      </c>
      <c r="D782" s="5" t="str">
        <f>TEXT(Greenleaf[[#This Row],[Order Date]],"YYYY")</f>
        <v>2024</v>
      </c>
      <c r="E782" t="s">
        <v>2464</v>
      </c>
      <c r="F782" s="7" t="s">
        <v>1012</v>
      </c>
      <c r="G782" s="9">
        <v>10</v>
      </c>
      <c r="H782" s="11">
        <v>40</v>
      </c>
      <c r="I782" s="13">
        <v>10.4</v>
      </c>
      <c r="J782" t="s">
        <v>1030</v>
      </c>
      <c r="K782" t="s">
        <v>2496</v>
      </c>
      <c r="L782" s="7" t="s">
        <v>1415</v>
      </c>
      <c r="M782" s="7" t="s">
        <v>1419</v>
      </c>
      <c r="N782" s="14">
        <f>Greenleaf[[#This Row],[Unit Price]]*Greenleaf[[#This Row],[Quantity Sold]]</f>
        <v>400</v>
      </c>
      <c r="O782" s="13">
        <f>Greenleaf[[#This Row],[Unit Cost]]*Greenleaf[[#This Row],[Quantity Sold]]</f>
        <v>104</v>
      </c>
      <c r="P782" s="13">
        <f>Greenleaf[[#This Row],[ Unit  price per quantity]]-Greenleaf[[#This Row],[ Unit cost per quantity]]</f>
        <v>296</v>
      </c>
      <c r="Q782" s="14">
        <f>Greenleaf[[#This Row],[Quantity Sold]]*Greenleaf[[#This Row],[Unit Price]]</f>
        <v>400</v>
      </c>
    </row>
    <row r="783" spans="1:17" x14ac:dyDescent="0.25">
      <c r="A783" t="s">
        <v>2209</v>
      </c>
      <c r="B783" s="5">
        <v>45579</v>
      </c>
      <c r="C783" s="5" t="str">
        <f>TEXT(Greenleaf[[#This Row],[Order Date]],"MMM")</f>
        <v>Oct</v>
      </c>
      <c r="D783" s="5" t="str">
        <f>TEXT(Greenleaf[[#This Row],[Order Date]],"YYYY")</f>
        <v>2024</v>
      </c>
      <c r="E783" t="s">
        <v>2461</v>
      </c>
      <c r="F783" s="7" t="s">
        <v>1011</v>
      </c>
      <c r="G783" s="9">
        <v>6</v>
      </c>
      <c r="H783" s="11">
        <v>12</v>
      </c>
      <c r="I783" s="13">
        <v>4.6100000000000003</v>
      </c>
      <c r="J783" t="s">
        <v>1041</v>
      </c>
      <c r="K783" t="s">
        <v>2538</v>
      </c>
      <c r="L783" s="7" t="s">
        <v>1414</v>
      </c>
      <c r="M783" s="7" t="s">
        <v>1425</v>
      </c>
      <c r="N783" s="14">
        <f>Greenleaf[[#This Row],[Unit Price]]*Greenleaf[[#This Row],[Quantity Sold]]</f>
        <v>72</v>
      </c>
      <c r="O783" s="13">
        <f>Greenleaf[[#This Row],[Unit Cost]]*Greenleaf[[#This Row],[Quantity Sold]]</f>
        <v>27.660000000000004</v>
      </c>
      <c r="P783" s="13">
        <f>Greenleaf[[#This Row],[ Unit  price per quantity]]-Greenleaf[[#This Row],[ Unit cost per quantity]]</f>
        <v>44.339999999999996</v>
      </c>
      <c r="Q783" s="14">
        <f>Greenleaf[[#This Row],[Quantity Sold]]*Greenleaf[[#This Row],[Unit Price]]</f>
        <v>72</v>
      </c>
    </row>
    <row r="784" spans="1:17" x14ac:dyDescent="0.25">
      <c r="A784" t="s">
        <v>2210</v>
      </c>
      <c r="B784" s="5">
        <v>45580</v>
      </c>
      <c r="C784" s="5" t="str">
        <f>TEXT(Greenleaf[[#This Row],[Order Date]],"MMM")</f>
        <v>Oct</v>
      </c>
      <c r="D784" s="5" t="str">
        <f>TEXT(Greenleaf[[#This Row],[Order Date]],"YYYY")</f>
        <v>2024</v>
      </c>
      <c r="E784" t="s">
        <v>2463</v>
      </c>
      <c r="F784" s="7" t="s">
        <v>1014</v>
      </c>
      <c r="G784" s="9">
        <v>5</v>
      </c>
      <c r="H784" s="11">
        <v>15</v>
      </c>
      <c r="I784" s="13">
        <v>5.78</v>
      </c>
      <c r="J784" t="s">
        <v>1189</v>
      </c>
      <c r="K784" t="s">
        <v>2473</v>
      </c>
      <c r="L784" s="7" t="s">
        <v>1416</v>
      </c>
      <c r="M784" s="7" t="s">
        <v>1418</v>
      </c>
      <c r="N784" s="14">
        <f>Greenleaf[[#This Row],[Unit Price]]*Greenleaf[[#This Row],[Quantity Sold]]</f>
        <v>75</v>
      </c>
      <c r="O784" s="13">
        <f>Greenleaf[[#This Row],[Unit Cost]]*Greenleaf[[#This Row],[Quantity Sold]]</f>
        <v>28.900000000000002</v>
      </c>
      <c r="P784" s="13">
        <f>Greenleaf[[#This Row],[ Unit  price per quantity]]-Greenleaf[[#This Row],[ Unit cost per quantity]]</f>
        <v>46.099999999999994</v>
      </c>
      <c r="Q784" s="14">
        <f>Greenleaf[[#This Row],[Quantity Sold]]*Greenleaf[[#This Row],[Unit Price]]</f>
        <v>75</v>
      </c>
    </row>
    <row r="785" spans="1:17" x14ac:dyDescent="0.25">
      <c r="A785" t="s">
        <v>2211</v>
      </c>
      <c r="B785" s="5">
        <v>45580</v>
      </c>
      <c r="C785" s="5" t="str">
        <f>TEXT(Greenleaf[[#This Row],[Order Date]],"MMM")</f>
        <v>Oct</v>
      </c>
      <c r="D785" s="5" t="str">
        <f>TEXT(Greenleaf[[#This Row],[Order Date]],"YYYY")</f>
        <v>2024</v>
      </c>
      <c r="E785" t="s">
        <v>2462</v>
      </c>
      <c r="F785" s="7" t="s">
        <v>1013</v>
      </c>
      <c r="G785" s="9">
        <v>6</v>
      </c>
      <c r="H785" s="11">
        <v>25</v>
      </c>
      <c r="I785" s="13">
        <v>7.31</v>
      </c>
      <c r="J785" t="s">
        <v>1123</v>
      </c>
      <c r="K785" t="s">
        <v>2501</v>
      </c>
      <c r="L785" s="7" t="s">
        <v>1414</v>
      </c>
      <c r="M785" s="7" t="s">
        <v>1420</v>
      </c>
      <c r="N785" s="14">
        <f>Greenleaf[[#This Row],[Unit Price]]*Greenleaf[[#This Row],[Quantity Sold]]</f>
        <v>150</v>
      </c>
      <c r="O785" s="13">
        <f>Greenleaf[[#This Row],[Unit Cost]]*Greenleaf[[#This Row],[Quantity Sold]]</f>
        <v>43.86</v>
      </c>
      <c r="P785" s="13">
        <f>Greenleaf[[#This Row],[ Unit  price per quantity]]-Greenleaf[[#This Row],[ Unit cost per quantity]]</f>
        <v>106.14</v>
      </c>
      <c r="Q785" s="14">
        <f>Greenleaf[[#This Row],[Quantity Sold]]*Greenleaf[[#This Row],[Unit Price]]</f>
        <v>150</v>
      </c>
    </row>
    <row r="786" spans="1:17" x14ac:dyDescent="0.25">
      <c r="A786" t="s">
        <v>2212</v>
      </c>
      <c r="B786" s="5">
        <v>45580</v>
      </c>
      <c r="C786" s="5" t="str">
        <f>TEXT(Greenleaf[[#This Row],[Order Date]],"MMM")</f>
        <v>Oct</v>
      </c>
      <c r="D786" s="5" t="str">
        <f>TEXT(Greenleaf[[#This Row],[Order Date]],"YYYY")</f>
        <v>2024</v>
      </c>
      <c r="E786" t="s">
        <v>2462</v>
      </c>
      <c r="F786" s="7" t="s">
        <v>1013</v>
      </c>
      <c r="G786" s="9">
        <v>4</v>
      </c>
      <c r="H786" s="11">
        <v>25</v>
      </c>
      <c r="I786" s="13">
        <v>5.44</v>
      </c>
      <c r="J786" t="s">
        <v>1214</v>
      </c>
      <c r="K786" t="s">
        <v>2533</v>
      </c>
      <c r="L786" s="7" t="s">
        <v>1414</v>
      </c>
      <c r="M786" s="7" t="s">
        <v>1423</v>
      </c>
      <c r="N786" s="14">
        <f>Greenleaf[[#This Row],[Unit Price]]*Greenleaf[[#This Row],[Quantity Sold]]</f>
        <v>100</v>
      </c>
      <c r="O786" s="13">
        <f>Greenleaf[[#This Row],[Unit Cost]]*Greenleaf[[#This Row],[Quantity Sold]]</f>
        <v>21.76</v>
      </c>
      <c r="P786" s="13">
        <f>Greenleaf[[#This Row],[ Unit  price per quantity]]-Greenleaf[[#This Row],[ Unit cost per quantity]]</f>
        <v>78.239999999999995</v>
      </c>
      <c r="Q786" s="14">
        <f>Greenleaf[[#This Row],[Quantity Sold]]*Greenleaf[[#This Row],[Unit Price]]</f>
        <v>100</v>
      </c>
    </row>
    <row r="787" spans="1:17" x14ac:dyDescent="0.25">
      <c r="A787" t="s">
        <v>2213</v>
      </c>
      <c r="B787" s="5">
        <v>45581</v>
      </c>
      <c r="C787" s="5" t="str">
        <f>TEXT(Greenleaf[[#This Row],[Order Date]],"MMM")</f>
        <v>Oct</v>
      </c>
      <c r="D787" s="5" t="str">
        <f>TEXT(Greenleaf[[#This Row],[Order Date]],"YYYY")</f>
        <v>2024</v>
      </c>
      <c r="E787" t="s">
        <v>2464</v>
      </c>
      <c r="F787" s="7" t="s">
        <v>1012</v>
      </c>
      <c r="G787" s="9">
        <v>1</v>
      </c>
      <c r="H787" s="11">
        <v>40</v>
      </c>
      <c r="I787" s="13">
        <v>15.04</v>
      </c>
      <c r="J787" t="s">
        <v>1158</v>
      </c>
      <c r="K787" t="s">
        <v>2541</v>
      </c>
      <c r="L787" s="7" t="s">
        <v>1416</v>
      </c>
      <c r="M787" s="7" t="s">
        <v>1419</v>
      </c>
      <c r="N787" s="14">
        <f>Greenleaf[[#This Row],[Unit Price]]*Greenleaf[[#This Row],[Quantity Sold]]</f>
        <v>40</v>
      </c>
      <c r="O787" s="13">
        <f>Greenleaf[[#This Row],[Unit Cost]]*Greenleaf[[#This Row],[Quantity Sold]]</f>
        <v>15.04</v>
      </c>
      <c r="P787" s="13">
        <f>Greenleaf[[#This Row],[ Unit  price per quantity]]-Greenleaf[[#This Row],[ Unit cost per quantity]]</f>
        <v>24.96</v>
      </c>
      <c r="Q787" s="14">
        <f>Greenleaf[[#This Row],[Quantity Sold]]*Greenleaf[[#This Row],[Unit Price]]</f>
        <v>40</v>
      </c>
    </row>
    <row r="788" spans="1:17" x14ac:dyDescent="0.25">
      <c r="A788" t="s">
        <v>2214</v>
      </c>
      <c r="B788" s="5">
        <v>45581</v>
      </c>
      <c r="C788" s="5" t="str">
        <f>TEXT(Greenleaf[[#This Row],[Order Date]],"MMM")</f>
        <v>Oct</v>
      </c>
      <c r="D788" s="5" t="str">
        <f>TEXT(Greenleaf[[#This Row],[Order Date]],"YYYY")</f>
        <v>2024</v>
      </c>
      <c r="E788" t="s">
        <v>2463</v>
      </c>
      <c r="F788" s="7" t="s">
        <v>1014</v>
      </c>
      <c r="G788" s="9">
        <v>9</v>
      </c>
      <c r="H788" s="11">
        <v>15</v>
      </c>
      <c r="I788" s="13">
        <v>4.9000000000000004</v>
      </c>
      <c r="J788" t="s">
        <v>1147</v>
      </c>
      <c r="K788" t="s">
        <v>2484</v>
      </c>
      <c r="L788" s="7" t="s">
        <v>1416</v>
      </c>
      <c r="M788" s="7" t="s">
        <v>1426</v>
      </c>
      <c r="N788" s="14">
        <f>Greenleaf[[#This Row],[Unit Price]]*Greenleaf[[#This Row],[Quantity Sold]]</f>
        <v>135</v>
      </c>
      <c r="O788" s="13">
        <f>Greenleaf[[#This Row],[Unit Cost]]*Greenleaf[[#This Row],[Quantity Sold]]</f>
        <v>44.1</v>
      </c>
      <c r="P788" s="13">
        <f>Greenleaf[[#This Row],[ Unit  price per quantity]]-Greenleaf[[#This Row],[ Unit cost per quantity]]</f>
        <v>90.9</v>
      </c>
      <c r="Q788" s="14">
        <f>Greenleaf[[#This Row],[Quantity Sold]]*Greenleaf[[#This Row],[Unit Price]]</f>
        <v>135</v>
      </c>
    </row>
    <row r="789" spans="1:17" x14ac:dyDescent="0.25">
      <c r="A789" t="s">
        <v>2215</v>
      </c>
      <c r="B789" s="5">
        <v>45581</v>
      </c>
      <c r="C789" s="5" t="str">
        <f>TEXT(Greenleaf[[#This Row],[Order Date]],"MMM")</f>
        <v>Oct</v>
      </c>
      <c r="D789" s="5" t="str">
        <f>TEXT(Greenleaf[[#This Row],[Order Date]],"YYYY")</f>
        <v>2024</v>
      </c>
      <c r="E789" t="s">
        <v>2464</v>
      </c>
      <c r="F789" s="7" t="s">
        <v>1012</v>
      </c>
      <c r="G789" s="9">
        <v>6</v>
      </c>
      <c r="H789" s="11">
        <v>40</v>
      </c>
      <c r="I789" s="13">
        <v>11.76</v>
      </c>
      <c r="J789" t="s">
        <v>1164</v>
      </c>
      <c r="K789" t="s">
        <v>2567</v>
      </c>
      <c r="L789" s="7" t="s">
        <v>1414</v>
      </c>
      <c r="M789" s="7" t="s">
        <v>1427</v>
      </c>
      <c r="N789" s="14">
        <f>Greenleaf[[#This Row],[Unit Price]]*Greenleaf[[#This Row],[Quantity Sold]]</f>
        <v>240</v>
      </c>
      <c r="O789" s="13">
        <f>Greenleaf[[#This Row],[Unit Cost]]*Greenleaf[[#This Row],[Quantity Sold]]</f>
        <v>70.56</v>
      </c>
      <c r="P789" s="13">
        <f>Greenleaf[[#This Row],[ Unit  price per quantity]]-Greenleaf[[#This Row],[ Unit cost per quantity]]</f>
        <v>169.44</v>
      </c>
      <c r="Q789" s="14">
        <f>Greenleaf[[#This Row],[Quantity Sold]]*Greenleaf[[#This Row],[Unit Price]]</f>
        <v>240</v>
      </c>
    </row>
    <row r="790" spans="1:17" x14ac:dyDescent="0.25">
      <c r="A790" t="s">
        <v>2216</v>
      </c>
      <c r="B790" s="5">
        <v>45581</v>
      </c>
      <c r="C790" s="5" t="str">
        <f>TEXT(Greenleaf[[#This Row],[Order Date]],"MMM")</f>
        <v>Oct</v>
      </c>
      <c r="D790" s="5" t="str">
        <f>TEXT(Greenleaf[[#This Row],[Order Date]],"YYYY")</f>
        <v>2024</v>
      </c>
      <c r="E790" t="s">
        <v>2461</v>
      </c>
      <c r="F790" s="7" t="s">
        <v>1011</v>
      </c>
      <c r="G790" s="9">
        <v>5</v>
      </c>
      <c r="H790" s="11">
        <v>12</v>
      </c>
      <c r="I790" s="13">
        <v>4.68</v>
      </c>
      <c r="J790" t="s">
        <v>1144</v>
      </c>
      <c r="K790" t="s">
        <v>2534</v>
      </c>
      <c r="L790" s="7" t="s">
        <v>1416</v>
      </c>
      <c r="M790" s="7" t="s">
        <v>1426</v>
      </c>
      <c r="N790" s="14">
        <f>Greenleaf[[#This Row],[Unit Price]]*Greenleaf[[#This Row],[Quantity Sold]]</f>
        <v>60</v>
      </c>
      <c r="O790" s="13">
        <f>Greenleaf[[#This Row],[Unit Cost]]*Greenleaf[[#This Row],[Quantity Sold]]</f>
        <v>23.4</v>
      </c>
      <c r="P790" s="13">
        <f>Greenleaf[[#This Row],[ Unit  price per quantity]]-Greenleaf[[#This Row],[ Unit cost per quantity]]</f>
        <v>36.6</v>
      </c>
      <c r="Q790" s="14">
        <f>Greenleaf[[#This Row],[Quantity Sold]]*Greenleaf[[#This Row],[Unit Price]]</f>
        <v>60</v>
      </c>
    </row>
    <row r="791" spans="1:17" x14ac:dyDescent="0.25">
      <c r="A791" t="s">
        <v>2217</v>
      </c>
      <c r="B791" s="5">
        <v>45582</v>
      </c>
      <c r="C791" s="5" t="str">
        <f>TEXT(Greenleaf[[#This Row],[Order Date]],"MMM")</f>
        <v>Oct</v>
      </c>
      <c r="D791" s="5" t="str">
        <f>TEXT(Greenleaf[[#This Row],[Order Date]],"YYYY")</f>
        <v>2024</v>
      </c>
      <c r="E791" t="s">
        <v>2463</v>
      </c>
      <c r="F791" s="7" t="s">
        <v>1014</v>
      </c>
      <c r="G791" s="9">
        <v>7</v>
      </c>
      <c r="H791" s="11">
        <v>15</v>
      </c>
      <c r="I791" s="13">
        <v>4.3899999999999997</v>
      </c>
      <c r="J791" t="s">
        <v>1056</v>
      </c>
      <c r="K791" t="s">
        <v>2492</v>
      </c>
      <c r="L791" s="7" t="s">
        <v>1414</v>
      </c>
      <c r="M791" s="7" t="s">
        <v>1421</v>
      </c>
      <c r="N791" s="14">
        <f>Greenleaf[[#This Row],[Unit Price]]*Greenleaf[[#This Row],[Quantity Sold]]</f>
        <v>105</v>
      </c>
      <c r="O791" s="13">
        <f>Greenleaf[[#This Row],[Unit Cost]]*Greenleaf[[#This Row],[Quantity Sold]]</f>
        <v>30.729999999999997</v>
      </c>
      <c r="P791" s="13">
        <f>Greenleaf[[#This Row],[ Unit  price per quantity]]-Greenleaf[[#This Row],[ Unit cost per quantity]]</f>
        <v>74.27000000000001</v>
      </c>
      <c r="Q791" s="14">
        <f>Greenleaf[[#This Row],[Quantity Sold]]*Greenleaf[[#This Row],[Unit Price]]</f>
        <v>105</v>
      </c>
    </row>
    <row r="792" spans="1:17" x14ac:dyDescent="0.25">
      <c r="A792" t="s">
        <v>2218</v>
      </c>
      <c r="B792" s="5">
        <v>45582</v>
      </c>
      <c r="C792" s="5" t="str">
        <f>TEXT(Greenleaf[[#This Row],[Order Date]],"MMM")</f>
        <v>Oct</v>
      </c>
      <c r="D792" s="5" t="str">
        <f>TEXT(Greenleaf[[#This Row],[Order Date]],"YYYY")</f>
        <v>2024</v>
      </c>
      <c r="E792" t="s">
        <v>2461</v>
      </c>
      <c r="F792" s="7" t="s">
        <v>1011</v>
      </c>
      <c r="G792" s="9">
        <v>7</v>
      </c>
      <c r="H792" s="11">
        <v>12</v>
      </c>
      <c r="I792" s="13">
        <v>4.01</v>
      </c>
      <c r="J792" t="s">
        <v>1047</v>
      </c>
      <c r="K792" t="s">
        <v>2476</v>
      </c>
      <c r="L792" s="7" t="s">
        <v>1414</v>
      </c>
      <c r="M792" s="7" t="s">
        <v>1423</v>
      </c>
      <c r="N792" s="14">
        <f>Greenleaf[[#This Row],[Unit Price]]*Greenleaf[[#This Row],[Quantity Sold]]</f>
        <v>84</v>
      </c>
      <c r="O792" s="13">
        <f>Greenleaf[[#This Row],[Unit Cost]]*Greenleaf[[#This Row],[Quantity Sold]]</f>
        <v>28.07</v>
      </c>
      <c r="P792" s="13">
        <f>Greenleaf[[#This Row],[ Unit  price per quantity]]-Greenleaf[[#This Row],[ Unit cost per quantity]]</f>
        <v>55.93</v>
      </c>
      <c r="Q792" s="14">
        <f>Greenleaf[[#This Row],[Quantity Sold]]*Greenleaf[[#This Row],[Unit Price]]</f>
        <v>84</v>
      </c>
    </row>
    <row r="793" spans="1:17" x14ac:dyDescent="0.25">
      <c r="A793" t="s">
        <v>2219</v>
      </c>
      <c r="B793" s="5">
        <v>45582</v>
      </c>
      <c r="C793" s="5" t="str">
        <f>TEXT(Greenleaf[[#This Row],[Order Date]],"MMM")</f>
        <v>Oct</v>
      </c>
      <c r="D793" s="5" t="str">
        <f>TEXT(Greenleaf[[#This Row],[Order Date]],"YYYY")</f>
        <v>2024</v>
      </c>
      <c r="E793" t="s">
        <v>2463</v>
      </c>
      <c r="F793" s="7" t="s">
        <v>1014</v>
      </c>
      <c r="G793" s="9">
        <v>6</v>
      </c>
      <c r="H793" s="11">
        <v>15</v>
      </c>
      <c r="I793" s="13">
        <v>3.88</v>
      </c>
      <c r="J793" t="s">
        <v>1082</v>
      </c>
      <c r="K793" t="s">
        <v>2532</v>
      </c>
      <c r="L793" s="7" t="s">
        <v>1416</v>
      </c>
      <c r="M793" s="7" t="s">
        <v>1425</v>
      </c>
      <c r="N793" s="14">
        <f>Greenleaf[[#This Row],[Unit Price]]*Greenleaf[[#This Row],[Quantity Sold]]</f>
        <v>90</v>
      </c>
      <c r="O793" s="13">
        <f>Greenleaf[[#This Row],[Unit Cost]]*Greenleaf[[#This Row],[Quantity Sold]]</f>
        <v>23.28</v>
      </c>
      <c r="P793" s="13">
        <f>Greenleaf[[#This Row],[ Unit  price per quantity]]-Greenleaf[[#This Row],[ Unit cost per quantity]]</f>
        <v>66.72</v>
      </c>
      <c r="Q793" s="14">
        <f>Greenleaf[[#This Row],[Quantity Sold]]*Greenleaf[[#This Row],[Unit Price]]</f>
        <v>90</v>
      </c>
    </row>
    <row r="794" spans="1:17" x14ac:dyDescent="0.25">
      <c r="A794" t="s">
        <v>2220</v>
      </c>
      <c r="B794" s="5">
        <v>45582</v>
      </c>
      <c r="C794" s="5" t="str">
        <f>TEXT(Greenleaf[[#This Row],[Order Date]],"MMM")</f>
        <v>Oct</v>
      </c>
      <c r="D794" s="5" t="str">
        <f>TEXT(Greenleaf[[#This Row],[Order Date]],"YYYY")</f>
        <v>2024</v>
      </c>
      <c r="E794" t="s">
        <v>2462</v>
      </c>
      <c r="F794" s="7" t="s">
        <v>1013</v>
      </c>
      <c r="G794" s="9">
        <v>6</v>
      </c>
      <c r="H794" s="11">
        <v>25</v>
      </c>
      <c r="I794" s="13">
        <v>6.57</v>
      </c>
      <c r="J794" t="s">
        <v>1085</v>
      </c>
      <c r="K794" t="s">
        <v>2572</v>
      </c>
      <c r="L794" s="7" t="s">
        <v>1416</v>
      </c>
      <c r="M794" s="7" t="s">
        <v>1424</v>
      </c>
      <c r="N794" s="14">
        <f>Greenleaf[[#This Row],[Unit Price]]*Greenleaf[[#This Row],[Quantity Sold]]</f>
        <v>150</v>
      </c>
      <c r="O794" s="13">
        <f>Greenleaf[[#This Row],[Unit Cost]]*Greenleaf[[#This Row],[Quantity Sold]]</f>
        <v>39.42</v>
      </c>
      <c r="P794" s="13">
        <f>Greenleaf[[#This Row],[ Unit  price per quantity]]-Greenleaf[[#This Row],[ Unit cost per quantity]]</f>
        <v>110.58</v>
      </c>
      <c r="Q794" s="14">
        <f>Greenleaf[[#This Row],[Quantity Sold]]*Greenleaf[[#This Row],[Unit Price]]</f>
        <v>150</v>
      </c>
    </row>
    <row r="795" spans="1:17" x14ac:dyDescent="0.25">
      <c r="A795" t="s">
        <v>2221</v>
      </c>
      <c r="B795" s="5">
        <v>45582</v>
      </c>
      <c r="C795" s="5" t="str">
        <f>TEXT(Greenleaf[[#This Row],[Order Date]],"MMM")</f>
        <v>Oct</v>
      </c>
      <c r="D795" s="5" t="str">
        <f>TEXT(Greenleaf[[#This Row],[Order Date]],"YYYY")</f>
        <v>2024</v>
      </c>
      <c r="E795" t="s">
        <v>2460</v>
      </c>
      <c r="F795" s="7" t="s">
        <v>1015</v>
      </c>
      <c r="G795" s="9">
        <v>7</v>
      </c>
      <c r="H795" s="11">
        <v>10</v>
      </c>
      <c r="I795" s="13">
        <v>3.92</v>
      </c>
      <c r="J795" t="s">
        <v>1057</v>
      </c>
      <c r="K795" t="s">
        <v>2528</v>
      </c>
      <c r="L795" s="7" t="s">
        <v>1415</v>
      </c>
      <c r="M795" s="7" t="s">
        <v>1419</v>
      </c>
      <c r="N795" s="14">
        <f>Greenleaf[[#This Row],[Unit Price]]*Greenleaf[[#This Row],[Quantity Sold]]</f>
        <v>70</v>
      </c>
      <c r="O795" s="13">
        <f>Greenleaf[[#This Row],[Unit Cost]]*Greenleaf[[#This Row],[Quantity Sold]]</f>
        <v>27.439999999999998</v>
      </c>
      <c r="P795" s="13">
        <f>Greenleaf[[#This Row],[ Unit  price per quantity]]-Greenleaf[[#This Row],[ Unit cost per quantity]]</f>
        <v>42.56</v>
      </c>
      <c r="Q795" s="14">
        <f>Greenleaf[[#This Row],[Quantity Sold]]*Greenleaf[[#This Row],[Unit Price]]</f>
        <v>70</v>
      </c>
    </row>
    <row r="796" spans="1:17" x14ac:dyDescent="0.25">
      <c r="A796" t="s">
        <v>2222</v>
      </c>
      <c r="B796" s="5">
        <v>45582</v>
      </c>
      <c r="C796" s="5" t="str">
        <f>TEXT(Greenleaf[[#This Row],[Order Date]],"MMM")</f>
        <v>Oct</v>
      </c>
      <c r="D796" s="5" t="str">
        <f>TEXT(Greenleaf[[#This Row],[Order Date]],"YYYY")</f>
        <v>2024</v>
      </c>
      <c r="E796" t="s">
        <v>2460</v>
      </c>
      <c r="F796" s="7" t="s">
        <v>1015</v>
      </c>
      <c r="G796" s="9">
        <v>4</v>
      </c>
      <c r="H796" s="11">
        <v>10</v>
      </c>
      <c r="I796" s="13">
        <v>2.33</v>
      </c>
      <c r="J796" t="s">
        <v>1165</v>
      </c>
      <c r="K796" t="s">
        <v>2515</v>
      </c>
      <c r="L796" s="7" t="s">
        <v>1414</v>
      </c>
      <c r="M796" s="7" t="s">
        <v>1420</v>
      </c>
      <c r="N796" s="14">
        <f>Greenleaf[[#This Row],[Unit Price]]*Greenleaf[[#This Row],[Quantity Sold]]</f>
        <v>40</v>
      </c>
      <c r="O796" s="13">
        <f>Greenleaf[[#This Row],[Unit Cost]]*Greenleaf[[#This Row],[Quantity Sold]]</f>
        <v>9.32</v>
      </c>
      <c r="P796" s="13">
        <f>Greenleaf[[#This Row],[ Unit  price per quantity]]-Greenleaf[[#This Row],[ Unit cost per quantity]]</f>
        <v>30.68</v>
      </c>
      <c r="Q796" s="14">
        <f>Greenleaf[[#This Row],[Quantity Sold]]*Greenleaf[[#This Row],[Unit Price]]</f>
        <v>40</v>
      </c>
    </row>
    <row r="797" spans="1:17" x14ac:dyDescent="0.25">
      <c r="A797" t="s">
        <v>2223</v>
      </c>
      <c r="B797" s="5">
        <v>45582</v>
      </c>
      <c r="C797" s="5" t="str">
        <f>TEXT(Greenleaf[[#This Row],[Order Date]],"MMM")</f>
        <v>Oct</v>
      </c>
      <c r="D797" s="5" t="str">
        <f>TEXT(Greenleaf[[#This Row],[Order Date]],"YYYY")</f>
        <v>2024</v>
      </c>
      <c r="E797" t="s">
        <v>2460</v>
      </c>
      <c r="F797" s="7" t="s">
        <v>1015</v>
      </c>
      <c r="G797" s="9">
        <v>2</v>
      </c>
      <c r="H797" s="11">
        <v>10</v>
      </c>
      <c r="I797" s="13">
        <v>3.79</v>
      </c>
      <c r="J797" t="s">
        <v>1187</v>
      </c>
      <c r="K797" t="s">
        <v>2550</v>
      </c>
      <c r="L797" s="7" t="s">
        <v>1414</v>
      </c>
      <c r="M797" s="7" t="s">
        <v>1427</v>
      </c>
      <c r="N797" s="14">
        <f>Greenleaf[[#This Row],[Unit Price]]*Greenleaf[[#This Row],[Quantity Sold]]</f>
        <v>20</v>
      </c>
      <c r="O797" s="13">
        <f>Greenleaf[[#This Row],[Unit Cost]]*Greenleaf[[#This Row],[Quantity Sold]]</f>
        <v>7.58</v>
      </c>
      <c r="P797" s="13">
        <f>Greenleaf[[#This Row],[ Unit  price per quantity]]-Greenleaf[[#This Row],[ Unit cost per quantity]]</f>
        <v>12.42</v>
      </c>
      <c r="Q797" s="14">
        <f>Greenleaf[[#This Row],[Quantity Sold]]*Greenleaf[[#This Row],[Unit Price]]</f>
        <v>20</v>
      </c>
    </row>
    <row r="798" spans="1:17" x14ac:dyDescent="0.25">
      <c r="A798" t="s">
        <v>2224</v>
      </c>
      <c r="B798" s="5">
        <v>45583</v>
      </c>
      <c r="C798" s="5" t="str">
        <f>TEXT(Greenleaf[[#This Row],[Order Date]],"MMM")</f>
        <v>Oct</v>
      </c>
      <c r="D798" s="5" t="str">
        <f>TEXT(Greenleaf[[#This Row],[Order Date]],"YYYY")</f>
        <v>2024</v>
      </c>
      <c r="E798" t="s">
        <v>2461</v>
      </c>
      <c r="F798" s="7" t="s">
        <v>1011</v>
      </c>
      <c r="G798" s="9">
        <v>4</v>
      </c>
      <c r="H798" s="11">
        <v>12</v>
      </c>
      <c r="I798" s="13">
        <v>4.72</v>
      </c>
      <c r="J798" t="s">
        <v>1048</v>
      </c>
      <c r="K798" t="s">
        <v>2526</v>
      </c>
      <c r="L798" s="7" t="s">
        <v>1414</v>
      </c>
      <c r="M798" s="7" t="s">
        <v>1424</v>
      </c>
      <c r="N798" s="14">
        <f>Greenleaf[[#This Row],[Unit Price]]*Greenleaf[[#This Row],[Quantity Sold]]</f>
        <v>48</v>
      </c>
      <c r="O798" s="13">
        <f>Greenleaf[[#This Row],[Unit Cost]]*Greenleaf[[#This Row],[Quantity Sold]]</f>
        <v>18.88</v>
      </c>
      <c r="P798" s="13">
        <f>Greenleaf[[#This Row],[ Unit  price per quantity]]-Greenleaf[[#This Row],[ Unit cost per quantity]]</f>
        <v>29.12</v>
      </c>
      <c r="Q798" s="14">
        <f>Greenleaf[[#This Row],[Quantity Sold]]*Greenleaf[[#This Row],[Unit Price]]</f>
        <v>48</v>
      </c>
    </row>
    <row r="799" spans="1:17" x14ac:dyDescent="0.25">
      <c r="A799" t="s">
        <v>2225</v>
      </c>
      <c r="B799" s="5">
        <v>45583</v>
      </c>
      <c r="C799" s="5" t="str">
        <f>TEXT(Greenleaf[[#This Row],[Order Date]],"MMM")</f>
        <v>Oct</v>
      </c>
      <c r="D799" s="5" t="str">
        <f>TEXT(Greenleaf[[#This Row],[Order Date]],"YYYY")</f>
        <v>2024</v>
      </c>
      <c r="E799" t="s">
        <v>2463</v>
      </c>
      <c r="F799" s="7" t="s">
        <v>1014</v>
      </c>
      <c r="G799" s="9">
        <v>1</v>
      </c>
      <c r="H799" s="11">
        <v>15</v>
      </c>
      <c r="I799" s="13">
        <v>4.58</v>
      </c>
      <c r="J799" t="s">
        <v>1048</v>
      </c>
      <c r="K799" t="s">
        <v>2526</v>
      </c>
      <c r="L799" s="7" t="s">
        <v>1414</v>
      </c>
      <c r="M799" s="7" t="s">
        <v>1425</v>
      </c>
      <c r="N799" s="14">
        <f>Greenleaf[[#This Row],[Unit Price]]*Greenleaf[[#This Row],[Quantity Sold]]</f>
        <v>15</v>
      </c>
      <c r="O799" s="13">
        <f>Greenleaf[[#This Row],[Unit Cost]]*Greenleaf[[#This Row],[Quantity Sold]]</f>
        <v>4.58</v>
      </c>
      <c r="P799" s="13">
        <f>Greenleaf[[#This Row],[ Unit  price per quantity]]-Greenleaf[[#This Row],[ Unit cost per quantity]]</f>
        <v>10.42</v>
      </c>
      <c r="Q799" s="14">
        <f>Greenleaf[[#This Row],[Quantity Sold]]*Greenleaf[[#This Row],[Unit Price]]</f>
        <v>15</v>
      </c>
    </row>
    <row r="800" spans="1:17" x14ac:dyDescent="0.25">
      <c r="A800" t="s">
        <v>2226</v>
      </c>
      <c r="B800" s="5">
        <v>45584</v>
      </c>
      <c r="C800" s="5" t="str">
        <f>TEXT(Greenleaf[[#This Row],[Order Date]],"MMM")</f>
        <v>Oct</v>
      </c>
      <c r="D800" s="5" t="str">
        <f>TEXT(Greenleaf[[#This Row],[Order Date]],"YYYY")</f>
        <v>2024</v>
      </c>
      <c r="E800" t="s">
        <v>2462</v>
      </c>
      <c r="F800" s="7" t="s">
        <v>1013</v>
      </c>
      <c r="G800" s="9">
        <v>3</v>
      </c>
      <c r="H800" s="11">
        <v>25</v>
      </c>
      <c r="I800" s="13">
        <v>8.26</v>
      </c>
      <c r="J800" t="s">
        <v>1020</v>
      </c>
      <c r="K800" t="s">
        <v>2533</v>
      </c>
      <c r="L800" s="7" t="s">
        <v>1414</v>
      </c>
      <c r="M800" s="7" t="s">
        <v>1427</v>
      </c>
      <c r="N800" s="14">
        <f>Greenleaf[[#This Row],[Unit Price]]*Greenleaf[[#This Row],[Quantity Sold]]</f>
        <v>75</v>
      </c>
      <c r="O800" s="13">
        <f>Greenleaf[[#This Row],[Unit Cost]]*Greenleaf[[#This Row],[Quantity Sold]]</f>
        <v>24.78</v>
      </c>
      <c r="P800" s="13">
        <f>Greenleaf[[#This Row],[ Unit  price per quantity]]-Greenleaf[[#This Row],[ Unit cost per quantity]]</f>
        <v>50.22</v>
      </c>
      <c r="Q800" s="14">
        <f>Greenleaf[[#This Row],[Quantity Sold]]*Greenleaf[[#This Row],[Unit Price]]</f>
        <v>75</v>
      </c>
    </row>
    <row r="801" spans="1:17" x14ac:dyDescent="0.25">
      <c r="A801" t="s">
        <v>2227</v>
      </c>
      <c r="B801" s="5">
        <v>45584</v>
      </c>
      <c r="C801" s="5" t="str">
        <f>TEXT(Greenleaf[[#This Row],[Order Date]],"MMM")</f>
        <v>Oct</v>
      </c>
      <c r="D801" s="5" t="str">
        <f>TEXT(Greenleaf[[#This Row],[Order Date]],"YYYY")</f>
        <v>2024</v>
      </c>
      <c r="E801" t="s">
        <v>2463</v>
      </c>
      <c r="F801" s="7" t="s">
        <v>1014</v>
      </c>
      <c r="G801" s="9">
        <v>9</v>
      </c>
      <c r="H801" s="11">
        <v>15</v>
      </c>
      <c r="I801" s="13">
        <v>4.99</v>
      </c>
      <c r="J801" t="s">
        <v>1096</v>
      </c>
      <c r="K801" t="s">
        <v>2526</v>
      </c>
      <c r="L801" s="7" t="s">
        <v>1414</v>
      </c>
      <c r="M801" s="7" t="s">
        <v>1427</v>
      </c>
      <c r="N801" s="14">
        <f>Greenleaf[[#This Row],[Unit Price]]*Greenleaf[[#This Row],[Quantity Sold]]</f>
        <v>135</v>
      </c>
      <c r="O801" s="13">
        <f>Greenleaf[[#This Row],[Unit Cost]]*Greenleaf[[#This Row],[Quantity Sold]]</f>
        <v>44.910000000000004</v>
      </c>
      <c r="P801" s="13">
        <f>Greenleaf[[#This Row],[ Unit  price per quantity]]-Greenleaf[[#This Row],[ Unit cost per quantity]]</f>
        <v>90.09</v>
      </c>
      <c r="Q801" s="14">
        <f>Greenleaf[[#This Row],[Quantity Sold]]*Greenleaf[[#This Row],[Unit Price]]</f>
        <v>135</v>
      </c>
    </row>
    <row r="802" spans="1:17" x14ac:dyDescent="0.25">
      <c r="A802" t="s">
        <v>2228</v>
      </c>
      <c r="B802" s="5">
        <v>45584</v>
      </c>
      <c r="C802" s="5" t="str">
        <f>TEXT(Greenleaf[[#This Row],[Order Date]],"MMM")</f>
        <v>Oct</v>
      </c>
      <c r="D802" s="5" t="str">
        <f>TEXT(Greenleaf[[#This Row],[Order Date]],"YYYY")</f>
        <v>2024</v>
      </c>
      <c r="E802" t="s">
        <v>2461</v>
      </c>
      <c r="F802" s="7" t="s">
        <v>1011</v>
      </c>
      <c r="G802" s="9">
        <v>9</v>
      </c>
      <c r="H802" s="11">
        <v>12</v>
      </c>
      <c r="I802" s="13">
        <v>4.3499999999999996</v>
      </c>
      <c r="J802" t="s">
        <v>1197</v>
      </c>
      <c r="K802" t="s">
        <v>2522</v>
      </c>
      <c r="L802" s="7" t="s">
        <v>1414</v>
      </c>
      <c r="M802" s="7" t="s">
        <v>1422</v>
      </c>
      <c r="N802" s="14">
        <f>Greenleaf[[#This Row],[Unit Price]]*Greenleaf[[#This Row],[Quantity Sold]]</f>
        <v>108</v>
      </c>
      <c r="O802" s="13">
        <f>Greenleaf[[#This Row],[Unit Cost]]*Greenleaf[[#This Row],[Quantity Sold]]</f>
        <v>39.15</v>
      </c>
      <c r="P802" s="13">
        <f>Greenleaf[[#This Row],[ Unit  price per quantity]]-Greenleaf[[#This Row],[ Unit cost per quantity]]</f>
        <v>68.849999999999994</v>
      </c>
      <c r="Q802" s="14">
        <f>Greenleaf[[#This Row],[Quantity Sold]]*Greenleaf[[#This Row],[Unit Price]]</f>
        <v>108</v>
      </c>
    </row>
    <row r="803" spans="1:17" x14ac:dyDescent="0.25">
      <c r="A803" t="s">
        <v>2229</v>
      </c>
      <c r="B803" s="5">
        <v>45584</v>
      </c>
      <c r="C803" s="5" t="str">
        <f>TEXT(Greenleaf[[#This Row],[Order Date]],"MMM")</f>
        <v>Oct</v>
      </c>
      <c r="D803" s="5" t="str">
        <f>TEXT(Greenleaf[[#This Row],[Order Date]],"YYYY")</f>
        <v>2024</v>
      </c>
      <c r="E803" t="s">
        <v>2464</v>
      </c>
      <c r="F803" s="7" t="s">
        <v>1012</v>
      </c>
      <c r="G803" s="9">
        <v>1</v>
      </c>
      <c r="H803" s="11">
        <v>40</v>
      </c>
      <c r="I803" s="13">
        <v>13.06</v>
      </c>
      <c r="J803" t="s">
        <v>1101</v>
      </c>
      <c r="K803" t="s">
        <v>2559</v>
      </c>
      <c r="L803" s="7" t="s">
        <v>1414</v>
      </c>
      <c r="M803" s="7" t="s">
        <v>1419</v>
      </c>
      <c r="N803" s="14">
        <f>Greenleaf[[#This Row],[Unit Price]]*Greenleaf[[#This Row],[Quantity Sold]]</f>
        <v>40</v>
      </c>
      <c r="O803" s="13">
        <f>Greenleaf[[#This Row],[Unit Cost]]*Greenleaf[[#This Row],[Quantity Sold]]</f>
        <v>13.06</v>
      </c>
      <c r="P803" s="13">
        <f>Greenleaf[[#This Row],[ Unit  price per quantity]]-Greenleaf[[#This Row],[ Unit cost per quantity]]</f>
        <v>26.939999999999998</v>
      </c>
      <c r="Q803" s="14">
        <f>Greenleaf[[#This Row],[Quantity Sold]]*Greenleaf[[#This Row],[Unit Price]]</f>
        <v>40</v>
      </c>
    </row>
    <row r="804" spans="1:17" x14ac:dyDescent="0.25">
      <c r="A804" t="s">
        <v>2230</v>
      </c>
      <c r="B804" s="5">
        <v>45584</v>
      </c>
      <c r="C804" s="5" t="str">
        <f>TEXT(Greenleaf[[#This Row],[Order Date]],"MMM")</f>
        <v>Oct</v>
      </c>
      <c r="D804" s="5" t="str">
        <f>TEXT(Greenleaf[[#This Row],[Order Date]],"YYYY")</f>
        <v>2024</v>
      </c>
      <c r="E804" t="s">
        <v>2463</v>
      </c>
      <c r="F804" s="7" t="s">
        <v>1014</v>
      </c>
      <c r="G804" s="9">
        <v>10</v>
      </c>
      <c r="H804" s="11">
        <v>15</v>
      </c>
      <c r="I804" s="13">
        <v>5.31</v>
      </c>
      <c r="J804" t="s">
        <v>1203</v>
      </c>
      <c r="K804" t="s">
        <v>2486</v>
      </c>
      <c r="L804" s="7" t="s">
        <v>1416</v>
      </c>
      <c r="M804" s="7" t="s">
        <v>1427</v>
      </c>
      <c r="N804" s="14">
        <f>Greenleaf[[#This Row],[Unit Price]]*Greenleaf[[#This Row],[Quantity Sold]]</f>
        <v>150</v>
      </c>
      <c r="O804" s="13">
        <f>Greenleaf[[#This Row],[Unit Cost]]*Greenleaf[[#This Row],[Quantity Sold]]</f>
        <v>53.099999999999994</v>
      </c>
      <c r="P804" s="13">
        <f>Greenleaf[[#This Row],[ Unit  price per quantity]]-Greenleaf[[#This Row],[ Unit cost per quantity]]</f>
        <v>96.9</v>
      </c>
      <c r="Q804" s="14">
        <f>Greenleaf[[#This Row],[Quantity Sold]]*Greenleaf[[#This Row],[Unit Price]]</f>
        <v>150</v>
      </c>
    </row>
    <row r="805" spans="1:17" x14ac:dyDescent="0.25">
      <c r="A805" t="s">
        <v>2231</v>
      </c>
      <c r="B805" s="5">
        <v>45584</v>
      </c>
      <c r="C805" s="5" t="str">
        <f>TEXT(Greenleaf[[#This Row],[Order Date]],"MMM")</f>
        <v>Oct</v>
      </c>
      <c r="D805" s="5" t="str">
        <f>TEXT(Greenleaf[[#This Row],[Order Date]],"YYYY")</f>
        <v>2024</v>
      </c>
      <c r="E805" t="s">
        <v>2463</v>
      </c>
      <c r="F805" s="7" t="s">
        <v>1014</v>
      </c>
      <c r="G805" s="9">
        <v>5</v>
      </c>
      <c r="H805" s="11">
        <v>15</v>
      </c>
      <c r="I805" s="13">
        <v>4.21</v>
      </c>
      <c r="J805" t="s">
        <v>1027</v>
      </c>
      <c r="K805" t="s">
        <v>2561</v>
      </c>
      <c r="L805" s="7" t="s">
        <v>1414</v>
      </c>
      <c r="M805" s="7" t="s">
        <v>1422</v>
      </c>
      <c r="N805" s="14">
        <f>Greenleaf[[#This Row],[Unit Price]]*Greenleaf[[#This Row],[Quantity Sold]]</f>
        <v>75</v>
      </c>
      <c r="O805" s="13">
        <f>Greenleaf[[#This Row],[Unit Cost]]*Greenleaf[[#This Row],[Quantity Sold]]</f>
        <v>21.05</v>
      </c>
      <c r="P805" s="13">
        <f>Greenleaf[[#This Row],[ Unit  price per quantity]]-Greenleaf[[#This Row],[ Unit cost per quantity]]</f>
        <v>53.95</v>
      </c>
      <c r="Q805" s="14">
        <f>Greenleaf[[#This Row],[Quantity Sold]]*Greenleaf[[#This Row],[Unit Price]]</f>
        <v>75</v>
      </c>
    </row>
    <row r="806" spans="1:17" x14ac:dyDescent="0.25">
      <c r="A806" t="s">
        <v>2232</v>
      </c>
      <c r="B806" s="5">
        <v>45584</v>
      </c>
      <c r="C806" s="5" t="str">
        <f>TEXT(Greenleaf[[#This Row],[Order Date]],"MMM")</f>
        <v>Oct</v>
      </c>
      <c r="D806" s="5" t="str">
        <f>TEXT(Greenleaf[[#This Row],[Order Date]],"YYYY")</f>
        <v>2024</v>
      </c>
      <c r="E806" t="s">
        <v>2460</v>
      </c>
      <c r="F806" s="7" t="s">
        <v>1015</v>
      </c>
      <c r="G806" s="9">
        <v>6</v>
      </c>
      <c r="H806" s="11">
        <v>10</v>
      </c>
      <c r="I806" s="13">
        <v>2.83</v>
      </c>
      <c r="J806" t="s">
        <v>1036</v>
      </c>
      <c r="K806" t="s">
        <v>2544</v>
      </c>
      <c r="L806" s="7" t="s">
        <v>1414</v>
      </c>
      <c r="M806" s="7" t="s">
        <v>1418</v>
      </c>
      <c r="N806" s="14">
        <f>Greenleaf[[#This Row],[Unit Price]]*Greenleaf[[#This Row],[Quantity Sold]]</f>
        <v>60</v>
      </c>
      <c r="O806" s="13">
        <f>Greenleaf[[#This Row],[Unit Cost]]*Greenleaf[[#This Row],[Quantity Sold]]</f>
        <v>16.98</v>
      </c>
      <c r="P806" s="13">
        <f>Greenleaf[[#This Row],[ Unit  price per quantity]]-Greenleaf[[#This Row],[ Unit cost per quantity]]</f>
        <v>43.019999999999996</v>
      </c>
      <c r="Q806" s="14">
        <f>Greenleaf[[#This Row],[Quantity Sold]]*Greenleaf[[#This Row],[Unit Price]]</f>
        <v>60</v>
      </c>
    </row>
    <row r="807" spans="1:17" x14ac:dyDescent="0.25">
      <c r="A807" t="s">
        <v>2233</v>
      </c>
      <c r="B807" s="5">
        <v>45585</v>
      </c>
      <c r="C807" s="5" t="str">
        <f>TEXT(Greenleaf[[#This Row],[Order Date]],"MMM")</f>
        <v>Oct</v>
      </c>
      <c r="D807" s="5" t="str">
        <f>TEXT(Greenleaf[[#This Row],[Order Date]],"YYYY")</f>
        <v>2024</v>
      </c>
      <c r="E807" t="s">
        <v>2462</v>
      </c>
      <c r="F807" s="7" t="s">
        <v>1013</v>
      </c>
      <c r="G807" s="9">
        <v>2</v>
      </c>
      <c r="H807" s="11">
        <v>25</v>
      </c>
      <c r="I807" s="13">
        <v>6.21</v>
      </c>
      <c r="J807" t="s">
        <v>1169</v>
      </c>
      <c r="K807" t="s">
        <v>2514</v>
      </c>
      <c r="L807" s="7" t="s">
        <v>1414</v>
      </c>
      <c r="M807" s="7" t="s">
        <v>1418</v>
      </c>
      <c r="N807" s="14">
        <f>Greenleaf[[#This Row],[Unit Price]]*Greenleaf[[#This Row],[Quantity Sold]]</f>
        <v>50</v>
      </c>
      <c r="O807" s="13">
        <f>Greenleaf[[#This Row],[Unit Cost]]*Greenleaf[[#This Row],[Quantity Sold]]</f>
        <v>12.42</v>
      </c>
      <c r="P807" s="13">
        <f>Greenleaf[[#This Row],[ Unit  price per quantity]]-Greenleaf[[#This Row],[ Unit cost per quantity]]</f>
        <v>37.58</v>
      </c>
      <c r="Q807" s="14">
        <f>Greenleaf[[#This Row],[Quantity Sold]]*Greenleaf[[#This Row],[Unit Price]]</f>
        <v>50</v>
      </c>
    </row>
    <row r="808" spans="1:17" x14ac:dyDescent="0.25">
      <c r="A808" t="s">
        <v>2234</v>
      </c>
      <c r="B808" s="5">
        <v>45585</v>
      </c>
      <c r="C808" s="5" t="str">
        <f>TEXT(Greenleaf[[#This Row],[Order Date]],"MMM")</f>
        <v>Oct</v>
      </c>
      <c r="D808" s="5" t="str">
        <f>TEXT(Greenleaf[[#This Row],[Order Date]],"YYYY")</f>
        <v>2024</v>
      </c>
      <c r="E808" t="s">
        <v>2463</v>
      </c>
      <c r="F808" s="7" t="s">
        <v>1014</v>
      </c>
      <c r="G808" s="9">
        <v>4</v>
      </c>
      <c r="H808" s="11">
        <v>15</v>
      </c>
      <c r="I808" s="13">
        <v>5.58</v>
      </c>
      <c r="J808" t="s">
        <v>1138</v>
      </c>
      <c r="K808" t="s">
        <v>2538</v>
      </c>
      <c r="L808" s="7" t="s">
        <v>1414</v>
      </c>
      <c r="M808" s="7" t="s">
        <v>1422</v>
      </c>
      <c r="N808" s="14">
        <f>Greenleaf[[#This Row],[Unit Price]]*Greenleaf[[#This Row],[Quantity Sold]]</f>
        <v>60</v>
      </c>
      <c r="O808" s="13">
        <f>Greenleaf[[#This Row],[Unit Cost]]*Greenleaf[[#This Row],[Quantity Sold]]</f>
        <v>22.32</v>
      </c>
      <c r="P808" s="13">
        <f>Greenleaf[[#This Row],[ Unit  price per quantity]]-Greenleaf[[#This Row],[ Unit cost per quantity]]</f>
        <v>37.68</v>
      </c>
      <c r="Q808" s="14">
        <f>Greenleaf[[#This Row],[Quantity Sold]]*Greenleaf[[#This Row],[Unit Price]]</f>
        <v>60</v>
      </c>
    </row>
    <row r="809" spans="1:17" x14ac:dyDescent="0.25">
      <c r="A809" t="s">
        <v>2235</v>
      </c>
      <c r="B809" s="5">
        <v>45586</v>
      </c>
      <c r="C809" s="5" t="str">
        <f>TEXT(Greenleaf[[#This Row],[Order Date]],"MMM")</f>
        <v>Oct</v>
      </c>
      <c r="D809" s="5" t="str">
        <f>TEXT(Greenleaf[[#This Row],[Order Date]],"YYYY")</f>
        <v>2024</v>
      </c>
      <c r="E809" t="s">
        <v>2464</v>
      </c>
      <c r="F809" s="7" t="s">
        <v>1012</v>
      </c>
      <c r="G809" s="9">
        <v>4</v>
      </c>
      <c r="H809" s="11">
        <v>40</v>
      </c>
      <c r="I809" s="13">
        <v>8.16</v>
      </c>
      <c r="J809" t="s">
        <v>1018</v>
      </c>
      <c r="K809" t="s">
        <v>2593</v>
      </c>
      <c r="L809" s="7" t="s">
        <v>1415</v>
      </c>
      <c r="M809" s="7" t="s">
        <v>1420</v>
      </c>
      <c r="N809" s="14">
        <f>Greenleaf[[#This Row],[Unit Price]]*Greenleaf[[#This Row],[Quantity Sold]]</f>
        <v>160</v>
      </c>
      <c r="O809" s="13">
        <f>Greenleaf[[#This Row],[Unit Cost]]*Greenleaf[[#This Row],[Quantity Sold]]</f>
        <v>32.64</v>
      </c>
      <c r="P809" s="13">
        <f>Greenleaf[[#This Row],[ Unit  price per quantity]]-Greenleaf[[#This Row],[ Unit cost per quantity]]</f>
        <v>127.36</v>
      </c>
      <c r="Q809" s="14">
        <f>Greenleaf[[#This Row],[Quantity Sold]]*Greenleaf[[#This Row],[Unit Price]]</f>
        <v>160</v>
      </c>
    </row>
    <row r="810" spans="1:17" x14ac:dyDescent="0.25">
      <c r="A810" t="s">
        <v>2236</v>
      </c>
      <c r="B810" s="5">
        <v>45586</v>
      </c>
      <c r="C810" s="5" t="str">
        <f>TEXT(Greenleaf[[#This Row],[Order Date]],"MMM")</f>
        <v>Oct</v>
      </c>
      <c r="D810" s="5" t="str">
        <f>TEXT(Greenleaf[[#This Row],[Order Date]],"YYYY")</f>
        <v>2024</v>
      </c>
      <c r="E810" t="s">
        <v>2463</v>
      </c>
      <c r="F810" s="7" t="s">
        <v>1014</v>
      </c>
      <c r="G810" s="9">
        <v>7</v>
      </c>
      <c r="H810" s="11">
        <v>15</v>
      </c>
      <c r="I810" s="13">
        <v>4.8899999999999997</v>
      </c>
      <c r="J810" t="s">
        <v>1085</v>
      </c>
      <c r="K810" t="s">
        <v>2572</v>
      </c>
      <c r="L810" s="7" t="s">
        <v>1414</v>
      </c>
      <c r="M810" s="7" t="s">
        <v>1426</v>
      </c>
      <c r="N810" s="14">
        <f>Greenleaf[[#This Row],[Unit Price]]*Greenleaf[[#This Row],[Quantity Sold]]</f>
        <v>105</v>
      </c>
      <c r="O810" s="13">
        <f>Greenleaf[[#This Row],[Unit Cost]]*Greenleaf[[#This Row],[Quantity Sold]]</f>
        <v>34.229999999999997</v>
      </c>
      <c r="P810" s="13">
        <f>Greenleaf[[#This Row],[ Unit  price per quantity]]-Greenleaf[[#This Row],[ Unit cost per quantity]]</f>
        <v>70.77000000000001</v>
      </c>
      <c r="Q810" s="14">
        <f>Greenleaf[[#This Row],[Quantity Sold]]*Greenleaf[[#This Row],[Unit Price]]</f>
        <v>105</v>
      </c>
    </row>
    <row r="811" spans="1:17" x14ac:dyDescent="0.25">
      <c r="A811" t="s">
        <v>2237</v>
      </c>
      <c r="B811" s="5">
        <v>45586</v>
      </c>
      <c r="C811" s="5" t="str">
        <f>TEXT(Greenleaf[[#This Row],[Order Date]],"MMM")</f>
        <v>Oct</v>
      </c>
      <c r="D811" s="5" t="str">
        <f>TEXT(Greenleaf[[#This Row],[Order Date]],"YYYY")</f>
        <v>2024</v>
      </c>
      <c r="E811" t="s">
        <v>2464</v>
      </c>
      <c r="F811" s="7" t="s">
        <v>1012</v>
      </c>
      <c r="G811" s="9">
        <v>5</v>
      </c>
      <c r="H811" s="11">
        <v>40</v>
      </c>
      <c r="I811" s="13">
        <v>13.34</v>
      </c>
      <c r="J811" t="s">
        <v>1153</v>
      </c>
      <c r="K811" t="s">
        <v>2566</v>
      </c>
      <c r="L811" s="7" t="s">
        <v>1414</v>
      </c>
      <c r="M811" s="7" t="s">
        <v>1420</v>
      </c>
      <c r="N811" s="14">
        <f>Greenleaf[[#This Row],[Unit Price]]*Greenleaf[[#This Row],[Quantity Sold]]</f>
        <v>200</v>
      </c>
      <c r="O811" s="13">
        <f>Greenleaf[[#This Row],[Unit Cost]]*Greenleaf[[#This Row],[Quantity Sold]]</f>
        <v>66.7</v>
      </c>
      <c r="P811" s="13">
        <f>Greenleaf[[#This Row],[ Unit  price per quantity]]-Greenleaf[[#This Row],[ Unit cost per quantity]]</f>
        <v>133.30000000000001</v>
      </c>
      <c r="Q811" s="14">
        <f>Greenleaf[[#This Row],[Quantity Sold]]*Greenleaf[[#This Row],[Unit Price]]</f>
        <v>200</v>
      </c>
    </row>
    <row r="812" spans="1:17" x14ac:dyDescent="0.25">
      <c r="A812" t="s">
        <v>2238</v>
      </c>
      <c r="B812" s="5">
        <v>45586</v>
      </c>
      <c r="C812" s="5" t="str">
        <f>TEXT(Greenleaf[[#This Row],[Order Date]],"MMM")</f>
        <v>Oct</v>
      </c>
      <c r="D812" s="5" t="str">
        <f>TEXT(Greenleaf[[#This Row],[Order Date]],"YYYY")</f>
        <v>2024</v>
      </c>
      <c r="E812" t="s">
        <v>2464</v>
      </c>
      <c r="F812" s="7" t="s">
        <v>1012</v>
      </c>
      <c r="G812" s="9">
        <v>8</v>
      </c>
      <c r="H812" s="11">
        <v>40</v>
      </c>
      <c r="I812" s="13">
        <v>14.63</v>
      </c>
      <c r="J812" t="s">
        <v>1095</v>
      </c>
      <c r="K812" t="s">
        <v>2524</v>
      </c>
      <c r="L812" s="7" t="s">
        <v>1414</v>
      </c>
      <c r="M812" s="7" t="s">
        <v>1419</v>
      </c>
      <c r="N812" s="14">
        <f>Greenleaf[[#This Row],[Unit Price]]*Greenleaf[[#This Row],[Quantity Sold]]</f>
        <v>320</v>
      </c>
      <c r="O812" s="13">
        <f>Greenleaf[[#This Row],[Unit Cost]]*Greenleaf[[#This Row],[Quantity Sold]]</f>
        <v>117.04</v>
      </c>
      <c r="P812" s="13">
        <f>Greenleaf[[#This Row],[ Unit  price per quantity]]-Greenleaf[[#This Row],[ Unit cost per quantity]]</f>
        <v>202.95999999999998</v>
      </c>
      <c r="Q812" s="14">
        <f>Greenleaf[[#This Row],[Quantity Sold]]*Greenleaf[[#This Row],[Unit Price]]</f>
        <v>320</v>
      </c>
    </row>
    <row r="813" spans="1:17" x14ac:dyDescent="0.25">
      <c r="A813" t="s">
        <v>2239</v>
      </c>
      <c r="B813" s="5">
        <v>45586</v>
      </c>
      <c r="C813" s="5" t="str">
        <f>TEXT(Greenleaf[[#This Row],[Order Date]],"MMM")</f>
        <v>Oct</v>
      </c>
      <c r="D813" s="5" t="str">
        <f>TEXT(Greenleaf[[#This Row],[Order Date]],"YYYY")</f>
        <v>2024</v>
      </c>
      <c r="E813" t="s">
        <v>2464</v>
      </c>
      <c r="F813" s="7" t="s">
        <v>1012</v>
      </c>
      <c r="G813" s="9">
        <v>2</v>
      </c>
      <c r="H813" s="11">
        <v>40</v>
      </c>
      <c r="I813" s="13">
        <v>12.12</v>
      </c>
      <c r="J813" t="s">
        <v>1099</v>
      </c>
      <c r="K813" t="s">
        <v>2503</v>
      </c>
      <c r="L813" s="7" t="s">
        <v>1414</v>
      </c>
      <c r="M813" s="7" t="s">
        <v>1427</v>
      </c>
      <c r="N813" s="14">
        <f>Greenleaf[[#This Row],[Unit Price]]*Greenleaf[[#This Row],[Quantity Sold]]</f>
        <v>80</v>
      </c>
      <c r="O813" s="13">
        <f>Greenleaf[[#This Row],[Unit Cost]]*Greenleaf[[#This Row],[Quantity Sold]]</f>
        <v>24.24</v>
      </c>
      <c r="P813" s="13">
        <f>Greenleaf[[#This Row],[ Unit  price per quantity]]-Greenleaf[[#This Row],[ Unit cost per quantity]]</f>
        <v>55.760000000000005</v>
      </c>
      <c r="Q813" s="14">
        <f>Greenleaf[[#This Row],[Quantity Sold]]*Greenleaf[[#This Row],[Unit Price]]</f>
        <v>80</v>
      </c>
    </row>
    <row r="814" spans="1:17" x14ac:dyDescent="0.25">
      <c r="A814" t="s">
        <v>2240</v>
      </c>
      <c r="B814" s="5">
        <v>45587</v>
      </c>
      <c r="C814" s="5" t="str">
        <f>TEXT(Greenleaf[[#This Row],[Order Date]],"MMM")</f>
        <v>Oct</v>
      </c>
      <c r="D814" s="5" t="str">
        <f>TEXT(Greenleaf[[#This Row],[Order Date]],"YYYY")</f>
        <v>2024</v>
      </c>
      <c r="E814" t="s">
        <v>2460</v>
      </c>
      <c r="F814" s="7" t="s">
        <v>1015</v>
      </c>
      <c r="G814" s="9">
        <v>8</v>
      </c>
      <c r="H814" s="11">
        <v>10</v>
      </c>
      <c r="I814" s="13">
        <v>3.74</v>
      </c>
      <c r="J814" t="s">
        <v>1208</v>
      </c>
      <c r="K814" t="s">
        <v>2486</v>
      </c>
      <c r="L814" s="7" t="s">
        <v>1414</v>
      </c>
      <c r="M814" s="7" t="s">
        <v>1422</v>
      </c>
      <c r="N814" s="14">
        <f>Greenleaf[[#This Row],[Unit Price]]*Greenleaf[[#This Row],[Quantity Sold]]</f>
        <v>80</v>
      </c>
      <c r="O814" s="13">
        <f>Greenleaf[[#This Row],[Unit Cost]]*Greenleaf[[#This Row],[Quantity Sold]]</f>
        <v>29.92</v>
      </c>
      <c r="P814" s="13">
        <f>Greenleaf[[#This Row],[ Unit  price per quantity]]-Greenleaf[[#This Row],[ Unit cost per quantity]]</f>
        <v>50.08</v>
      </c>
      <c r="Q814" s="14">
        <f>Greenleaf[[#This Row],[Quantity Sold]]*Greenleaf[[#This Row],[Unit Price]]</f>
        <v>80</v>
      </c>
    </row>
    <row r="815" spans="1:17" x14ac:dyDescent="0.25">
      <c r="A815" t="s">
        <v>2241</v>
      </c>
      <c r="B815" s="5">
        <v>45588</v>
      </c>
      <c r="C815" s="5" t="str">
        <f>TEXT(Greenleaf[[#This Row],[Order Date]],"MMM")</f>
        <v>Oct</v>
      </c>
      <c r="D815" s="5" t="str">
        <f>TEXT(Greenleaf[[#This Row],[Order Date]],"YYYY")</f>
        <v>2024</v>
      </c>
      <c r="E815" t="s">
        <v>2464</v>
      </c>
      <c r="F815" s="7" t="s">
        <v>1012</v>
      </c>
      <c r="G815" s="9">
        <v>9</v>
      </c>
      <c r="H815" s="11">
        <v>40</v>
      </c>
      <c r="I815" s="13">
        <v>9.27</v>
      </c>
      <c r="J815" t="s">
        <v>1044</v>
      </c>
      <c r="K815" t="s">
        <v>2513</v>
      </c>
      <c r="L815" s="7" t="s">
        <v>1417</v>
      </c>
      <c r="M815" s="7" t="s">
        <v>1424</v>
      </c>
      <c r="N815" s="14">
        <f>Greenleaf[[#This Row],[Unit Price]]*Greenleaf[[#This Row],[Quantity Sold]]</f>
        <v>360</v>
      </c>
      <c r="O815" s="13">
        <f>Greenleaf[[#This Row],[Unit Cost]]*Greenleaf[[#This Row],[Quantity Sold]]</f>
        <v>83.429999999999993</v>
      </c>
      <c r="P815" s="13">
        <f>Greenleaf[[#This Row],[ Unit  price per quantity]]-Greenleaf[[#This Row],[ Unit cost per quantity]]</f>
        <v>276.57</v>
      </c>
      <c r="Q815" s="14">
        <f>Greenleaf[[#This Row],[Quantity Sold]]*Greenleaf[[#This Row],[Unit Price]]</f>
        <v>360</v>
      </c>
    </row>
    <row r="816" spans="1:17" x14ac:dyDescent="0.25">
      <c r="A816" t="s">
        <v>2242</v>
      </c>
      <c r="B816" s="5">
        <v>45588</v>
      </c>
      <c r="C816" s="5" t="str">
        <f>TEXT(Greenleaf[[#This Row],[Order Date]],"MMM")</f>
        <v>Oct</v>
      </c>
      <c r="D816" s="5" t="str">
        <f>TEXT(Greenleaf[[#This Row],[Order Date]],"YYYY")</f>
        <v>2024</v>
      </c>
      <c r="E816" t="s">
        <v>2461</v>
      </c>
      <c r="F816" s="7" t="s">
        <v>1011</v>
      </c>
      <c r="G816" s="9">
        <v>3</v>
      </c>
      <c r="H816" s="11">
        <v>12</v>
      </c>
      <c r="I816" s="13">
        <v>4.5999999999999996</v>
      </c>
      <c r="J816" t="s">
        <v>1133</v>
      </c>
      <c r="K816" t="s">
        <v>2488</v>
      </c>
      <c r="L816" s="7" t="s">
        <v>1414</v>
      </c>
      <c r="M816" s="7" t="s">
        <v>1419</v>
      </c>
      <c r="N816" s="14">
        <f>Greenleaf[[#This Row],[Unit Price]]*Greenleaf[[#This Row],[Quantity Sold]]</f>
        <v>36</v>
      </c>
      <c r="O816" s="13">
        <f>Greenleaf[[#This Row],[Unit Cost]]*Greenleaf[[#This Row],[Quantity Sold]]</f>
        <v>13.799999999999999</v>
      </c>
      <c r="P816" s="13">
        <f>Greenleaf[[#This Row],[ Unit  price per quantity]]-Greenleaf[[#This Row],[ Unit cost per quantity]]</f>
        <v>22.200000000000003</v>
      </c>
      <c r="Q816" s="14">
        <f>Greenleaf[[#This Row],[Quantity Sold]]*Greenleaf[[#This Row],[Unit Price]]</f>
        <v>36</v>
      </c>
    </row>
    <row r="817" spans="1:17" x14ac:dyDescent="0.25">
      <c r="A817" t="s">
        <v>2243</v>
      </c>
      <c r="B817" s="5">
        <v>45588</v>
      </c>
      <c r="C817" s="5" t="str">
        <f>TEXT(Greenleaf[[#This Row],[Order Date]],"MMM")</f>
        <v>Oct</v>
      </c>
      <c r="D817" s="5" t="str">
        <f>TEXT(Greenleaf[[#This Row],[Order Date]],"YYYY")</f>
        <v>2024</v>
      </c>
      <c r="E817" t="s">
        <v>2461</v>
      </c>
      <c r="F817" s="7" t="s">
        <v>1011</v>
      </c>
      <c r="G817" s="9">
        <v>2</v>
      </c>
      <c r="H817" s="11">
        <v>12</v>
      </c>
      <c r="I817" s="13">
        <v>2.86</v>
      </c>
      <c r="J817" t="s">
        <v>1133</v>
      </c>
      <c r="K817" t="s">
        <v>2488</v>
      </c>
      <c r="L817" s="7" t="s">
        <v>1414</v>
      </c>
      <c r="M817" s="7" t="s">
        <v>1425</v>
      </c>
      <c r="N817" s="14">
        <f>Greenleaf[[#This Row],[Unit Price]]*Greenleaf[[#This Row],[Quantity Sold]]</f>
        <v>24</v>
      </c>
      <c r="O817" s="13">
        <f>Greenleaf[[#This Row],[Unit Cost]]*Greenleaf[[#This Row],[Quantity Sold]]</f>
        <v>5.72</v>
      </c>
      <c r="P817" s="13">
        <f>Greenleaf[[#This Row],[ Unit  price per quantity]]-Greenleaf[[#This Row],[ Unit cost per quantity]]</f>
        <v>18.28</v>
      </c>
      <c r="Q817" s="14">
        <f>Greenleaf[[#This Row],[Quantity Sold]]*Greenleaf[[#This Row],[Unit Price]]</f>
        <v>24</v>
      </c>
    </row>
    <row r="818" spans="1:17" x14ac:dyDescent="0.25">
      <c r="A818" t="s">
        <v>2244</v>
      </c>
      <c r="B818" s="5">
        <v>45588</v>
      </c>
      <c r="C818" s="5" t="str">
        <f>TEXT(Greenleaf[[#This Row],[Order Date]],"MMM")</f>
        <v>Oct</v>
      </c>
      <c r="D818" s="5" t="str">
        <f>TEXT(Greenleaf[[#This Row],[Order Date]],"YYYY")</f>
        <v>2024</v>
      </c>
      <c r="E818" t="s">
        <v>2460</v>
      </c>
      <c r="F818" s="7" t="s">
        <v>1015</v>
      </c>
      <c r="G818" s="9">
        <v>10</v>
      </c>
      <c r="H818" s="11">
        <v>10</v>
      </c>
      <c r="I818" s="13">
        <v>3.01</v>
      </c>
      <c r="J818" t="s">
        <v>1139</v>
      </c>
      <c r="K818" t="s">
        <v>2479</v>
      </c>
      <c r="L818" s="7" t="s">
        <v>1414</v>
      </c>
      <c r="M818" s="7" t="s">
        <v>1421</v>
      </c>
      <c r="N818" s="14">
        <f>Greenleaf[[#This Row],[Unit Price]]*Greenleaf[[#This Row],[Quantity Sold]]</f>
        <v>100</v>
      </c>
      <c r="O818" s="13">
        <f>Greenleaf[[#This Row],[Unit Cost]]*Greenleaf[[#This Row],[Quantity Sold]]</f>
        <v>30.099999999999998</v>
      </c>
      <c r="P818" s="13">
        <f>Greenleaf[[#This Row],[ Unit  price per quantity]]-Greenleaf[[#This Row],[ Unit cost per quantity]]</f>
        <v>69.900000000000006</v>
      </c>
      <c r="Q818" s="14">
        <f>Greenleaf[[#This Row],[Quantity Sold]]*Greenleaf[[#This Row],[Unit Price]]</f>
        <v>100</v>
      </c>
    </row>
    <row r="819" spans="1:17" x14ac:dyDescent="0.25">
      <c r="A819" t="s">
        <v>2245</v>
      </c>
      <c r="B819" s="5">
        <v>45588</v>
      </c>
      <c r="C819" s="5" t="str">
        <f>TEXT(Greenleaf[[#This Row],[Order Date]],"MMM")</f>
        <v>Oct</v>
      </c>
      <c r="D819" s="5" t="str">
        <f>TEXT(Greenleaf[[#This Row],[Order Date]],"YYYY")</f>
        <v>2024</v>
      </c>
      <c r="E819" t="s">
        <v>2462</v>
      </c>
      <c r="F819" s="7" t="s">
        <v>1013</v>
      </c>
      <c r="G819" s="9">
        <v>4</v>
      </c>
      <c r="H819" s="11">
        <v>25</v>
      </c>
      <c r="I819" s="13">
        <v>5.63</v>
      </c>
      <c r="J819" t="s">
        <v>1075</v>
      </c>
      <c r="K819" t="s">
        <v>2505</v>
      </c>
      <c r="L819" s="7" t="s">
        <v>1416</v>
      </c>
      <c r="M819" s="7" t="s">
        <v>1421</v>
      </c>
      <c r="N819" s="14">
        <f>Greenleaf[[#This Row],[Unit Price]]*Greenleaf[[#This Row],[Quantity Sold]]</f>
        <v>100</v>
      </c>
      <c r="O819" s="13">
        <f>Greenleaf[[#This Row],[Unit Cost]]*Greenleaf[[#This Row],[Quantity Sold]]</f>
        <v>22.52</v>
      </c>
      <c r="P819" s="13">
        <f>Greenleaf[[#This Row],[ Unit  price per quantity]]-Greenleaf[[#This Row],[ Unit cost per quantity]]</f>
        <v>77.48</v>
      </c>
      <c r="Q819" s="14">
        <f>Greenleaf[[#This Row],[Quantity Sold]]*Greenleaf[[#This Row],[Unit Price]]</f>
        <v>100</v>
      </c>
    </row>
    <row r="820" spans="1:17" x14ac:dyDescent="0.25">
      <c r="A820" t="s">
        <v>2246</v>
      </c>
      <c r="B820" s="5">
        <v>45589</v>
      </c>
      <c r="C820" s="5" t="str">
        <f>TEXT(Greenleaf[[#This Row],[Order Date]],"MMM")</f>
        <v>Oct</v>
      </c>
      <c r="D820" s="5" t="str">
        <f>TEXT(Greenleaf[[#This Row],[Order Date]],"YYYY")</f>
        <v>2024</v>
      </c>
      <c r="E820" t="s">
        <v>2461</v>
      </c>
      <c r="F820" s="7" t="s">
        <v>1011</v>
      </c>
      <c r="G820" s="9">
        <v>2</v>
      </c>
      <c r="H820" s="11">
        <v>12</v>
      </c>
      <c r="I820" s="13">
        <v>2.46</v>
      </c>
      <c r="J820" t="s">
        <v>1071</v>
      </c>
      <c r="K820" t="s">
        <v>2497</v>
      </c>
      <c r="L820" s="7" t="s">
        <v>1414</v>
      </c>
      <c r="M820" s="7" t="s">
        <v>1420</v>
      </c>
      <c r="N820" s="14">
        <f>Greenleaf[[#This Row],[Unit Price]]*Greenleaf[[#This Row],[Quantity Sold]]</f>
        <v>24</v>
      </c>
      <c r="O820" s="13">
        <f>Greenleaf[[#This Row],[Unit Cost]]*Greenleaf[[#This Row],[Quantity Sold]]</f>
        <v>4.92</v>
      </c>
      <c r="P820" s="13">
        <f>Greenleaf[[#This Row],[ Unit  price per quantity]]-Greenleaf[[#This Row],[ Unit cost per quantity]]</f>
        <v>19.079999999999998</v>
      </c>
      <c r="Q820" s="14">
        <f>Greenleaf[[#This Row],[Quantity Sold]]*Greenleaf[[#This Row],[Unit Price]]</f>
        <v>24</v>
      </c>
    </row>
    <row r="821" spans="1:17" x14ac:dyDescent="0.25">
      <c r="A821" t="s">
        <v>2247</v>
      </c>
      <c r="B821" s="5">
        <v>45589</v>
      </c>
      <c r="C821" s="5" t="str">
        <f>TEXT(Greenleaf[[#This Row],[Order Date]],"MMM")</f>
        <v>Oct</v>
      </c>
      <c r="D821" s="5" t="str">
        <f>TEXT(Greenleaf[[#This Row],[Order Date]],"YYYY")</f>
        <v>2024</v>
      </c>
      <c r="E821" t="s">
        <v>2460</v>
      </c>
      <c r="F821" s="7" t="s">
        <v>1015</v>
      </c>
      <c r="G821" s="9">
        <v>10</v>
      </c>
      <c r="H821" s="11">
        <v>10</v>
      </c>
      <c r="I821" s="13">
        <v>3.42</v>
      </c>
      <c r="J821" t="s">
        <v>1179</v>
      </c>
      <c r="K821" t="s">
        <v>2570</v>
      </c>
      <c r="L821" s="7" t="s">
        <v>1414</v>
      </c>
      <c r="M821" s="7" t="s">
        <v>1420</v>
      </c>
      <c r="N821" s="14">
        <f>Greenleaf[[#This Row],[Unit Price]]*Greenleaf[[#This Row],[Quantity Sold]]</f>
        <v>100</v>
      </c>
      <c r="O821" s="13">
        <f>Greenleaf[[#This Row],[Unit Cost]]*Greenleaf[[#This Row],[Quantity Sold]]</f>
        <v>34.200000000000003</v>
      </c>
      <c r="P821" s="13">
        <f>Greenleaf[[#This Row],[ Unit  price per quantity]]-Greenleaf[[#This Row],[ Unit cost per quantity]]</f>
        <v>65.8</v>
      </c>
      <c r="Q821" s="14">
        <f>Greenleaf[[#This Row],[Quantity Sold]]*Greenleaf[[#This Row],[Unit Price]]</f>
        <v>100</v>
      </c>
    </row>
    <row r="822" spans="1:17" x14ac:dyDescent="0.25">
      <c r="A822" t="s">
        <v>2248</v>
      </c>
      <c r="B822" s="5">
        <v>45590</v>
      </c>
      <c r="C822" s="5" t="str">
        <f>TEXT(Greenleaf[[#This Row],[Order Date]],"MMM")</f>
        <v>Oct</v>
      </c>
      <c r="D822" s="5" t="str">
        <f>TEXT(Greenleaf[[#This Row],[Order Date]],"YYYY")</f>
        <v>2024</v>
      </c>
      <c r="E822" t="s">
        <v>2460</v>
      </c>
      <c r="F822" s="7" t="s">
        <v>1015</v>
      </c>
      <c r="G822" s="9">
        <v>1</v>
      </c>
      <c r="H822" s="11">
        <v>10</v>
      </c>
      <c r="I822" s="13">
        <v>3.95</v>
      </c>
      <c r="J822" t="s">
        <v>1079</v>
      </c>
      <c r="K822" t="s">
        <v>2525</v>
      </c>
      <c r="L822" s="7" t="s">
        <v>1416</v>
      </c>
      <c r="M822" s="7" t="s">
        <v>1422</v>
      </c>
      <c r="N822" s="14">
        <f>Greenleaf[[#This Row],[Unit Price]]*Greenleaf[[#This Row],[Quantity Sold]]</f>
        <v>10</v>
      </c>
      <c r="O822" s="13">
        <f>Greenleaf[[#This Row],[Unit Cost]]*Greenleaf[[#This Row],[Quantity Sold]]</f>
        <v>3.95</v>
      </c>
      <c r="P822" s="13">
        <f>Greenleaf[[#This Row],[ Unit  price per quantity]]-Greenleaf[[#This Row],[ Unit cost per quantity]]</f>
        <v>6.05</v>
      </c>
      <c r="Q822" s="14">
        <f>Greenleaf[[#This Row],[Quantity Sold]]*Greenleaf[[#This Row],[Unit Price]]</f>
        <v>10</v>
      </c>
    </row>
    <row r="823" spans="1:17" x14ac:dyDescent="0.25">
      <c r="A823" t="s">
        <v>2249</v>
      </c>
      <c r="B823" s="5">
        <v>45590</v>
      </c>
      <c r="C823" s="5" t="str">
        <f>TEXT(Greenleaf[[#This Row],[Order Date]],"MMM")</f>
        <v>Oct</v>
      </c>
      <c r="D823" s="5" t="str">
        <f>TEXT(Greenleaf[[#This Row],[Order Date]],"YYYY")</f>
        <v>2024</v>
      </c>
      <c r="E823" t="s">
        <v>2462</v>
      </c>
      <c r="F823" s="7" t="s">
        <v>1013</v>
      </c>
      <c r="G823" s="9">
        <v>9</v>
      </c>
      <c r="H823" s="11">
        <v>25</v>
      </c>
      <c r="I823" s="13">
        <v>9.23</v>
      </c>
      <c r="J823" t="s">
        <v>1162</v>
      </c>
      <c r="K823" t="s">
        <v>2496</v>
      </c>
      <c r="L823" s="7" t="s">
        <v>1414</v>
      </c>
      <c r="M823" s="7" t="s">
        <v>1419</v>
      </c>
      <c r="N823" s="14">
        <f>Greenleaf[[#This Row],[Unit Price]]*Greenleaf[[#This Row],[Quantity Sold]]</f>
        <v>225</v>
      </c>
      <c r="O823" s="13">
        <f>Greenleaf[[#This Row],[Unit Cost]]*Greenleaf[[#This Row],[Quantity Sold]]</f>
        <v>83.070000000000007</v>
      </c>
      <c r="P823" s="13">
        <f>Greenleaf[[#This Row],[ Unit  price per quantity]]-Greenleaf[[#This Row],[ Unit cost per quantity]]</f>
        <v>141.93</v>
      </c>
      <c r="Q823" s="14">
        <f>Greenleaf[[#This Row],[Quantity Sold]]*Greenleaf[[#This Row],[Unit Price]]</f>
        <v>225</v>
      </c>
    </row>
    <row r="824" spans="1:17" x14ac:dyDescent="0.25">
      <c r="A824" t="s">
        <v>2250</v>
      </c>
      <c r="B824" s="5">
        <v>45591</v>
      </c>
      <c r="C824" s="5" t="str">
        <f>TEXT(Greenleaf[[#This Row],[Order Date]],"MMM")</f>
        <v>Oct</v>
      </c>
      <c r="D824" s="5" t="str">
        <f>TEXT(Greenleaf[[#This Row],[Order Date]],"YYYY")</f>
        <v>2024</v>
      </c>
      <c r="E824" t="s">
        <v>2464</v>
      </c>
      <c r="F824" s="7" t="s">
        <v>1012</v>
      </c>
      <c r="G824" s="9">
        <v>2</v>
      </c>
      <c r="H824" s="11">
        <v>40</v>
      </c>
      <c r="I824" s="13">
        <v>11.27</v>
      </c>
      <c r="J824" t="s">
        <v>1122</v>
      </c>
      <c r="K824" t="s">
        <v>2531</v>
      </c>
      <c r="L824" s="7" t="s">
        <v>1414</v>
      </c>
      <c r="M824" s="7" t="s">
        <v>1425</v>
      </c>
      <c r="N824" s="14">
        <f>Greenleaf[[#This Row],[Unit Price]]*Greenleaf[[#This Row],[Quantity Sold]]</f>
        <v>80</v>
      </c>
      <c r="O824" s="13">
        <f>Greenleaf[[#This Row],[Unit Cost]]*Greenleaf[[#This Row],[Quantity Sold]]</f>
        <v>22.54</v>
      </c>
      <c r="P824" s="13">
        <f>Greenleaf[[#This Row],[ Unit  price per quantity]]-Greenleaf[[#This Row],[ Unit cost per quantity]]</f>
        <v>57.46</v>
      </c>
      <c r="Q824" s="14">
        <f>Greenleaf[[#This Row],[Quantity Sold]]*Greenleaf[[#This Row],[Unit Price]]</f>
        <v>80</v>
      </c>
    </row>
    <row r="825" spans="1:17" x14ac:dyDescent="0.25">
      <c r="A825" t="s">
        <v>2251</v>
      </c>
      <c r="B825" s="5">
        <v>45591</v>
      </c>
      <c r="C825" s="5" t="str">
        <f>TEXT(Greenleaf[[#This Row],[Order Date]],"MMM")</f>
        <v>Oct</v>
      </c>
      <c r="D825" s="5" t="str">
        <f>TEXT(Greenleaf[[#This Row],[Order Date]],"YYYY")</f>
        <v>2024</v>
      </c>
      <c r="E825" t="s">
        <v>2464</v>
      </c>
      <c r="F825" s="7" t="s">
        <v>1012</v>
      </c>
      <c r="G825" s="9">
        <v>4</v>
      </c>
      <c r="H825" s="11">
        <v>40</v>
      </c>
      <c r="I825" s="13">
        <v>9.61</v>
      </c>
      <c r="J825" t="s">
        <v>1125</v>
      </c>
      <c r="K825" t="s">
        <v>2532</v>
      </c>
      <c r="L825" s="7" t="s">
        <v>1414</v>
      </c>
      <c r="M825" s="7" t="s">
        <v>1426</v>
      </c>
      <c r="N825" s="14">
        <f>Greenleaf[[#This Row],[Unit Price]]*Greenleaf[[#This Row],[Quantity Sold]]</f>
        <v>160</v>
      </c>
      <c r="O825" s="13">
        <f>Greenleaf[[#This Row],[Unit Cost]]*Greenleaf[[#This Row],[Quantity Sold]]</f>
        <v>38.44</v>
      </c>
      <c r="P825" s="13">
        <f>Greenleaf[[#This Row],[ Unit  price per quantity]]-Greenleaf[[#This Row],[ Unit cost per quantity]]</f>
        <v>121.56</v>
      </c>
      <c r="Q825" s="14">
        <f>Greenleaf[[#This Row],[Quantity Sold]]*Greenleaf[[#This Row],[Unit Price]]</f>
        <v>160</v>
      </c>
    </row>
    <row r="826" spans="1:17" x14ac:dyDescent="0.25">
      <c r="A826" t="s">
        <v>2252</v>
      </c>
      <c r="B826" s="5">
        <v>45591</v>
      </c>
      <c r="C826" s="5" t="str">
        <f>TEXT(Greenleaf[[#This Row],[Order Date]],"MMM")</f>
        <v>Oct</v>
      </c>
      <c r="D826" s="5" t="str">
        <f>TEXT(Greenleaf[[#This Row],[Order Date]],"YYYY")</f>
        <v>2024</v>
      </c>
      <c r="E826" t="s">
        <v>2462</v>
      </c>
      <c r="F826" s="7" t="s">
        <v>1013</v>
      </c>
      <c r="G826" s="9">
        <v>6</v>
      </c>
      <c r="H826" s="11">
        <v>25</v>
      </c>
      <c r="I826" s="13">
        <v>9.08</v>
      </c>
      <c r="J826" t="s">
        <v>1135</v>
      </c>
      <c r="K826" t="s">
        <v>2546</v>
      </c>
      <c r="L826" s="7" t="s">
        <v>1414</v>
      </c>
      <c r="M826" s="7" t="s">
        <v>1422</v>
      </c>
      <c r="N826" s="14">
        <f>Greenleaf[[#This Row],[Unit Price]]*Greenleaf[[#This Row],[Quantity Sold]]</f>
        <v>150</v>
      </c>
      <c r="O826" s="13">
        <f>Greenleaf[[#This Row],[Unit Cost]]*Greenleaf[[#This Row],[Quantity Sold]]</f>
        <v>54.480000000000004</v>
      </c>
      <c r="P826" s="13">
        <f>Greenleaf[[#This Row],[ Unit  price per quantity]]-Greenleaf[[#This Row],[ Unit cost per quantity]]</f>
        <v>95.52</v>
      </c>
      <c r="Q826" s="14">
        <f>Greenleaf[[#This Row],[Quantity Sold]]*Greenleaf[[#This Row],[Unit Price]]</f>
        <v>150</v>
      </c>
    </row>
    <row r="827" spans="1:17" x14ac:dyDescent="0.25">
      <c r="A827" t="s">
        <v>2253</v>
      </c>
      <c r="B827" s="5">
        <v>45592</v>
      </c>
      <c r="C827" s="5" t="str">
        <f>TEXT(Greenleaf[[#This Row],[Order Date]],"MMM")</f>
        <v>Oct</v>
      </c>
      <c r="D827" s="5" t="str">
        <f>TEXT(Greenleaf[[#This Row],[Order Date]],"YYYY")</f>
        <v>2024</v>
      </c>
      <c r="E827" t="s">
        <v>2460</v>
      </c>
      <c r="F827" s="7" t="s">
        <v>1015</v>
      </c>
      <c r="G827" s="9">
        <v>10</v>
      </c>
      <c r="H827" s="11">
        <v>10</v>
      </c>
      <c r="I827" s="13">
        <v>3.48</v>
      </c>
      <c r="J827" t="s">
        <v>1050</v>
      </c>
      <c r="K827" t="s">
        <v>2488</v>
      </c>
      <c r="L827" s="7" t="s">
        <v>1414</v>
      </c>
      <c r="M827" s="7" t="s">
        <v>1424</v>
      </c>
      <c r="N827" s="14">
        <f>Greenleaf[[#This Row],[Unit Price]]*Greenleaf[[#This Row],[Quantity Sold]]</f>
        <v>100</v>
      </c>
      <c r="O827" s="13">
        <f>Greenleaf[[#This Row],[Unit Cost]]*Greenleaf[[#This Row],[Quantity Sold]]</f>
        <v>34.799999999999997</v>
      </c>
      <c r="P827" s="13">
        <f>Greenleaf[[#This Row],[ Unit  price per quantity]]-Greenleaf[[#This Row],[ Unit cost per quantity]]</f>
        <v>65.2</v>
      </c>
      <c r="Q827" s="14">
        <f>Greenleaf[[#This Row],[Quantity Sold]]*Greenleaf[[#This Row],[Unit Price]]</f>
        <v>100</v>
      </c>
    </row>
    <row r="828" spans="1:17" x14ac:dyDescent="0.25">
      <c r="A828" t="s">
        <v>2254</v>
      </c>
      <c r="B828" s="5">
        <v>45592</v>
      </c>
      <c r="C828" s="5" t="str">
        <f>TEXT(Greenleaf[[#This Row],[Order Date]],"MMM")</f>
        <v>Oct</v>
      </c>
      <c r="D828" s="5" t="str">
        <f>TEXT(Greenleaf[[#This Row],[Order Date]],"YYYY")</f>
        <v>2024</v>
      </c>
      <c r="E828" t="s">
        <v>2462</v>
      </c>
      <c r="F828" s="7" t="s">
        <v>1013</v>
      </c>
      <c r="G828" s="9">
        <v>1</v>
      </c>
      <c r="H828" s="11">
        <v>25</v>
      </c>
      <c r="I828" s="13">
        <v>6.8</v>
      </c>
      <c r="J828" t="s">
        <v>1053</v>
      </c>
      <c r="K828" t="s">
        <v>2558</v>
      </c>
      <c r="L828" s="7" t="s">
        <v>1414</v>
      </c>
      <c r="M828" s="7" t="s">
        <v>1426</v>
      </c>
      <c r="N828" s="14">
        <f>Greenleaf[[#This Row],[Unit Price]]*Greenleaf[[#This Row],[Quantity Sold]]</f>
        <v>25</v>
      </c>
      <c r="O828" s="13">
        <f>Greenleaf[[#This Row],[Unit Cost]]*Greenleaf[[#This Row],[Quantity Sold]]</f>
        <v>6.8</v>
      </c>
      <c r="P828" s="13">
        <f>Greenleaf[[#This Row],[ Unit  price per quantity]]-Greenleaf[[#This Row],[ Unit cost per quantity]]</f>
        <v>18.2</v>
      </c>
      <c r="Q828" s="14">
        <f>Greenleaf[[#This Row],[Quantity Sold]]*Greenleaf[[#This Row],[Unit Price]]</f>
        <v>25</v>
      </c>
    </row>
    <row r="829" spans="1:17" x14ac:dyDescent="0.25">
      <c r="A829" t="s">
        <v>2255</v>
      </c>
      <c r="B829" s="5">
        <v>45592</v>
      </c>
      <c r="C829" s="5" t="str">
        <f>TEXT(Greenleaf[[#This Row],[Order Date]],"MMM")</f>
        <v>Oct</v>
      </c>
      <c r="D829" s="5" t="str">
        <f>TEXT(Greenleaf[[#This Row],[Order Date]],"YYYY")</f>
        <v>2024</v>
      </c>
      <c r="E829" t="s">
        <v>2462</v>
      </c>
      <c r="F829" s="7" t="s">
        <v>1013</v>
      </c>
      <c r="G829" s="9">
        <v>10</v>
      </c>
      <c r="H829" s="11">
        <v>25</v>
      </c>
      <c r="I829" s="13">
        <v>8.74</v>
      </c>
      <c r="J829" t="s">
        <v>1019</v>
      </c>
      <c r="K829" t="s">
        <v>2550</v>
      </c>
      <c r="L829" s="7" t="s">
        <v>1414</v>
      </c>
      <c r="M829" s="7" t="s">
        <v>1422</v>
      </c>
      <c r="N829" s="14">
        <f>Greenleaf[[#This Row],[Unit Price]]*Greenleaf[[#This Row],[Quantity Sold]]</f>
        <v>250</v>
      </c>
      <c r="O829" s="13">
        <f>Greenleaf[[#This Row],[Unit Cost]]*Greenleaf[[#This Row],[Quantity Sold]]</f>
        <v>87.4</v>
      </c>
      <c r="P829" s="13">
        <f>Greenleaf[[#This Row],[ Unit  price per quantity]]-Greenleaf[[#This Row],[ Unit cost per quantity]]</f>
        <v>162.6</v>
      </c>
      <c r="Q829" s="14">
        <f>Greenleaf[[#This Row],[Quantity Sold]]*Greenleaf[[#This Row],[Unit Price]]</f>
        <v>250</v>
      </c>
    </row>
    <row r="830" spans="1:17" x14ac:dyDescent="0.25">
      <c r="A830" t="s">
        <v>2256</v>
      </c>
      <c r="B830" s="5">
        <v>45592</v>
      </c>
      <c r="C830" s="5" t="str">
        <f>TEXT(Greenleaf[[#This Row],[Order Date]],"MMM")</f>
        <v>Oct</v>
      </c>
      <c r="D830" s="5" t="str">
        <f>TEXT(Greenleaf[[#This Row],[Order Date]],"YYYY")</f>
        <v>2024</v>
      </c>
      <c r="E830" t="s">
        <v>2463</v>
      </c>
      <c r="F830" s="7" t="s">
        <v>1014</v>
      </c>
      <c r="G830" s="9">
        <v>8</v>
      </c>
      <c r="H830" s="11">
        <v>15</v>
      </c>
      <c r="I830" s="13">
        <v>5.93</v>
      </c>
      <c r="J830" t="s">
        <v>1022</v>
      </c>
      <c r="K830" t="s">
        <v>2551</v>
      </c>
      <c r="L830" s="7" t="s">
        <v>1416</v>
      </c>
      <c r="M830" s="7" t="s">
        <v>1427</v>
      </c>
      <c r="N830" s="14">
        <f>Greenleaf[[#This Row],[Unit Price]]*Greenleaf[[#This Row],[Quantity Sold]]</f>
        <v>120</v>
      </c>
      <c r="O830" s="13">
        <f>Greenleaf[[#This Row],[Unit Cost]]*Greenleaf[[#This Row],[Quantity Sold]]</f>
        <v>47.44</v>
      </c>
      <c r="P830" s="13">
        <f>Greenleaf[[#This Row],[ Unit  price per quantity]]-Greenleaf[[#This Row],[ Unit cost per quantity]]</f>
        <v>72.56</v>
      </c>
      <c r="Q830" s="14">
        <f>Greenleaf[[#This Row],[Quantity Sold]]*Greenleaf[[#This Row],[Unit Price]]</f>
        <v>120</v>
      </c>
    </row>
    <row r="831" spans="1:17" x14ac:dyDescent="0.25">
      <c r="A831" t="s">
        <v>2257</v>
      </c>
      <c r="B831" s="5">
        <v>45592</v>
      </c>
      <c r="C831" s="5" t="str">
        <f>TEXT(Greenleaf[[#This Row],[Order Date]],"MMM")</f>
        <v>Oct</v>
      </c>
      <c r="D831" s="5" t="str">
        <f>TEXT(Greenleaf[[#This Row],[Order Date]],"YYYY")</f>
        <v>2024</v>
      </c>
      <c r="E831" t="s">
        <v>2464</v>
      </c>
      <c r="F831" s="7" t="s">
        <v>1012</v>
      </c>
      <c r="G831" s="9">
        <v>2</v>
      </c>
      <c r="H831" s="11">
        <v>40</v>
      </c>
      <c r="I831" s="13">
        <v>11.4</v>
      </c>
      <c r="J831" t="s">
        <v>1174</v>
      </c>
      <c r="K831" t="s">
        <v>2586</v>
      </c>
      <c r="L831" s="7" t="s">
        <v>1414</v>
      </c>
      <c r="M831" s="7" t="s">
        <v>1427</v>
      </c>
      <c r="N831" s="14">
        <f>Greenleaf[[#This Row],[Unit Price]]*Greenleaf[[#This Row],[Quantity Sold]]</f>
        <v>80</v>
      </c>
      <c r="O831" s="13">
        <f>Greenleaf[[#This Row],[Unit Cost]]*Greenleaf[[#This Row],[Quantity Sold]]</f>
        <v>22.8</v>
      </c>
      <c r="P831" s="13">
        <f>Greenleaf[[#This Row],[ Unit  price per quantity]]-Greenleaf[[#This Row],[ Unit cost per quantity]]</f>
        <v>57.2</v>
      </c>
      <c r="Q831" s="14">
        <f>Greenleaf[[#This Row],[Quantity Sold]]*Greenleaf[[#This Row],[Unit Price]]</f>
        <v>80</v>
      </c>
    </row>
    <row r="832" spans="1:17" x14ac:dyDescent="0.25">
      <c r="A832" t="s">
        <v>2258</v>
      </c>
      <c r="B832" s="5">
        <v>45593</v>
      </c>
      <c r="C832" s="5" t="str">
        <f>TEXT(Greenleaf[[#This Row],[Order Date]],"MMM")</f>
        <v>Oct</v>
      </c>
      <c r="D832" s="5" t="str">
        <f>TEXT(Greenleaf[[#This Row],[Order Date]],"YYYY")</f>
        <v>2024</v>
      </c>
      <c r="E832" t="s">
        <v>2463</v>
      </c>
      <c r="F832" s="7" t="s">
        <v>1014</v>
      </c>
      <c r="G832" s="9">
        <v>10</v>
      </c>
      <c r="H832" s="11">
        <v>15</v>
      </c>
      <c r="I832" s="13">
        <v>3.2</v>
      </c>
      <c r="J832" t="s">
        <v>1105</v>
      </c>
      <c r="K832" t="s">
        <v>2560</v>
      </c>
      <c r="L832" s="7" t="s">
        <v>1414</v>
      </c>
      <c r="M832" s="7" t="s">
        <v>1419</v>
      </c>
      <c r="N832" s="14">
        <f>Greenleaf[[#This Row],[Unit Price]]*Greenleaf[[#This Row],[Quantity Sold]]</f>
        <v>150</v>
      </c>
      <c r="O832" s="13">
        <f>Greenleaf[[#This Row],[Unit Cost]]*Greenleaf[[#This Row],[Quantity Sold]]</f>
        <v>32</v>
      </c>
      <c r="P832" s="13">
        <f>Greenleaf[[#This Row],[ Unit  price per quantity]]-Greenleaf[[#This Row],[ Unit cost per quantity]]</f>
        <v>118</v>
      </c>
      <c r="Q832" s="14">
        <f>Greenleaf[[#This Row],[Quantity Sold]]*Greenleaf[[#This Row],[Unit Price]]</f>
        <v>150</v>
      </c>
    </row>
    <row r="833" spans="1:17" x14ac:dyDescent="0.25">
      <c r="A833" t="s">
        <v>2259</v>
      </c>
      <c r="B833" s="5">
        <v>45593</v>
      </c>
      <c r="C833" s="5" t="str">
        <f>TEXT(Greenleaf[[#This Row],[Order Date]],"MMM")</f>
        <v>Oct</v>
      </c>
      <c r="D833" s="5" t="str">
        <f>TEXT(Greenleaf[[#This Row],[Order Date]],"YYYY")</f>
        <v>2024</v>
      </c>
      <c r="E833" t="s">
        <v>2460</v>
      </c>
      <c r="F833" s="7" t="s">
        <v>1015</v>
      </c>
      <c r="G833" s="9">
        <v>7</v>
      </c>
      <c r="H833" s="11">
        <v>10</v>
      </c>
      <c r="I833" s="13">
        <v>3.47</v>
      </c>
      <c r="J833" t="s">
        <v>1164</v>
      </c>
      <c r="K833" t="s">
        <v>2567</v>
      </c>
      <c r="L833" s="7" t="s">
        <v>1414</v>
      </c>
      <c r="M833" s="7" t="s">
        <v>1420</v>
      </c>
      <c r="N833" s="14">
        <f>Greenleaf[[#This Row],[Unit Price]]*Greenleaf[[#This Row],[Quantity Sold]]</f>
        <v>70</v>
      </c>
      <c r="O833" s="13">
        <f>Greenleaf[[#This Row],[Unit Cost]]*Greenleaf[[#This Row],[Quantity Sold]]</f>
        <v>24.290000000000003</v>
      </c>
      <c r="P833" s="13">
        <f>Greenleaf[[#This Row],[ Unit  price per quantity]]-Greenleaf[[#This Row],[ Unit cost per quantity]]</f>
        <v>45.709999999999994</v>
      </c>
      <c r="Q833" s="14">
        <f>Greenleaf[[#This Row],[Quantity Sold]]*Greenleaf[[#This Row],[Unit Price]]</f>
        <v>70</v>
      </c>
    </row>
    <row r="834" spans="1:17" x14ac:dyDescent="0.25">
      <c r="A834" t="s">
        <v>2260</v>
      </c>
      <c r="B834" s="5">
        <v>45593</v>
      </c>
      <c r="C834" s="5" t="str">
        <f>TEXT(Greenleaf[[#This Row],[Order Date]],"MMM")</f>
        <v>Oct</v>
      </c>
      <c r="D834" s="5" t="str">
        <f>TEXT(Greenleaf[[#This Row],[Order Date]],"YYYY")</f>
        <v>2024</v>
      </c>
      <c r="E834" t="s">
        <v>2464</v>
      </c>
      <c r="F834" s="7" t="s">
        <v>1012</v>
      </c>
      <c r="G834" s="9">
        <v>3</v>
      </c>
      <c r="H834" s="11">
        <v>40</v>
      </c>
      <c r="I834" s="13">
        <v>8.8800000000000008</v>
      </c>
      <c r="J834" t="s">
        <v>1105</v>
      </c>
      <c r="K834" t="s">
        <v>2560</v>
      </c>
      <c r="L834" s="7" t="s">
        <v>1416</v>
      </c>
      <c r="M834" s="7" t="s">
        <v>1422</v>
      </c>
      <c r="N834" s="14">
        <f>Greenleaf[[#This Row],[Unit Price]]*Greenleaf[[#This Row],[Quantity Sold]]</f>
        <v>120</v>
      </c>
      <c r="O834" s="13">
        <f>Greenleaf[[#This Row],[Unit Cost]]*Greenleaf[[#This Row],[Quantity Sold]]</f>
        <v>26.64</v>
      </c>
      <c r="P834" s="13">
        <f>Greenleaf[[#This Row],[ Unit  price per quantity]]-Greenleaf[[#This Row],[ Unit cost per quantity]]</f>
        <v>93.36</v>
      </c>
      <c r="Q834" s="14">
        <f>Greenleaf[[#This Row],[Quantity Sold]]*Greenleaf[[#This Row],[Unit Price]]</f>
        <v>120</v>
      </c>
    </row>
    <row r="835" spans="1:17" x14ac:dyDescent="0.25">
      <c r="A835" t="s">
        <v>2261</v>
      </c>
      <c r="B835" s="5">
        <v>45593</v>
      </c>
      <c r="C835" s="5" t="str">
        <f>TEXT(Greenleaf[[#This Row],[Order Date]],"MMM")</f>
        <v>Oct</v>
      </c>
      <c r="D835" s="5" t="str">
        <f>TEXT(Greenleaf[[#This Row],[Order Date]],"YYYY")</f>
        <v>2024</v>
      </c>
      <c r="E835" t="s">
        <v>2463</v>
      </c>
      <c r="F835" s="7" t="s">
        <v>1014</v>
      </c>
      <c r="G835" s="9">
        <v>10</v>
      </c>
      <c r="H835" s="11">
        <v>15</v>
      </c>
      <c r="I835" s="13">
        <v>4.0999999999999996</v>
      </c>
      <c r="J835" t="s">
        <v>1175</v>
      </c>
      <c r="K835" t="s">
        <v>2518</v>
      </c>
      <c r="L835" s="7" t="s">
        <v>1417</v>
      </c>
      <c r="M835" s="7" t="s">
        <v>1418</v>
      </c>
      <c r="N835" s="14">
        <f>Greenleaf[[#This Row],[Unit Price]]*Greenleaf[[#This Row],[Quantity Sold]]</f>
        <v>150</v>
      </c>
      <c r="O835" s="13">
        <f>Greenleaf[[#This Row],[Unit Cost]]*Greenleaf[[#This Row],[Quantity Sold]]</f>
        <v>41</v>
      </c>
      <c r="P835" s="13">
        <f>Greenleaf[[#This Row],[ Unit  price per quantity]]-Greenleaf[[#This Row],[ Unit cost per quantity]]</f>
        <v>109</v>
      </c>
      <c r="Q835" s="14">
        <f>Greenleaf[[#This Row],[Quantity Sold]]*Greenleaf[[#This Row],[Unit Price]]</f>
        <v>150</v>
      </c>
    </row>
    <row r="836" spans="1:17" x14ac:dyDescent="0.25">
      <c r="A836" t="s">
        <v>2262</v>
      </c>
      <c r="B836" s="5">
        <v>45594</v>
      </c>
      <c r="C836" s="5" t="str">
        <f>TEXT(Greenleaf[[#This Row],[Order Date]],"MMM")</f>
        <v>Oct</v>
      </c>
      <c r="D836" s="5" t="str">
        <f>TEXT(Greenleaf[[#This Row],[Order Date]],"YYYY")</f>
        <v>2024</v>
      </c>
      <c r="E836" t="s">
        <v>2462</v>
      </c>
      <c r="F836" s="7" t="s">
        <v>1013</v>
      </c>
      <c r="G836" s="9">
        <v>5</v>
      </c>
      <c r="H836" s="11">
        <v>25</v>
      </c>
      <c r="I836" s="13">
        <v>9.99</v>
      </c>
      <c r="J836" t="s">
        <v>1091</v>
      </c>
      <c r="K836" t="s">
        <v>2569</v>
      </c>
      <c r="L836" s="7" t="s">
        <v>1414</v>
      </c>
      <c r="M836" s="7" t="s">
        <v>1425</v>
      </c>
      <c r="N836" s="14">
        <f>Greenleaf[[#This Row],[Unit Price]]*Greenleaf[[#This Row],[Quantity Sold]]</f>
        <v>125</v>
      </c>
      <c r="O836" s="13">
        <f>Greenleaf[[#This Row],[Unit Cost]]*Greenleaf[[#This Row],[Quantity Sold]]</f>
        <v>49.95</v>
      </c>
      <c r="P836" s="13">
        <f>Greenleaf[[#This Row],[ Unit  price per quantity]]-Greenleaf[[#This Row],[ Unit cost per quantity]]</f>
        <v>75.05</v>
      </c>
      <c r="Q836" s="14">
        <f>Greenleaf[[#This Row],[Quantity Sold]]*Greenleaf[[#This Row],[Unit Price]]</f>
        <v>125</v>
      </c>
    </row>
    <row r="837" spans="1:17" x14ac:dyDescent="0.25">
      <c r="A837" t="s">
        <v>2263</v>
      </c>
      <c r="B837" s="5">
        <v>45594</v>
      </c>
      <c r="C837" s="5" t="str">
        <f>TEXT(Greenleaf[[#This Row],[Order Date]],"MMM")</f>
        <v>Oct</v>
      </c>
      <c r="D837" s="5" t="str">
        <f>TEXT(Greenleaf[[#This Row],[Order Date]],"YYYY")</f>
        <v>2024</v>
      </c>
      <c r="E837" t="s">
        <v>2463</v>
      </c>
      <c r="F837" s="7" t="s">
        <v>1014</v>
      </c>
      <c r="G837" s="9">
        <v>7</v>
      </c>
      <c r="H837" s="11">
        <v>15</v>
      </c>
      <c r="I837" s="13">
        <v>5.7</v>
      </c>
      <c r="J837" t="s">
        <v>1023</v>
      </c>
      <c r="K837" t="s">
        <v>2473</v>
      </c>
      <c r="L837" s="7" t="s">
        <v>1415</v>
      </c>
      <c r="M837" s="7" t="s">
        <v>1426</v>
      </c>
      <c r="N837" s="14">
        <f>Greenleaf[[#This Row],[Unit Price]]*Greenleaf[[#This Row],[Quantity Sold]]</f>
        <v>105</v>
      </c>
      <c r="O837" s="13">
        <f>Greenleaf[[#This Row],[Unit Cost]]*Greenleaf[[#This Row],[Quantity Sold]]</f>
        <v>39.9</v>
      </c>
      <c r="P837" s="13">
        <f>Greenleaf[[#This Row],[ Unit  price per quantity]]-Greenleaf[[#This Row],[ Unit cost per quantity]]</f>
        <v>65.099999999999994</v>
      </c>
      <c r="Q837" s="14">
        <f>Greenleaf[[#This Row],[Quantity Sold]]*Greenleaf[[#This Row],[Unit Price]]</f>
        <v>105</v>
      </c>
    </row>
    <row r="838" spans="1:17" x14ac:dyDescent="0.25">
      <c r="A838" t="s">
        <v>2264</v>
      </c>
      <c r="B838" s="5">
        <v>45594</v>
      </c>
      <c r="C838" s="5" t="str">
        <f>TEXT(Greenleaf[[#This Row],[Order Date]],"MMM")</f>
        <v>Oct</v>
      </c>
      <c r="D838" s="5" t="str">
        <f>TEXT(Greenleaf[[#This Row],[Order Date]],"YYYY")</f>
        <v>2024</v>
      </c>
      <c r="E838" t="s">
        <v>2461</v>
      </c>
      <c r="F838" s="7" t="s">
        <v>1011</v>
      </c>
      <c r="G838" s="9">
        <v>2</v>
      </c>
      <c r="H838" s="11">
        <v>12</v>
      </c>
      <c r="I838" s="13">
        <v>3.58</v>
      </c>
      <c r="J838" t="s">
        <v>1116</v>
      </c>
      <c r="K838" t="s">
        <v>2486</v>
      </c>
      <c r="L838" s="7" t="s">
        <v>1414</v>
      </c>
      <c r="M838" s="7" t="s">
        <v>1418</v>
      </c>
      <c r="N838" s="14">
        <f>Greenleaf[[#This Row],[Unit Price]]*Greenleaf[[#This Row],[Quantity Sold]]</f>
        <v>24</v>
      </c>
      <c r="O838" s="13">
        <f>Greenleaf[[#This Row],[Unit Cost]]*Greenleaf[[#This Row],[Quantity Sold]]</f>
        <v>7.16</v>
      </c>
      <c r="P838" s="13">
        <f>Greenleaf[[#This Row],[ Unit  price per quantity]]-Greenleaf[[#This Row],[ Unit cost per quantity]]</f>
        <v>16.84</v>
      </c>
      <c r="Q838" s="14">
        <f>Greenleaf[[#This Row],[Quantity Sold]]*Greenleaf[[#This Row],[Unit Price]]</f>
        <v>24</v>
      </c>
    </row>
    <row r="839" spans="1:17" x14ac:dyDescent="0.25">
      <c r="A839" t="s">
        <v>2265</v>
      </c>
      <c r="B839" s="5">
        <v>45594</v>
      </c>
      <c r="C839" s="5" t="str">
        <f>TEXT(Greenleaf[[#This Row],[Order Date]],"MMM")</f>
        <v>Oct</v>
      </c>
      <c r="D839" s="5" t="str">
        <f>TEXT(Greenleaf[[#This Row],[Order Date]],"YYYY")</f>
        <v>2024</v>
      </c>
      <c r="E839" t="s">
        <v>2463</v>
      </c>
      <c r="F839" s="7" t="s">
        <v>1014</v>
      </c>
      <c r="G839" s="9">
        <v>5</v>
      </c>
      <c r="H839" s="11">
        <v>15</v>
      </c>
      <c r="I839" s="13">
        <v>4.07</v>
      </c>
      <c r="J839" t="s">
        <v>1167</v>
      </c>
      <c r="K839" t="s">
        <v>2514</v>
      </c>
      <c r="L839" s="7" t="s">
        <v>1414</v>
      </c>
      <c r="M839" s="7" t="s">
        <v>1418</v>
      </c>
      <c r="N839" s="14">
        <f>Greenleaf[[#This Row],[Unit Price]]*Greenleaf[[#This Row],[Quantity Sold]]</f>
        <v>75</v>
      </c>
      <c r="O839" s="13">
        <f>Greenleaf[[#This Row],[Unit Cost]]*Greenleaf[[#This Row],[Quantity Sold]]</f>
        <v>20.350000000000001</v>
      </c>
      <c r="P839" s="13">
        <f>Greenleaf[[#This Row],[ Unit  price per quantity]]-Greenleaf[[#This Row],[ Unit cost per quantity]]</f>
        <v>54.65</v>
      </c>
      <c r="Q839" s="14">
        <f>Greenleaf[[#This Row],[Quantity Sold]]*Greenleaf[[#This Row],[Unit Price]]</f>
        <v>75</v>
      </c>
    </row>
    <row r="840" spans="1:17" x14ac:dyDescent="0.25">
      <c r="A840" t="s">
        <v>2266</v>
      </c>
      <c r="B840" s="5">
        <v>45594</v>
      </c>
      <c r="C840" s="5" t="str">
        <f>TEXT(Greenleaf[[#This Row],[Order Date]],"MMM")</f>
        <v>Oct</v>
      </c>
      <c r="D840" s="5" t="str">
        <f>TEXT(Greenleaf[[#This Row],[Order Date]],"YYYY")</f>
        <v>2024</v>
      </c>
      <c r="E840" t="s">
        <v>2462</v>
      </c>
      <c r="F840" s="7" t="s">
        <v>1013</v>
      </c>
      <c r="G840" s="9">
        <v>10</v>
      </c>
      <c r="H840" s="11">
        <v>25</v>
      </c>
      <c r="I840" s="13">
        <v>9.42</v>
      </c>
      <c r="J840" t="s">
        <v>1034</v>
      </c>
      <c r="K840" t="s">
        <v>2473</v>
      </c>
      <c r="L840" s="7" t="s">
        <v>1414</v>
      </c>
      <c r="M840" s="7" t="s">
        <v>1419</v>
      </c>
      <c r="N840" s="14">
        <f>Greenleaf[[#This Row],[Unit Price]]*Greenleaf[[#This Row],[Quantity Sold]]</f>
        <v>250</v>
      </c>
      <c r="O840" s="13">
        <f>Greenleaf[[#This Row],[Unit Cost]]*Greenleaf[[#This Row],[Quantity Sold]]</f>
        <v>94.2</v>
      </c>
      <c r="P840" s="13">
        <f>Greenleaf[[#This Row],[ Unit  price per quantity]]-Greenleaf[[#This Row],[ Unit cost per quantity]]</f>
        <v>155.80000000000001</v>
      </c>
      <c r="Q840" s="14">
        <f>Greenleaf[[#This Row],[Quantity Sold]]*Greenleaf[[#This Row],[Unit Price]]</f>
        <v>250</v>
      </c>
    </row>
    <row r="841" spans="1:17" x14ac:dyDescent="0.25">
      <c r="A841" t="s">
        <v>2267</v>
      </c>
      <c r="B841" s="5">
        <v>45596</v>
      </c>
      <c r="C841" s="5" t="str">
        <f>TEXT(Greenleaf[[#This Row],[Order Date]],"MMM")</f>
        <v>Oct</v>
      </c>
      <c r="D841" s="5" t="str">
        <f>TEXT(Greenleaf[[#This Row],[Order Date]],"YYYY")</f>
        <v>2024</v>
      </c>
      <c r="E841" t="s">
        <v>2464</v>
      </c>
      <c r="F841" s="7" t="s">
        <v>1012</v>
      </c>
      <c r="G841" s="9">
        <v>1</v>
      </c>
      <c r="H841" s="11">
        <v>40</v>
      </c>
      <c r="I841" s="13">
        <v>13.18</v>
      </c>
      <c r="J841" t="s">
        <v>1111</v>
      </c>
      <c r="K841" t="s">
        <v>2488</v>
      </c>
      <c r="L841" s="7" t="s">
        <v>1416</v>
      </c>
      <c r="M841" s="7" t="s">
        <v>1423</v>
      </c>
      <c r="N841" s="14">
        <f>Greenleaf[[#This Row],[Unit Price]]*Greenleaf[[#This Row],[Quantity Sold]]</f>
        <v>40</v>
      </c>
      <c r="O841" s="13">
        <f>Greenleaf[[#This Row],[Unit Cost]]*Greenleaf[[#This Row],[Quantity Sold]]</f>
        <v>13.18</v>
      </c>
      <c r="P841" s="13">
        <f>Greenleaf[[#This Row],[ Unit  price per quantity]]-Greenleaf[[#This Row],[ Unit cost per quantity]]</f>
        <v>26.82</v>
      </c>
      <c r="Q841" s="14">
        <f>Greenleaf[[#This Row],[Quantity Sold]]*Greenleaf[[#This Row],[Unit Price]]</f>
        <v>40</v>
      </c>
    </row>
    <row r="842" spans="1:17" x14ac:dyDescent="0.25">
      <c r="A842" t="s">
        <v>2268</v>
      </c>
      <c r="B842" s="5">
        <v>45596</v>
      </c>
      <c r="C842" s="5" t="str">
        <f>TEXT(Greenleaf[[#This Row],[Order Date]],"MMM")</f>
        <v>Oct</v>
      </c>
      <c r="D842" s="5" t="str">
        <f>TEXT(Greenleaf[[#This Row],[Order Date]],"YYYY")</f>
        <v>2024</v>
      </c>
      <c r="E842" t="s">
        <v>2462</v>
      </c>
      <c r="F842" s="7" t="s">
        <v>1013</v>
      </c>
      <c r="G842" s="9">
        <v>2</v>
      </c>
      <c r="H842" s="11">
        <v>25</v>
      </c>
      <c r="I842" s="13">
        <v>7.53</v>
      </c>
      <c r="J842" t="s">
        <v>1186</v>
      </c>
      <c r="K842" t="s">
        <v>2477</v>
      </c>
      <c r="L842" s="7" t="s">
        <v>1414</v>
      </c>
      <c r="M842" s="7" t="s">
        <v>1422</v>
      </c>
      <c r="N842" s="14">
        <f>Greenleaf[[#This Row],[Unit Price]]*Greenleaf[[#This Row],[Quantity Sold]]</f>
        <v>50</v>
      </c>
      <c r="O842" s="13">
        <f>Greenleaf[[#This Row],[Unit Cost]]*Greenleaf[[#This Row],[Quantity Sold]]</f>
        <v>15.06</v>
      </c>
      <c r="P842" s="13">
        <f>Greenleaf[[#This Row],[ Unit  price per quantity]]-Greenleaf[[#This Row],[ Unit cost per quantity]]</f>
        <v>34.94</v>
      </c>
      <c r="Q842" s="14">
        <f>Greenleaf[[#This Row],[Quantity Sold]]*Greenleaf[[#This Row],[Unit Price]]</f>
        <v>50</v>
      </c>
    </row>
    <row r="843" spans="1:17" x14ac:dyDescent="0.25">
      <c r="A843" t="s">
        <v>2269</v>
      </c>
      <c r="B843" s="5">
        <v>45596</v>
      </c>
      <c r="C843" s="5" t="str">
        <f>TEXT(Greenleaf[[#This Row],[Order Date]],"MMM")</f>
        <v>Oct</v>
      </c>
      <c r="D843" s="5" t="str">
        <f>TEXT(Greenleaf[[#This Row],[Order Date]],"YYYY")</f>
        <v>2024</v>
      </c>
      <c r="E843" t="s">
        <v>2461</v>
      </c>
      <c r="F843" s="7" t="s">
        <v>1011</v>
      </c>
      <c r="G843" s="9">
        <v>7</v>
      </c>
      <c r="H843" s="11">
        <v>12</v>
      </c>
      <c r="I843" s="13">
        <v>4.74</v>
      </c>
      <c r="J843" t="s">
        <v>1167</v>
      </c>
      <c r="K843" t="s">
        <v>2514</v>
      </c>
      <c r="L843" s="7" t="s">
        <v>1415</v>
      </c>
      <c r="M843" s="7" t="s">
        <v>1425</v>
      </c>
      <c r="N843" s="14">
        <f>Greenleaf[[#This Row],[Unit Price]]*Greenleaf[[#This Row],[Quantity Sold]]</f>
        <v>84</v>
      </c>
      <c r="O843" s="13">
        <f>Greenleaf[[#This Row],[Unit Cost]]*Greenleaf[[#This Row],[Quantity Sold]]</f>
        <v>33.18</v>
      </c>
      <c r="P843" s="13">
        <f>Greenleaf[[#This Row],[ Unit  price per quantity]]-Greenleaf[[#This Row],[ Unit cost per quantity]]</f>
        <v>50.82</v>
      </c>
      <c r="Q843" s="14">
        <f>Greenleaf[[#This Row],[Quantity Sold]]*Greenleaf[[#This Row],[Unit Price]]</f>
        <v>84</v>
      </c>
    </row>
    <row r="844" spans="1:17" x14ac:dyDescent="0.25">
      <c r="A844" t="s">
        <v>2270</v>
      </c>
      <c r="B844" s="5">
        <v>45596</v>
      </c>
      <c r="C844" s="5" t="str">
        <f>TEXT(Greenleaf[[#This Row],[Order Date]],"MMM")</f>
        <v>Oct</v>
      </c>
      <c r="D844" s="5" t="str">
        <f>TEXT(Greenleaf[[#This Row],[Order Date]],"YYYY")</f>
        <v>2024</v>
      </c>
      <c r="E844" t="s">
        <v>2461</v>
      </c>
      <c r="F844" s="7" t="s">
        <v>1011</v>
      </c>
      <c r="G844" s="9">
        <v>7</v>
      </c>
      <c r="H844" s="11">
        <v>12</v>
      </c>
      <c r="I844" s="13">
        <v>3.58</v>
      </c>
      <c r="J844" t="s">
        <v>1067</v>
      </c>
      <c r="K844" t="s">
        <v>2475</v>
      </c>
      <c r="L844" s="7" t="s">
        <v>1414</v>
      </c>
      <c r="M844" s="7" t="s">
        <v>1427</v>
      </c>
      <c r="N844" s="14">
        <f>Greenleaf[[#This Row],[Unit Price]]*Greenleaf[[#This Row],[Quantity Sold]]</f>
        <v>84</v>
      </c>
      <c r="O844" s="13">
        <f>Greenleaf[[#This Row],[Unit Cost]]*Greenleaf[[#This Row],[Quantity Sold]]</f>
        <v>25.060000000000002</v>
      </c>
      <c r="P844" s="13">
        <f>Greenleaf[[#This Row],[ Unit  price per quantity]]-Greenleaf[[#This Row],[ Unit cost per quantity]]</f>
        <v>58.94</v>
      </c>
      <c r="Q844" s="14">
        <f>Greenleaf[[#This Row],[Quantity Sold]]*Greenleaf[[#This Row],[Unit Price]]</f>
        <v>84</v>
      </c>
    </row>
    <row r="845" spans="1:17" x14ac:dyDescent="0.25">
      <c r="A845" t="s">
        <v>2271</v>
      </c>
      <c r="B845" s="5">
        <v>45597</v>
      </c>
      <c r="C845" s="5" t="str">
        <f>TEXT(Greenleaf[[#This Row],[Order Date]],"MMM")</f>
        <v>Nov</v>
      </c>
      <c r="D845" s="5" t="str">
        <f>TEXT(Greenleaf[[#This Row],[Order Date]],"YYYY")</f>
        <v>2024</v>
      </c>
      <c r="E845" t="s">
        <v>2462</v>
      </c>
      <c r="F845" s="7" t="s">
        <v>1013</v>
      </c>
      <c r="G845" s="9">
        <v>8</v>
      </c>
      <c r="H845" s="11">
        <v>25</v>
      </c>
      <c r="I845" s="13">
        <v>5.8</v>
      </c>
      <c r="J845" t="s">
        <v>1035</v>
      </c>
      <c r="K845" t="s">
        <v>2483</v>
      </c>
      <c r="L845" s="7" t="s">
        <v>1415</v>
      </c>
      <c r="M845" s="7" t="s">
        <v>1421</v>
      </c>
      <c r="N845" s="14">
        <f>Greenleaf[[#This Row],[Unit Price]]*Greenleaf[[#This Row],[Quantity Sold]]</f>
        <v>200</v>
      </c>
      <c r="O845" s="13">
        <f>Greenleaf[[#This Row],[Unit Cost]]*Greenleaf[[#This Row],[Quantity Sold]]</f>
        <v>46.4</v>
      </c>
      <c r="P845" s="13">
        <f>Greenleaf[[#This Row],[ Unit  price per quantity]]-Greenleaf[[#This Row],[ Unit cost per quantity]]</f>
        <v>153.6</v>
      </c>
      <c r="Q845" s="14">
        <f>Greenleaf[[#This Row],[Quantity Sold]]*Greenleaf[[#This Row],[Unit Price]]</f>
        <v>200</v>
      </c>
    </row>
    <row r="846" spans="1:17" x14ac:dyDescent="0.25">
      <c r="A846" t="s">
        <v>2272</v>
      </c>
      <c r="B846" s="5">
        <v>45597</v>
      </c>
      <c r="C846" s="5" t="str">
        <f>TEXT(Greenleaf[[#This Row],[Order Date]],"MMM")</f>
        <v>Nov</v>
      </c>
      <c r="D846" s="5" t="str">
        <f>TEXT(Greenleaf[[#This Row],[Order Date]],"YYYY")</f>
        <v>2024</v>
      </c>
      <c r="E846" t="s">
        <v>2461</v>
      </c>
      <c r="F846" s="7" t="s">
        <v>1011</v>
      </c>
      <c r="G846" s="9">
        <v>2</v>
      </c>
      <c r="H846" s="11">
        <v>12</v>
      </c>
      <c r="I846" s="13">
        <v>3.34</v>
      </c>
      <c r="J846" t="s">
        <v>1208</v>
      </c>
      <c r="K846" t="s">
        <v>2486</v>
      </c>
      <c r="L846" s="7" t="s">
        <v>1414</v>
      </c>
      <c r="M846" s="7" t="s">
        <v>1421</v>
      </c>
      <c r="N846" s="14">
        <f>Greenleaf[[#This Row],[Unit Price]]*Greenleaf[[#This Row],[Quantity Sold]]</f>
        <v>24</v>
      </c>
      <c r="O846" s="13">
        <f>Greenleaf[[#This Row],[Unit Cost]]*Greenleaf[[#This Row],[Quantity Sold]]</f>
        <v>6.68</v>
      </c>
      <c r="P846" s="13">
        <f>Greenleaf[[#This Row],[ Unit  price per quantity]]-Greenleaf[[#This Row],[ Unit cost per quantity]]</f>
        <v>17.32</v>
      </c>
      <c r="Q846" s="14">
        <f>Greenleaf[[#This Row],[Quantity Sold]]*Greenleaf[[#This Row],[Unit Price]]</f>
        <v>24</v>
      </c>
    </row>
    <row r="847" spans="1:17" x14ac:dyDescent="0.25">
      <c r="A847" t="s">
        <v>2273</v>
      </c>
      <c r="B847" s="5">
        <v>45597</v>
      </c>
      <c r="C847" s="5" t="str">
        <f>TEXT(Greenleaf[[#This Row],[Order Date]],"MMM")</f>
        <v>Nov</v>
      </c>
      <c r="D847" s="5" t="str">
        <f>TEXT(Greenleaf[[#This Row],[Order Date]],"YYYY")</f>
        <v>2024</v>
      </c>
      <c r="E847" t="s">
        <v>2462</v>
      </c>
      <c r="F847" s="7" t="s">
        <v>1013</v>
      </c>
      <c r="G847" s="9">
        <v>8</v>
      </c>
      <c r="H847" s="11">
        <v>25</v>
      </c>
      <c r="I847" s="13">
        <v>9.2899999999999991</v>
      </c>
      <c r="J847" t="s">
        <v>1084</v>
      </c>
      <c r="K847" t="s">
        <v>2553</v>
      </c>
      <c r="L847" s="7" t="s">
        <v>1414</v>
      </c>
      <c r="M847" s="7" t="s">
        <v>1427</v>
      </c>
      <c r="N847" s="14">
        <f>Greenleaf[[#This Row],[Unit Price]]*Greenleaf[[#This Row],[Quantity Sold]]</f>
        <v>200</v>
      </c>
      <c r="O847" s="13">
        <f>Greenleaf[[#This Row],[Unit Cost]]*Greenleaf[[#This Row],[Quantity Sold]]</f>
        <v>74.319999999999993</v>
      </c>
      <c r="P847" s="13">
        <f>Greenleaf[[#This Row],[ Unit  price per quantity]]-Greenleaf[[#This Row],[ Unit cost per quantity]]</f>
        <v>125.68</v>
      </c>
      <c r="Q847" s="14">
        <f>Greenleaf[[#This Row],[Quantity Sold]]*Greenleaf[[#This Row],[Unit Price]]</f>
        <v>200</v>
      </c>
    </row>
    <row r="848" spans="1:17" x14ac:dyDescent="0.25">
      <c r="A848" t="s">
        <v>2274</v>
      </c>
      <c r="B848" s="5">
        <v>45598</v>
      </c>
      <c r="C848" s="5" t="str">
        <f>TEXT(Greenleaf[[#This Row],[Order Date]],"MMM")</f>
        <v>Nov</v>
      </c>
      <c r="D848" s="5" t="str">
        <f>TEXT(Greenleaf[[#This Row],[Order Date]],"YYYY")</f>
        <v>2024</v>
      </c>
      <c r="E848" t="s">
        <v>2463</v>
      </c>
      <c r="F848" s="7" t="s">
        <v>1014</v>
      </c>
      <c r="G848" s="9">
        <v>8</v>
      </c>
      <c r="H848" s="11">
        <v>15</v>
      </c>
      <c r="I848" s="13">
        <v>5.94</v>
      </c>
      <c r="J848" t="s">
        <v>1047</v>
      </c>
      <c r="K848" t="s">
        <v>2476</v>
      </c>
      <c r="L848" s="7" t="s">
        <v>1414</v>
      </c>
      <c r="M848" s="7" t="s">
        <v>1424</v>
      </c>
      <c r="N848" s="14">
        <f>Greenleaf[[#This Row],[Unit Price]]*Greenleaf[[#This Row],[Quantity Sold]]</f>
        <v>120</v>
      </c>
      <c r="O848" s="13">
        <f>Greenleaf[[#This Row],[Unit Cost]]*Greenleaf[[#This Row],[Quantity Sold]]</f>
        <v>47.52</v>
      </c>
      <c r="P848" s="13">
        <f>Greenleaf[[#This Row],[ Unit  price per quantity]]-Greenleaf[[#This Row],[ Unit cost per quantity]]</f>
        <v>72.47999999999999</v>
      </c>
      <c r="Q848" s="14">
        <f>Greenleaf[[#This Row],[Quantity Sold]]*Greenleaf[[#This Row],[Unit Price]]</f>
        <v>120</v>
      </c>
    </row>
    <row r="849" spans="1:17" x14ac:dyDescent="0.25">
      <c r="A849" t="s">
        <v>2275</v>
      </c>
      <c r="B849" s="5">
        <v>45598</v>
      </c>
      <c r="C849" s="5" t="str">
        <f>TEXT(Greenleaf[[#This Row],[Order Date]],"MMM")</f>
        <v>Nov</v>
      </c>
      <c r="D849" s="5" t="str">
        <f>TEXT(Greenleaf[[#This Row],[Order Date]],"YYYY")</f>
        <v>2024</v>
      </c>
      <c r="E849" t="s">
        <v>2460</v>
      </c>
      <c r="F849" s="7" t="s">
        <v>1015</v>
      </c>
      <c r="G849" s="9">
        <v>10</v>
      </c>
      <c r="H849" s="11">
        <v>10</v>
      </c>
      <c r="I849" s="13">
        <v>3.09</v>
      </c>
      <c r="J849" t="s">
        <v>1099</v>
      </c>
      <c r="K849" t="s">
        <v>2503</v>
      </c>
      <c r="L849" s="7" t="s">
        <v>1414</v>
      </c>
      <c r="M849" s="7" t="s">
        <v>1425</v>
      </c>
      <c r="N849" s="14">
        <f>Greenleaf[[#This Row],[Unit Price]]*Greenleaf[[#This Row],[Quantity Sold]]</f>
        <v>100</v>
      </c>
      <c r="O849" s="13">
        <f>Greenleaf[[#This Row],[Unit Cost]]*Greenleaf[[#This Row],[Quantity Sold]]</f>
        <v>30.9</v>
      </c>
      <c r="P849" s="13">
        <f>Greenleaf[[#This Row],[ Unit  price per quantity]]-Greenleaf[[#This Row],[ Unit cost per quantity]]</f>
        <v>69.099999999999994</v>
      </c>
      <c r="Q849" s="14">
        <f>Greenleaf[[#This Row],[Quantity Sold]]*Greenleaf[[#This Row],[Unit Price]]</f>
        <v>100</v>
      </c>
    </row>
    <row r="850" spans="1:17" x14ac:dyDescent="0.25">
      <c r="A850" t="s">
        <v>2276</v>
      </c>
      <c r="B850" s="5">
        <v>45598</v>
      </c>
      <c r="C850" s="5" t="str">
        <f>TEXT(Greenleaf[[#This Row],[Order Date]],"MMM")</f>
        <v>Nov</v>
      </c>
      <c r="D850" s="5" t="str">
        <f>TEXT(Greenleaf[[#This Row],[Order Date]],"YYYY")</f>
        <v>2024</v>
      </c>
      <c r="E850" t="s">
        <v>2461</v>
      </c>
      <c r="F850" s="7" t="s">
        <v>1011</v>
      </c>
      <c r="G850" s="9">
        <v>10</v>
      </c>
      <c r="H850" s="11">
        <v>12</v>
      </c>
      <c r="I850" s="13">
        <v>3.06</v>
      </c>
      <c r="J850" t="s">
        <v>1087</v>
      </c>
      <c r="K850" t="s">
        <v>2521</v>
      </c>
      <c r="L850" s="7" t="s">
        <v>1414</v>
      </c>
      <c r="M850" s="7" t="s">
        <v>1419</v>
      </c>
      <c r="N850" s="14">
        <f>Greenleaf[[#This Row],[Unit Price]]*Greenleaf[[#This Row],[Quantity Sold]]</f>
        <v>120</v>
      </c>
      <c r="O850" s="13">
        <f>Greenleaf[[#This Row],[Unit Cost]]*Greenleaf[[#This Row],[Quantity Sold]]</f>
        <v>30.6</v>
      </c>
      <c r="P850" s="13">
        <f>Greenleaf[[#This Row],[ Unit  price per quantity]]-Greenleaf[[#This Row],[ Unit cost per quantity]]</f>
        <v>89.4</v>
      </c>
      <c r="Q850" s="14">
        <f>Greenleaf[[#This Row],[Quantity Sold]]*Greenleaf[[#This Row],[Unit Price]]</f>
        <v>120</v>
      </c>
    </row>
    <row r="851" spans="1:17" x14ac:dyDescent="0.25">
      <c r="A851" t="s">
        <v>2277</v>
      </c>
      <c r="B851" s="5">
        <v>45598</v>
      </c>
      <c r="C851" s="5" t="str">
        <f>TEXT(Greenleaf[[#This Row],[Order Date]],"MMM")</f>
        <v>Nov</v>
      </c>
      <c r="D851" s="5" t="str">
        <f>TEXT(Greenleaf[[#This Row],[Order Date]],"YYYY")</f>
        <v>2024</v>
      </c>
      <c r="E851" t="s">
        <v>2462</v>
      </c>
      <c r="F851" s="7" t="s">
        <v>1013</v>
      </c>
      <c r="G851" s="9">
        <v>1</v>
      </c>
      <c r="H851" s="11">
        <v>25</v>
      </c>
      <c r="I851" s="13">
        <v>5.0999999999999996</v>
      </c>
      <c r="J851" t="s">
        <v>1056</v>
      </c>
      <c r="K851" t="s">
        <v>2492</v>
      </c>
      <c r="L851" s="7" t="s">
        <v>1414</v>
      </c>
      <c r="M851" s="7" t="s">
        <v>1420</v>
      </c>
      <c r="N851" s="14">
        <f>Greenleaf[[#This Row],[Unit Price]]*Greenleaf[[#This Row],[Quantity Sold]]</f>
        <v>25</v>
      </c>
      <c r="O851" s="13">
        <f>Greenleaf[[#This Row],[Unit Cost]]*Greenleaf[[#This Row],[Quantity Sold]]</f>
        <v>5.0999999999999996</v>
      </c>
      <c r="P851" s="13">
        <f>Greenleaf[[#This Row],[ Unit  price per quantity]]-Greenleaf[[#This Row],[ Unit cost per quantity]]</f>
        <v>19.899999999999999</v>
      </c>
      <c r="Q851" s="14">
        <f>Greenleaf[[#This Row],[Quantity Sold]]*Greenleaf[[#This Row],[Unit Price]]</f>
        <v>25</v>
      </c>
    </row>
    <row r="852" spans="1:17" x14ac:dyDescent="0.25">
      <c r="A852" t="s">
        <v>2278</v>
      </c>
      <c r="B852" s="5">
        <v>45599</v>
      </c>
      <c r="C852" s="5" t="str">
        <f>TEXT(Greenleaf[[#This Row],[Order Date]],"MMM")</f>
        <v>Nov</v>
      </c>
      <c r="D852" s="5" t="str">
        <f>TEXT(Greenleaf[[#This Row],[Order Date]],"YYYY")</f>
        <v>2024</v>
      </c>
      <c r="E852" t="s">
        <v>2462</v>
      </c>
      <c r="F852" s="7" t="s">
        <v>1013</v>
      </c>
      <c r="G852" s="9">
        <v>7</v>
      </c>
      <c r="H852" s="11">
        <v>25</v>
      </c>
      <c r="I852" s="13">
        <v>8.57</v>
      </c>
      <c r="J852" t="s">
        <v>1093</v>
      </c>
      <c r="K852" t="s">
        <v>2527</v>
      </c>
      <c r="L852" s="7" t="s">
        <v>1414</v>
      </c>
      <c r="M852" s="7" t="s">
        <v>1420</v>
      </c>
      <c r="N852" s="14">
        <f>Greenleaf[[#This Row],[Unit Price]]*Greenleaf[[#This Row],[Quantity Sold]]</f>
        <v>175</v>
      </c>
      <c r="O852" s="13">
        <f>Greenleaf[[#This Row],[Unit Cost]]*Greenleaf[[#This Row],[Quantity Sold]]</f>
        <v>59.99</v>
      </c>
      <c r="P852" s="13">
        <f>Greenleaf[[#This Row],[ Unit  price per quantity]]-Greenleaf[[#This Row],[ Unit cost per quantity]]</f>
        <v>115.00999999999999</v>
      </c>
      <c r="Q852" s="14">
        <f>Greenleaf[[#This Row],[Quantity Sold]]*Greenleaf[[#This Row],[Unit Price]]</f>
        <v>175</v>
      </c>
    </row>
    <row r="853" spans="1:17" x14ac:dyDescent="0.25">
      <c r="A853" t="s">
        <v>2279</v>
      </c>
      <c r="B853" s="5">
        <v>45599</v>
      </c>
      <c r="C853" s="5" t="str">
        <f>TEXT(Greenleaf[[#This Row],[Order Date]],"MMM")</f>
        <v>Nov</v>
      </c>
      <c r="D853" s="5" t="str">
        <f>TEXT(Greenleaf[[#This Row],[Order Date]],"YYYY")</f>
        <v>2024</v>
      </c>
      <c r="E853" t="s">
        <v>2464</v>
      </c>
      <c r="F853" s="7" t="s">
        <v>1012</v>
      </c>
      <c r="G853" s="9">
        <v>9</v>
      </c>
      <c r="H853" s="11">
        <v>40</v>
      </c>
      <c r="I853" s="13">
        <v>15.79</v>
      </c>
      <c r="J853" t="s">
        <v>1149</v>
      </c>
      <c r="K853" t="s">
        <v>2505</v>
      </c>
      <c r="L853" s="7" t="s">
        <v>1416</v>
      </c>
      <c r="M853" s="7" t="s">
        <v>1424</v>
      </c>
      <c r="N853" s="14">
        <f>Greenleaf[[#This Row],[Unit Price]]*Greenleaf[[#This Row],[Quantity Sold]]</f>
        <v>360</v>
      </c>
      <c r="O853" s="13">
        <f>Greenleaf[[#This Row],[Unit Cost]]*Greenleaf[[#This Row],[Quantity Sold]]</f>
        <v>142.10999999999999</v>
      </c>
      <c r="P853" s="13">
        <f>Greenleaf[[#This Row],[ Unit  price per quantity]]-Greenleaf[[#This Row],[ Unit cost per quantity]]</f>
        <v>217.89000000000001</v>
      </c>
      <c r="Q853" s="14">
        <f>Greenleaf[[#This Row],[Quantity Sold]]*Greenleaf[[#This Row],[Unit Price]]</f>
        <v>360</v>
      </c>
    </row>
    <row r="854" spans="1:17" x14ac:dyDescent="0.25">
      <c r="A854" t="s">
        <v>2280</v>
      </c>
      <c r="B854" s="5">
        <v>45599</v>
      </c>
      <c r="C854" s="5" t="str">
        <f>TEXT(Greenleaf[[#This Row],[Order Date]],"MMM")</f>
        <v>Nov</v>
      </c>
      <c r="D854" s="5" t="str">
        <f>TEXT(Greenleaf[[#This Row],[Order Date]],"YYYY")</f>
        <v>2024</v>
      </c>
      <c r="E854" t="s">
        <v>2460</v>
      </c>
      <c r="F854" s="7" t="s">
        <v>1015</v>
      </c>
      <c r="G854" s="9">
        <v>5</v>
      </c>
      <c r="H854" s="11">
        <v>10</v>
      </c>
      <c r="I854" s="13">
        <v>2.91</v>
      </c>
      <c r="J854" t="s">
        <v>1016</v>
      </c>
      <c r="K854" t="s">
        <v>2478</v>
      </c>
      <c r="L854" s="7" t="s">
        <v>1417</v>
      </c>
      <c r="M854" s="7" t="s">
        <v>1423</v>
      </c>
      <c r="N854" s="14">
        <f>Greenleaf[[#This Row],[Unit Price]]*Greenleaf[[#This Row],[Quantity Sold]]</f>
        <v>50</v>
      </c>
      <c r="O854" s="13">
        <f>Greenleaf[[#This Row],[Unit Cost]]*Greenleaf[[#This Row],[Quantity Sold]]</f>
        <v>14.55</v>
      </c>
      <c r="P854" s="13">
        <f>Greenleaf[[#This Row],[ Unit  price per quantity]]-Greenleaf[[#This Row],[ Unit cost per quantity]]</f>
        <v>35.450000000000003</v>
      </c>
      <c r="Q854" s="14">
        <f>Greenleaf[[#This Row],[Quantity Sold]]*Greenleaf[[#This Row],[Unit Price]]</f>
        <v>50</v>
      </c>
    </row>
    <row r="855" spans="1:17" x14ac:dyDescent="0.25">
      <c r="A855" t="s">
        <v>2281</v>
      </c>
      <c r="B855" s="5">
        <v>45600</v>
      </c>
      <c r="C855" s="5" t="str">
        <f>TEXT(Greenleaf[[#This Row],[Order Date]],"MMM")</f>
        <v>Nov</v>
      </c>
      <c r="D855" s="5" t="str">
        <f>TEXT(Greenleaf[[#This Row],[Order Date]],"YYYY")</f>
        <v>2024</v>
      </c>
      <c r="E855" t="s">
        <v>2460</v>
      </c>
      <c r="F855" s="7" t="s">
        <v>1015</v>
      </c>
      <c r="G855" s="9">
        <v>4</v>
      </c>
      <c r="H855" s="11">
        <v>10</v>
      </c>
      <c r="I855" s="13">
        <v>2.2200000000000002</v>
      </c>
      <c r="J855" t="s">
        <v>1024</v>
      </c>
      <c r="K855" t="s">
        <v>2518</v>
      </c>
      <c r="L855" s="7" t="s">
        <v>1417</v>
      </c>
      <c r="M855" s="7" t="s">
        <v>1418</v>
      </c>
      <c r="N855" s="14">
        <f>Greenleaf[[#This Row],[Unit Price]]*Greenleaf[[#This Row],[Quantity Sold]]</f>
        <v>40</v>
      </c>
      <c r="O855" s="13">
        <f>Greenleaf[[#This Row],[Unit Cost]]*Greenleaf[[#This Row],[Quantity Sold]]</f>
        <v>8.8800000000000008</v>
      </c>
      <c r="P855" s="13">
        <f>Greenleaf[[#This Row],[ Unit  price per quantity]]-Greenleaf[[#This Row],[ Unit cost per quantity]]</f>
        <v>31.119999999999997</v>
      </c>
      <c r="Q855" s="14">
        <f>Greenleaf[[#This Row],[Quantity Sold]]*Greenleaf[[#This Row],[Unit Price]]</f>
        <v>40</v>
      </c>
    </row>
    <row r="856" spans="1:17" x14ac:dyDescent="0.25">
      <c r="A856" t="s">
        <v>2282</v>
      </c>
      <c r="B856" s="5">
        <v>45600</v>
      </c>
      <c r="C856" s="5" t="str">
        <f>TEXT(Greenleaf[[#This Row],[Order Date]],"MMM")</f>
        <v>Nov</v>
      </c>
      <c r="D856" s="5" t="str">
        <f>TEXT(Greenleaf[[#This Row],[Order Date]],"YYYY")</f>
        <v>2024</v>
      </c>
      <c r="E856" t="s">
        <v>2462</v>
      </c>
      <c r="F856" s="7" t="s">
        <v>1013</v>
      </c>
      <c r="G856" s="9">
        <v>1</v>
      </c>
      <c r="H856" s="11">
        <v>25</v>
      </c>
      <c r="I856" s="13">
        <v>8.4499999999999993</v>
      </c>
      <c r="J856" t="s">
        <v>1106</v>
      </c>
      <c r="K856" t="s">
        <v>2565</v>
      </c>
      <c r="L856" s="7" t="s">
        <v>1415</v>
      </c>
      <c r="M856" s="7" t="s">
        <v>1421</v>
      </c>
      <c r="N856" s="14">
        <f>Greenleaf[[#This Row],[Unit Price]]*Greenleaf[[#This Row],[Quantity Sold]]</f>
        <v>25</v>
      </c>
      <c r="O856" s="13">
        <f>Greenleaf[[#This Row],[Unit Cost]]*Greenleaf[[#This Row],[Quantity Sold]]</f>
        <v>8.4499999999999993</v>
      </c>
      <c r="P856" s="13">
        <f>Greenleaf[[#This Row],[ Unit  price per quantity]]-Greenleaf[[#This Row],[ Unit cost per quantity]]</f>
        <v>16.55</v>
      </c>
      <c r="Q856" s="14">
        <f>Greenleaf[[#This Row],[Quantity Sold]]*Greenleaf[[#This Row],[Unit Price]]</f>
        <v>25</v>
      </c>
    </row>
    <row r="857" spans="1:17" x14ac:dyDescent="0.25">
      <c r="A857" t="s">
        <v>2283</v>
      </c>
      <c r="B857" s="5">
        <v>45601</v>
      </c>
      <c r="C857" s="5" t="str">
        <f>TEXT(Greenleaf[[#This Row],[Order Date]],"MMM")</f>
        <v>Nov</v>
      </c>
      <c r="D857" s="5" t="str">
        <f>TEXT(Greenleaf[[#This Row],[Order Date]],"YYYY")</f>
        <v>2024</v>
      </c>
      <c r="E857" t="s">
        <v>2463</v>
      </c>
      <c r="F857" s="7" t="s">
        <v>1014</v>
      </c>
      <c r="G857" s="9">
        <v>3</v>
      </c>
      <c r="H857" s="11">
        <v>15</v>
      </c>
      <c r="I857" s="13">
        <v>3.12</v>
      </c>
      <c r="J857" t="s">
        <v>1046</v>
      </c>
      <c r="K857" t="s">
        <v>2500</v>
      </c>
      <c r="L857" s="7" t="s">
        <v>1416</v>
      </c>
      <c r="M857" s="7" t="s">
        <v>1424</v>
      </c>
      <c r="N857" s="14">
        <f>Greenleaf[[#This Row],[Unit Price]]*Greenleaf[[#This Row],[Quantity Sold]]</f>
        <v>45</v>
      </c>
      <c r="O857" s="13">
        <f>Greenleaf[[#This Row],[Unit Cost]]*Greenleaf[[#This Row],[Quantity Sold]]</f>
        <v>9.36</v>
      </c>
      <c r="P857" s="13">
        <f>Greenleaf[[#This Row],[ Unit  price per quantity]]-Greenleaf[[#This Row],[ Unit cost per quantity]]</f>
        <v>35.64</v>
      </c>
      <c r="Q857" s="14">
        <f>Greenleaf[[#This Row],[Quantity Sold]]*Greenleaf[[#This Row],[Unit Price]]</f>
        <v>45</v>
      </c>
    </row>
    <row r="858" spans="1:17" x14ac:dyDescent="0.25">
      <c r="A858" t="s">
        <v>2284</v>
      </c>
      <c r="B858" s="5">
        <v>45601</v>
      </c>
      <c r="C858" s="5" t="str">
        <f>TEXT(Greenleaf[[#This Row],[Order Date]],"MMM")</f>
        <v>Nov</v>
      </c>
      <c r="D858" s="5" t="str">
        <f>TEXT(Greenleaf[[#This Row],[Order Date]],"YYYY")</f>
        <v>2024</v>
      </c>
      <c r="E858" t="s">
        <v>2462</v>
      </c>
      <c r="F858" s="7" t="s">
        <v>1013</v>
      </c>
      <c r="G858" s="9">
        <v>7</v>
      </c>
      <c r="H858" s="11">
        <v>25</v>
      </c>
      <c r="I858" s="13">
        <v>7.96</v>
      </c>
      <c r="J858" t="s">
        <v>1022</v>
      </c>
      <c r="K858" t="s">
        <v>2551</v>
      </c>
      <c r="L858" s="7" t="s">
        <v>1414</v>
      </c>
      <c r="M858" s="7" t="s">
        <v>1425</v>
      </c>
      <c r="N858" s="14">
        <f>Greenleaf[[#This Row],[Unit Price]]*Greenleaf[[#This Row],[Quantity Sold]]</f>
        <v>175</v>
      </c>
      <c r="O858" s="13">
        <f>Greenleaf[[#This Row],[Unit Cost]]*Greenleaf[[#This Row],[Quantity Sold]]</f>
        <v>55.72</v>
      </c>
      <c r="P858" s="13">
        <f>Greenleaf[[#This Row],[ Unit  price per quantity]]-Greenleaf[[#This Row],[ Unit cost per quantity]]</f>
        <v>119.28</v>
      </c>
      <c r="Q858" s="14">
        <f>Greenleaf[[#This Row],[Quantity Sold]]*Greenleaf[[#This Row],[Unit Price]]</f>
        <v>175</v>
      </c>
    </row>
    <row r="859" spans="1:17" x14ac:dyDescent="0.25">
      <c r="A859" t="s">
        <v>2285</v>
      </c>
      <c r="B859" s="5">
        <v>45602</v>
      </c>
      <c r="C859" s="5" t="str">
        <f>TEXT(Greenleaf[[#This Row],[Order Date]],"MMM")</f>
        <v>Nov</v>
      </c>
      <c r="D859" s="5" t="str">
        <f>TEXT(Greenleaf[[#This Row],[Order Date]],"YYYY")</f>
        <v>2024</v>
      </c>
      <c r="E859" t="s">
        <v>2460</v>
      </c>
      <c r="F859" s="7" t="s">
        <v>1015</v>
      </c>
      <c r="G859" s="9">
        <v>10</v>
      </c>
      <c r="H859" s="11">
        <v>10</v>
      </c>
      <c r="I859" s="13">
        <v>3.97</v>
      </c>
      <c r="J859" t="s">
        <v>1206</v>
      </c>
      <c r="K859" t="s">
        <v>2507</v>
      </c>
      <c r="L859" s="7" t="s">
        <v>1414</v>
      </c>
      <c r="M859" s="7" t="s">
        <v>1424</v>
      </c>
      <c r="N859" s="14">
        <f>Greenleaf[[#This Row],[Unit Price]]*Greenleaf[[#This Row],[Quantity Sold]]</f>
        <v>100</v>
      </c>
      <c r="O859" s="13">
        <f>Greenleaf[[#This Row],[Unit Cost]]*Greenleaf[[#This Row],[Quantity Sold]]</f>
        <v>39.700000000000003</v>
      </c>
      <c r="P859" s="13">
        <f>Greenleaf[[#This Row],[ Unit  price per quantity]]-Greenleaf[[#This Row],[ Unit cost per quantity]]</f>
        <v>60.3</v>
      </c>
      <c r="Q859" s="14">
        <f>Greenleaf[[#This Row],[Quantity Sold]]*Greenleaf[[#This Row],[Unit Price]]</f>
        <v>100</v>
      </c>
    </row>
    <row r="860" spans="1:17" x14ac:dyDescent="0.25">
      <c r="A860" t="s">
        <v>2286</v>
      </c>
      <c r="B860" s="5">
        <v>45602</v>
      </c>
      <c r="C860" s="5" t="str">
        <f>TEXT(Greenleaf[[#This Row],[Order Date]],"MMM")</f>
        <v>Nov</v>
      </c>
      <c r="D860" s="5" t="str">
        <f>TEXT(Greenleaf[[#This Row],[Order Date]],"YYYY")</f>
        <v>2024</v>
      </c>
      <c r="E860" t="s">
        <v>2460</v>
      </c>
      <c r="F860" s="7" t="s">
        <v>1015</v>
      </c>
      <c r="G860" s="9">
        <v>7</v>
      </c>
      <c r="H860" s="11">
        <v>10</v>
      </c>
      <c r="I860" s="13">
        <v>3.07</v>
      </c>
      <c r="J860" t="s">
        <v>1132</v>
      </c>
      <c r="K860" t="s">
        <v>2507</v>
      </c>
      <c r="L860" s="7" t="s">
        <v>1414</v>
      </c>
      <c r="M860" s="7" t="s">
        <v>1420</v>
      </c>
      <c r="N860" s="14">
        <f>Greenleaf[[#This Row],[Unit Price]]*Greenleaf[[#This Row],[Quantity Sold]]</f>
        <v>70</v>
      </c>
      <c r="O860" s="13">
        <f>Greenleaf[[#This Row],[Unit Cost]]*Greenleaf[[#This Row],[Quantity Sold]]</f>
        <v>21.49</v>
      </c>
      <c r="P860" s="13">
        <f>Greenleaf[[#This Row],[ Unit  price per quantity]]-Greenleaf[[#This Row],[ Unit cost per quantity]]</f>
        <v>48.510000000000005</v>
      </c>
      <c r="Q860" s="14">
        <f>Greenleaf[[#This Row],[Quantity Sold]]*Greenleaf[[#This Row],[Unit Price]]</f>
        <v>70</v>
      </c>
    </row>
    <row r="861" spans="1:17" x14ac:dyDescent="0.25">
      <c r="A861" t="s">
        <v>2287</v>
      </c>
      <c r="B861" s="5">
        <v>45603</v>
      </c>
      <c r="C861" s="5" t="str">
        <f>TEXT(Greenleaf[[#This Row],[Order Date]],"MMM")</f>
        <v>Nov</v>
      </c>
      <c r="D861" s="5" t="str">
        <f>TEXT(Greenleaf[[#This Row],[Order Date]],"YYYY")</f>
        <v>2024</v>
      </c>
      <c r="E861" t="s">
        <v>2463</v>
      </c>
      <c r="F861" s="7" t="s">
        <v>1014</v>
      </c>
      <c r="G861" s="9">
        <v>2</v>
      </c>
      <c r="H861" s="11">
        <v>15</v>
      </c>
      <c r="I861" s="13">
        <v>5.34</v>
      </c>
      <c r="J861" t="s">
        <v>1126</v>
      </c>
      <c r="K861" t="s">
        <v>2499</v>
      </c>
      <c r="L861" s="7" t="s">
        <v>1414</v>
      </c>
      <c r="M861" s="7" t="s">
        <v>1420</v>
      </c>
      <c r="N861" s="14">
        <f>Greenleaf[[#This Row],[Unit Price]]*Greenleaf[[#This Row],[Quantity Sold]]</f>
        <v>30</v>
      </c>
      <c r="O861" s="13">
        <f>Greenleaf[[#This Row],[Unit Cost]]*Greenleaf[[#This Row],[Quantity Sold]]</f>
        <v>10.68</v>
      </c>
      <c r="P861" s="13">
        <f>Greenleaf[[#This Row],[ Unit  price per quantity]]-Greenleaf[[#This Row],[ Unit cost per quantity]]</f>
        <v>19.32</v>
      </c>
      <c r="Q861" s="14">
        <f>Greenleaf[[#This Row],[Quantity Sold]]*Greenleaf[[#This Row],[Unit Price]]</f>
        <v>30</v>
      </c>
    </row>
    <row r="862" spans="1:17" x14ac:dyDescent="0.25">
      <c r="A862" t="s">
        <v>2288</v>
      </c>
      <c r="B862" s="5">
        <v>45604</v>
      </c>
      <c r="C862" s="5" t="str">
        <f>TEXT(Greenleaf[[#This Row],[Order Date]],"MMM")</f>
        <v>Nov</v>
      </c>
      <c r="D862" s="5" t="str">
        <f>TEXT(Greenleaf[[#This Row],[Order Date]],"YYYY")</f>
        <v>2024</v>
      </c>
      <c r="E862" t="s">
        <v>2463</v>
      </c>
      <c r="F862" s="7" t="s">
        <v>1014</v>
      </c>
      <c r="G862" s="9">
        <v>6</v>
      </c>
      <c r="H862" s="11">
        <v>15</v>
      </c>
      <c r="I862" s="13">
        <v>5.79</v>
      </c>
      <c r="J862" t="s">
        <v>1025</v>
      </c>
      <c r="K862" t="s">
        <v>2471</v>
      </c>
      <c r="L862" s="7" t="s">
        <v>1417</v>
      </c>
      <c r="M862" s="7" t="s">
        <v>1423</v>
      </c>
      <c r="N862" s="14">
        <f>Greenleaf[[#This Row],[Unit Price]]*Greenleaf[[#This Row],[Quantity Sold]]</f>
        <v>90</v>
      </c>
      <c r="O862" s="13">
        <f>Greenleaf[[#This Row],[Unit Cost]]*Greenleaf[[#This Row],[Quantity Sold]]</f>
        <v>34.74</v>
      </c>
      <c r="P862" s="13">
        <f>Greenleaf[[#This Row],[ Unit  price per quantity]]-Greenleaf[[#This Row],[ Unit cost per quantity]]</f>
        <v>55.26</v>
      </c>
      <c r="Q862" s="14">
        <f>Greenleaf[[#This Row],[Quantity Sold]]*Greenleaf[[#This Row],[Unit Price]]</f>
        <v>90</v>
      </c>
    </row>
    <row r="863" spans="1:17" x14ac:dyDescent="0.25">
      <c r="A863" t="s">
        <v>2289</v>
      </c>
      <c r="B863" s="5">
        <v>45604</v>
      </c>
      <c r="C863" s="5" t="str">
        <f>TEXT(Greenleaf[[#This Row],[Order Date]],"MMM")</f>
        <v>Nov</v>
      </c>
      <c r="D863" s="5" t="str">
        <f>TEXT(Greenleaf[[#This Row],[Order Date]],"YYYY")</f>
        <v>2024</v>
      </c>
      <c r="E863" t="s">
        <v>2460</v>
      </c>
      <c r="F863" s="7" t="s">
        <v>1015</v>
      </c>
      <c r="G863" s="9">
        <v>5</v>
      </c>
      <c r="H863" s="11">
        <v>10</v>
      </c>
      <c r="I863" s="13">
        <v>3.82</v>
      </c>
      <c r="J863" t="s">
        <v>1066</v>
      </c>
      <c r="K863" t="s">
        <v>2487</v>
      </c>
      <c r="L863" s="7" t="s">
        <v>1414</v>
      </c>
      <c r="M863" s="7" t="s">
        <v>1419</v>
      </c>
      <c r="N863" s="14">
        <f>Greenleaf[[#This Row],[Unit Price]]*Greenleaf[[#This Row],[Quantity Sold]]</f>
        <v>50</v>
      </c>
      <c r="O863" s="13">
        <f>Greenleaf[[#This Row],[Unit Cost]]*Greenleaf[[#This Row],[Quantity Sold]]</f>
        <v>19.099999999999998</v>
      </c>
      <c r="P863" s="13">
        <f>Greenleaf[[#This Row],[ Unit  price per quantity]]-Greenleaf[[#This Row],[ Unit cost per quantity]]</f>
        <v>30.900000000000002</v>
      </c>
      <c r="Q863" s="14">
        <f>Greenleaf[[#This Row],[Quantity Sold]]*Greenleaf[[#This Row],[Unit Price]]</f>
        <v>50</v>
      </c>
    </row>
    <row r="864" spans="1:17" x14ac:dyDescent="0.25">
      <c r="A864" t="s">
        <v>2290</v>
      </c>
      <c r="B864" s="5">
        <v>45604</v>
      </c>
      <c r="C864" s="5" t="str">
        <f>TEXT(Greenleaf[[#This Row],[Order Date]],"MMM")</f>
        <v>Nov</v>
      </c>
      <c r="D864" s="5" t="str">
        <f>TEXT(Greenleaf[[#This Row],[Order Date]],"YYYY")</f>
        <v>2024</v>
      </c>
      <c r="E864" t="s">
        <v>2460</v>
      </c>
      <c r="F864" s="7" t="s">
        <v>1015</v>
      </c>
      <c r="G864" s="9">
        <v>1</v>
      </c>
      <c r="H864" s="11">
        <v>10</v>
      </c>
      <c r="I864" s="13">
        <v>2</v>
      </c>
      <c r="J864" t="s">
        <v>1113</v>
      </c>
      <c r="K864" t="s">
        <v>2540</v>
      </c>
      <c r="L864" s="7" t="s">
        <v>1417</v>
      </c>
      <c r="M864" s="7" t="s">
        <v>1421</v>
      </c>
      <c r="N864" s="14">
        <f>Greenleaf[[#This Row],[Unit Price]]*Greenleaf[[#This Row],[Quantity Sold]]</f>
        <v>10</v>
      </c>
      <c r="O864" s="13">
        <f>Greenleaf[[#This Row],[Unit Cost]]*Greenleaf[[#This Row],[Quantity Sold]]</f>
        <v>2</v>
      </c>
      <c r="P864" s="13">
        <f>Greenleaf[[#This Row],[ Unit  price per quantity]]-Greenleaf[[#This Row],[ Unit cost per quantity]]</f>
        <v>8</v>
      </c>
      <c r="Q864" s="14">
        <f>Greenleaf[[#This Row],[Quantity Sold]]*Greenleaf[[#This Row],[Unit Price]]</f>
        <v>10</v>
      </c>
    </row>
    <row r="865" spans="1:17" x14ac:dyDescent="0.25">
      <c r="A865" t="s">
        <v>2291</v>
      </c>
      <c r="B865" s="5">
        <v>45605</v>
      </c>
      <c r="C865" s="5" t="str">
        <f>TEXT(Greenleaf[[#This Row],[Order Date]],"MMM")</f>
        <v>Nov</v>
      </c>
      <c r="D865" s="5" t="str">
        <f>TEXT(Greenleaf[[#This Row],[Order Date]],"YYYY")</f>
        <v>2024</v>
      </c>
      <c r="E865" t="s">
        <v>2460</v>
      </c>
      <c r="F865" s="7" t="s">
        <v>1015</v>
      </c>
      <c r="G865" s="9">
        <v>3</v>
      </c>
      <c r="H865" s="11">
        <v>10</v>
      </c>
      <c r="I865" s="13">
        <v>2.39</v>
      </c>
      <c r="J865" t="s">
        <v>1028</v>
      </c>
      <c r="K865" t="s">
        <v>2555</v>
      </c>
      <c r="L865" s="7" t="s">
        <v>1416</v>
      </c>
      <c r="M865" s="7" t="s">
        <v>1423</v>
      </c>
      <c r="N865" s="14">
        <f>Greenleaf[[#This Row],[Unit Price]]*Greenleaf[[#This Row],[Quantity Sold]]</f>
        <v>30</v>
      </c>
      <c r="O865" s="13">
        <f>Greenleaf[[#This Row],[Unit Cost]]*Greenleaf[[#This Row],[Quantity Sold]]</f>
        <v>7.17</v>
      </c>
      <c r="P865" s="13">
        <f>Greenleaf[[#This Row],[ Unit  price per quantity]]-Greenleaf[[#This Row],[ Unit cost per quantity]]</f>
        <v>22.83</v>
      </c>
      <c r="Q865" s="14">
        <f>Greenleaf[[#This Row],[Quantity Sold]]*Greenleaf[[#This Row],[Unit Price]]</f>
        <v>30</v>
      </c>
    </row>
    <row r="866" spans="1:17" x14ac:dyDescent="0.25">
      <c r="A866" t="s">
        <v>2292</v>
      </c>
      <c r="B866" s="5">
        <v>45605</v>
      </c>
      <c r="C866" s="5" t="str">
        <f>TEXT(Greenleaf[[#This Row],[Order Date]],"MMM")</f>
        <v>Nov</v>
      </c>
      <c r="D866" s="5" t="str">
        <f>TEXT(Greenleaf[[#This Row],[Order Date]],"YYYY")</f>
        <v>2024</v>
      </c>
      <c r="E866" t="s">
        <v>2460</v>
      </c>
      <c r="F866" s="7" t="s">
        <v>1015</v>
      </c>
      <c r="G866" s="9">
        <v>5</v>
      </c>
      <c r="H866" s="11">
        <v>10</v>
      </c>
      <c r="I866" s="13">
        <v>2.48</v>
      </c>
      <c r="J866" t="s">
        <v>1187</v>
      </c>
      <c r="K866" t="s">
        <v>2550</v>
      </c>
      <c r="L866" s="7" t="s">
        <v>1415</v>
      </c>
      <c r="M866" s="7" t="s">
        <v>1421</v>
      </c>
      <c r="N866" s="14">
        <f>Greenleaf[[#This Row],[Unit Price]]*Greenleaf[[#This Row],[Quantity Sold]]</f>
        <v>50</v>
      </c>
      <c r="O866" s="13">
        <f>Greenleaf[[#This Row],[Unit Cost]]*Greenleaf[[#This Row],[Quantity Sold]]</f>
        <v>12.4</v>
      </c>
      <c r="P866" s="13">
        <f>Greenleaf[[#This Row],[ Unit  price per quantity]]-Greenleaf[[#This Row],[ Unit cost per quantity]]</f>
        <v>37.6</v>
      </c>
      <c r="Q866" s="14">
        <f>Greenleaf[[#This Row],[Quantity Sold]]*Greenleaf[[#This Row],[Unit Price]]</f>
        <v>50</v>
      </c>
    </row>
    <row r="867" spans="1:17" x14ac:dyDescent="0.25">
      <c r="A867" t="s">
        <v>2293</v>
      </c>
      <c r="B867" s="5">
        <v>45606</v>
      </c>
      <c r="C867" s="5" t="str">
        <f>TEXT(Greenleaf[[#This Row],[Order Date]],"MMM")</f>
        <v>Nov</v>
      </c>
      <c r="D867" s="5" t="str">
        <f>TEXT(Greenleaf[[#This Row],[Order Date]],"YYYY")</f>
        <v>2024</v>
      </c>
      <c r="E867" t="s">
        <v>2462</v>
      </c>
      <c r="F867" s="7" t="s">
        <v>1013</v>
      </c>
      <c r="G867" s="9">
        <v>4</v>
      </c>
      <c r="H867" s="11">
        <v>25</v>
      </c>
      <c r="I867" s="13">
        <v>6.48</v>
      </c>
      <c r="J867" t="s">
        <v>1116</v>
      </c>
      <c r="K867" t="s">
        <v>2486</v>
      </c>
      <c r="L867" s="7" t="s">
        <v>1414</v>
      </c>
      <c r="M867" s="7" t="s">
        <v>1427</v>
      </c>
      <c r="N867" s="14">
        <f>Greenleaf[[#This Row],[Unit Price]]*Greenleaf[[#This Row],[Quantity Sold]]</f>
        <v>100</v>
      </c>
      <c r="O867" s="13">
        <f>Greenleaf[[#This Row],[Unit Cost]]*Greenleaf[[#This Row],[Quantity Sold]]</f>
        <v>25.92</v>
      </c>
      <c r="P867" s="13">
        <f>Greenleaf[[#This Row],[ Unit  price per quantity]]-Greenleaf[[#This Row],[ Unit cost per quantity]]</f>
        <v>74.08</v>
      </c>
      <c r="Q867" s="14">
        <f>Greenleaf[[#This Row],[Quantity Sold]]*Greenleaf[[#This Row],[Unit Price]]</f>
        <v>100</v>
      </c>
    </row>
    <row r="868" spans="1:17" x14ac:dyDescent="0.25">
      <c r="A868" t="s">
        <v>2294</v>
      </c>
      <c r="B868" s="5">
        <v>45606</v>
      </c>
      <c r="C868" s="5" t="str">
        <f>TEXT(Greenleaf[[#This Row],[Order Date]],"MMM")</f>
        <v>Nov</v>
      </c>
      <c r="D868" s="5" t="str">
        <f>TEXT(Greenleaf[[#This Row],[Order Date]],"YYYY")</f>
        <v>2024</v>
      </c>
      <c r="E868" t="s">
        <v>2461</v>
      </c>
      <c r="F868" s="7" t="s">
        <v>1011</v>
      </c>
      <c r="G868" s="9">
        <v>8</v>
      </c>
      <c r="H868" s="11">
        <v>12</v>
      </c>
      <c r="I868" s="13">
        <v>3.72</v>
      </c>
      <c r="J868" t="s">
        <v>1089</v>
      </c>
      <c r="K868" t="s">
        <v>2528</v>
      </c>
      <c r="L868" s="7" t="s">
        <v>1416</v>
      </c>
      <c r="M868" s="7" t="s">
        <v>1424</v>
      </c>
      <c r="N868" s="14">
        <f>Greenleaf[[#This Row],[Unit Price]]*Greenleaf[[#This Row],[Quantity Sold]]</f>
        <v>96</v>
      </c>
      <c r="O868" s="13">
        <f>Greenleaf[[#This Row],[Unit Cost]]*Greenleaf[[#This Row],[Quantity Sold]]</f>
        <v>29.76</v>
      </c>
      <c r="P868" s="13">
        <f>Greenleaf[[#This Row],[ Unit  price per quantity]]-Greenleaf[[#This Row],[ Unit cost per quantity]]</f>
        <v>66.239999999999995</v>
      </c>
      <c r="Q868" s="14">
        <f>Greenleaf[[#This Row],[Quantity Sold]]*Greenleaf[[#This Row],[Unit Price]]</f>
        <v>96</v>
      </c>
    </row>
    <row r="869" spans="1:17" x14ac:dyDescent="0.25">
      <c r="A869" t="s">
        <v>2295</v>
      </c>
      <c r="B869" s="5">
        <v>45606</v>
      </c>
      <c r="C869" s="5" t="str">
        <f>TEXT(Greenleaf[[#This Row],[Order Date]],"MMM")</f>
        <v>Nov</v>
      </c>
      <c r="D869" s="5" t="str">
        <f>TEXT(Greenleaf[[#This Row],[Order Date]],"YYYY")</f>
        <v>2024</v>
      </c>
      <c r="E869" t="s">
        <v>2461</v>
      </c>
      <c r="F869" s="7" t="s">
        <v>1011</v>
      </c>
      <c r="G869" s="9">
        <v>8</v>
      </c>
      <c r="H869" s="11">
        <v>12</v>
      </c>
      <c r="I869" s="13">
        <v>3.33</v>
      </c>
      <c r="J869" t="s">
        <v>1182</v>
      </c>
      <c r="K869" t="s">
        <v>2580</v>
      </c>
      <c r="L869" s="7" t="s">
        <v>1414</v>
      </c>
      <c r="M869" s="7" t="s">
        <v>1418</v>
      </c>
      <c r="N869" s="14">
        <f>Greenleaf[[#This Row],[Unit Price]]*Greenleaf[[#This Row],[Quantity Sold]]</f>
        <v>96</v>
      </c>
      <c r="O869" s="13">
        <f>Greenleaf[[#This Row],[Unit Cost]]*Greenleaf[[#This Row],[Quantity Sold]]</f>
        <v>26.64</v>
      </c>
      <c r="P869" s="13">
        <f>Greenleaf[[#This Row],[ Unit  price per quantity]]-Greenleaf[[#This Row],[ Unit cost per quantity]]</f>
        <v>69.36</v>
      </c>
      <c r="Q869" s="14">
        <f>Greenleaf[[#This Row],[Quantity Sold]]*Greenleaf[[#This Row],[Unit Price]]</f>
        <v>96</v>
      </c>
    </row>
    <row r="870" spans="1:17" x14ac:dyDescent="0.25">
      <c r="A870" t="s">
        <v>2296</v>
      </c>
      <c r="B870" s="5">
        <v>45606</v>
      </c>
      <c r="C870" s="5" t="str">
        <f>TEXT(Greenleaf[[#This Row],[Order Date]],"MMM")</f>
        <v>Nov</v>
      </c>
      <c r="D870" s="5" t="str">
        <f>TEXT(Greenleaf[[#This Row],[Order Date]],"YYYY")</f>
        <v>2024</v>
      </c>
      <c r="E870" t="s">
        <v>2460</v>
      </c>
      <c r="F870" s="7" t="s">
        <v>1015</v>
      </c>
      <c r="G870" s="9">
        <v>4</v>
      </c>
      <c r="H870" s="11">
        <v>10</v>
      </c>
      <c r="I870" s="13">
        <v>2.23</v>
      </c>
      <c r="J870" t="s">
        <v>1018</v>
      </c>
      <c r="K870" t="s">
        <v>2593</v>
      </c>
      <c r="L870" s="7" t="s">
        <v>1414</v>
      </c>
      <c r="M870" s="7" t="s">
        <v>1426</v>
      </c>
      <c r="N870" s="14">
        <f>Greenleaf[[#This Row],[Unit Price]]*Greenleaf[[#This Row],[Quantity Sold]]</f>
        <v>40</v>
      </c>
      <c r="O870" s="13">
        <f>Greenleaf[[#This Row],[Unit Cost]]*Greenleaf[[#This Row],[Quantity Sold]]</f>
        <v>8.92</v>
      </c>
      <c r="P870" s="13">
        <f>Greenleaf[[#This Row],[ Unit  price per quantity]]-Greenleaf[[#This Row],[ Unit cost per quantity]]</f>
        <v>31.08</v>
      </c>
      <c r="Q870" s="14">
        <f>Greenleaf[[#This Row],[Quantity Sold]]*Greenleaf[[#This Row],[Unit Price]]</f>
        <v>40</v>
      </c>
    </row>
    <row r="871" spans="1:17" x14ac:dyDescent="0.25">
      <c r="A871" t="s">
        <v>2297</v>
      </c>
      <c r="B871" s="5">
        <v>45607</v>
      </c>
      <c r="C871" s="5" t="str">
        <f>TEXT(Greenleaf[[#This Row],[Order Date]],"MMM")</f>
        <v>Nov</v>
      </c>
      <c r="D871" s="5" t="str">
        <f>TEXT(Greenleaf[[#This Row],[Order Date]],"YYYY")</f>
        <v>2024</v>
      </c>
      <c r="E871" t="s">
        <v>2464</v>
      </c>
      <c r="F871" s="7" t="s">
        <v>1012</v>
      </c>
      <c r="G871" s="9">
        <v>4</v>
      </c>
      <c r="H871" s="11">
        <v>40</v>
      </c>
      <c r="I871" s="13">
        <v>13.67</v>
      </c>
      <c r="J871" t="s">
        <v>1164</v>
      </c>
      <c r="K871" t="s">
        <v>2567</v>
      </c>
      <c r="L871" s="7" t="s">
        <v>1414</v>
      </c>
      <c r="M871" s="7" t="s">
        <v>1423</v>
      </c>
      <c r="N871" s="14">
        <f>Greenleaf[[#This Row],[Unit Price]]*Greenleaf[[#This Row],[Quantity Sold]]</f>
        <v>160</v>
      </c>
      <c r="O871" s="13">
        <f>Greenleaf[[#This Row],[Unit Cost]]*Greenleaf[[#This Row],[Quantity Sold]]</f>
        <v>54.68</v>
      </c>
      <c r="P871" s="13">
        <f>Greenleaf[[#This Row],[ Unit  price per quantity]]-Greenleaf[[#This Row],[ Unit cost per quantity]]</f>
        <v>105.32</v>
      </c>
      <c r="Q871" s="14">
        <f>Greenleaf[[#This Row],[Quantity Sold]]*Greenleaf[[#This Row],[Unit Price]]</f>
        <v>160</v>
      </c>
    </row>
    <row r="872" spans="1:17" x14ac:dyDescent="0.25">
      <c r="A872" t="s">
        <v>2298</v>
      </c>
      <c r="B872" s="5">
        <v>45607</v>
      </c>
      <c r="C872" s="5" t="str">
        <f>TEXT(Greenleaf[[#This Row],[Order Date]],"MMM")</f>
        <v>Nov</v>
      </c>
      <c r="D872" s="5" t="str">
        <f>TEXT(Greenleaf[[#This Row],[Order Date]],"YYYY")</f>
        <v>2024</v>
      </c>
      <c r="E872" t="s">
        <v>2464</v>
      </c>
      <c r="F872" s="7" t="s">
        <v>1012</v>
      </c>
      <c r="G872" s="9">
        <v>10</v>
      </c>
      <c r="H872" s="11">
        <v>40</v>
      </c>
      <c r="I872" s="13">
        <v>8.85</v>
      </c>
      <c r="J872" t="s">
        <v>1121</v>
      </c>
      <c r="K872" t="s">
        <v>2509</v>
      </c>
      <c r="L872" s="7" t="s">
        <v>1414</v>
      </c>
      <c r="M872" s="7" t="s">
        <v>1422</v>
      </c>
      <c r="N872" s="14">
        <f>Greenleaf[[#This Row],[Unit Price]]*Greenleaf[[#This Row],[Quantity Sold]]</f>
        <v>400</v>
      </c>
      <c r="O872" s="13">
        <f>Greenleaf[[#This Row],[Unit Cost]]*Greenleaf[[#This Row],[Quantity Sold]]</f>
        <v>88.5</v>
      </c>
      <c r="P872" s="13">
        <f>Greenleaf[[#This Row],[ Unit  price per quantity]]-Greenleaf[[#This Row],[ Unit cost per quantity]]</f>
        <v>311.5</v>
      </c>
      <c r="Q872" s="14">
        <f>Greenleaf[[#This Row],[Quantity Sold]]*Greenleaf[[#This Row],[Unit Price]]</f>
        <v>400</v>
      </c>
    </row>
    <row r="873" spans="1:17" x14ac:dyDescent="0.25">
      <c r="A873" t="s">
        <v>2299</v>
      </c>
      <c r="B873" s="5">
        <v>45607</v>
      </c>
      <c r="C873" s="5" t="str">
        <f>TEXT(Greenleaf[[#This Row],[Order Date]],"MMM")</f>
        <v>Nov</v>
      </c>
      <c r="D873" s="5" t="str">
        <f>TEXT(Greenleaf[[#This Row],[Order Date]],"YYYY")</f>
        <v>2024</v>
      </c>
      <c r="E873" t="s">
        <v>2461</v>
      </c>
      <c r="F873" s="7" t="s">
        <v>1011</v>
      </c>
      <c r="G873" s="9">
        <v>9</v>
      </c>
      <c r="H873" s="11">
        <v>12</v>
      </c>
      <c r="I873" s="13">
        <v>2.5499999999999998</v>
      </c>
      <c r="J873" t="s">
        <v>1033</v>
      </c>
      <c r="K873" t="s">
        <v>2594</v>
      </c>
      <c r="L873" s="7" t="s">
        <v>1414</v>
      </c>
      <c r="M873" s="7" t="s">
        <v>1419</v>
      </c>
      <c r="N873" s="14">
        <f>Greenleaf[[#This Row],[Unit Price]]*Greenleaf[[#This Row],[Quantity Sold]]</f>
        <v>108</v>
      </c>
      <c r="O873" s="13">
        <f>Greenleaf[[#This Row],[Unit Cost]]*Greenleaf[[#This Row],[Quantity Sold]]</f>
        <v>22.95</v>
      </c>
      <c r="P873" s="13">
        <f>Greenleaf[[#This Row],[ Unit  price per quantity]]-Greenleaf[[#This Row],[ Unit cost per quantity]]</f>
        <v>85.05</v>
      </c>
      <c r="Q873" s="14">
        <f>Greenleaf[[#This Row],[Quantity Sold]]*Greenleaf[[#This Row],[Unit Price]]</f>
        <v>108</v>
      </c>
    </row>
    <row r="874" spans="1:17" x14ac:dyDescent="0.25">
      <c r="A874" t="s">
        <v>2300</v>
      </c>
      <c r="B874" s="5">
        <v>45607</v>
      </c>
      <c r="C874" s="5" t="str">
        <f>TEXT(Greenleaf[[#This Row],[Order Date]],"MMM")</f>
        <v>Nov</v>
      </c>
      <c r="D874" s="5" t="str">
        <f>TEXT(Greenleaf[[#This Row],[Order Date]],"YYYY")</f>
        <v>2024</v>
      </c>
      <c r="E874" t="s">
        <v>2463</v>
      </c>
      <c r="F874" s="7" t="s">
        <v>1014</v>
      </c>
      <c r="G874" s="9">
        <v>4</v>
      </c>
      <c r="H874" s="11">
        <v>15</v>
      </c>
      <c r="I874" s="13">
        <v>5.0199999999999996</v>
      </c>
      <c r="J874" t="s">
        <v>1085</v>
      </c>
      <c r="K874" t="s">
        <v>2572</v>
      </c>
      <c r="L874" s="7" t="s">
        <v>1414</v>
      </c>
      <c r="M874" s="7" t="s">
        <v>1420</v>
      </c>
      <c r="N874" s="14">
        <f>Greenleaf[[#This Row],[Unit Price]]*Greenleaf[[#This Row],[Quantity Sold]]</f>
        <v>60</v>
      </c>
      <c r="O874" s="13">
        <f>Greenleaf[[#This Row],[Unit Cost]]*Greenleaf[[#This Row],[Quantity Sold]]</f>
        <v>20.079999999999998</v>
      </c>
      <c r="P874" s="13">
        <f>Greenleaf[[#This Row],[ Unit  price per quantity]]-Greenleaf[[#This Row],[ Unit cost per quantity]]</f>
        <v>39.92</v>
      </c>
      <c r="Q874" s="14">
        <f>Greenleaf[[#This Row],[Quantity Sold]]*Greenleaf[[#This Row],[Unit Price]]</f>
        <v>60</v>
      </c>
    </row>
    <row r="875" spans="1:17" x14ac:dyDescent="0.25">
      <c r="A875" t="s">
        <v>2301</v>
      </c>
      <c r="B875" s="5">
        <v>45607</v>
      </c>
      <c r="C875" s="5" t="str">
        <f>TEXT(Greenleaf[[#This Row],[Order Date]],"MMM")</f>
        <v>Nov</v>
      </c>
      <c r="D875" s="5" t="str">
        <f>TEXT(Greenleaf[[#This Row],[Order Date]],"YYYY")</f>
        <v>2024</v>
      </c>
      <c r="E875" t="s">
        <v>2463</v>
      </c>
      <c r="F875" s="7" t="s">
        <v>1014</v>
      </c>
      <c r="G875" s="9">
        <v>1</v>
      </c>
      <c r="H875" s="11">
        <v>15</v>
      </c>
      <c r="I875" s="13">
        <v>5.27</v>
      </c>
      <c r="J875" t="s">
        <v>1203</v>
      </c>
      <c r="K875" t="s">
        <v>2486</v>
      </c>
      <c r="L875" s="7" t="s">
        <v>1414</v>
      </c>
      <c r="M875" s="7" t="s">
        <v>1420</v>
      </c>
      <c r="N875" s="14">
        <f>Greenleaf[[#This Row],[Unit Price]]*Greenleaf[[#This Row],[Quantity Sold]]</f>
        <v>15</v>
      </c>
      <c r="O875" s="13">
        <f>Greenleaf[[#This Row],[Unit Cost]]*Greenleaf[[#This Row],[Quantity Sold]]</f>
        <v>5.27</v>
      </c>
      <c r="P875" s="13">
        <f>Greenleaf[[#This Row],[ Unit  price per quantity]]-Greenleaf[[#This Row],[ Unit cost per quantity]]</f>
        <v>9.73</v>
      </c>
      <c r="Q875" s="14">
        <f>Greenleaf[[#This Row],[Quantity Sold]]*Greenleaf[[#This Row],[Unit Price]]</f>
        <v>15</v>
      </c>
    </row>
    <row r="876" spans="1:17" x14ac:dyDescent="0.25">
      <c r="A876" t="s">
        <v>2302</v>
      </c>
      <c r="B876" s="5">
        <v>45607</v>
      </c>
      <c r="C876" s="5" t="str">
        <f>TEXT(Greenleaf[[#This Row],[Order Date]],"MMM")</f>
        <v>Nov</v>
      </c>
      <c r="D876" s="5" t="str">
        <f>TEXT(Greenleaf[[#This Row],[Order Date]],"YYYY")</f>
        <v>2024</v>
      </c>
      <c r="E876" t="s">
        <v>2463</v>
      </c>
      <c r="F876" s="7" t="s">
        <v>1014</v>
      </c>
      <c r="G876" s="9">
        <v>8</v>
      </c>
      <c r="H876" s="11">
        <v>15</v>
      </c>
      <c r="I876" s="13">
        <v>3.79</v>
      </c>
      <c r="J876" t="s">
        <v>1061</v>
      </c>
      <c r="K876" t="s">
        <v>2500</v>
      </c>
      <c r="L876" s="7" t="s">
        <v>1414</v>
      </c>
      <c r="M876" s="7" t="s">
        <v>1422</v>
      </c>
      <c r="N876" s="14">
        <f>Greenleaf[[#This Row],[Unit Price]]*Greenleaf[[#This Row],[Quantity Sold]]</f>
        <v>120</v>
      </c>
      <c r="O876" s="13">
        <f>Greenleaf[[#This Row],[Unit Cost]]*Greenleaf[[#This Row],[Quantity Sold]]</f>
        <v>30.32</v>
      </c>
      <c r="P876" s="13">
        <f>Greenleaf[[#This Row],[ Unit  price per quantity]]-Greenleaf[[#This Row],[ Unit cost per quantity]]</f>
        <v>89.68</v>
      </c>
      <c r="Q876" s="14">
        <f>Greenleaf[[#This Row],[Quantity Sold]]*Greenleaf[[#This Row],[Unit Price]]</f>
        <v>120</v>
      </c>
    </row>
    <row r="877" spans="1:17" x14ac:dyDescent="0.25">
      <c r="A877" t="s">
        <v>2303</v>
      </c>
      <c r="B877" s="5">
        <v>45608</v>
      </c>
      <c r="C877" s="5" t="str">
        <f>TEXT(Greenleaf[[#This Row],[Order Date]],"MMM")</f>
        <v>Nov</v>
      </c>
      <c r="D877" s="5" t="str">
        <f>TEXT(Greenleaf[[#This Row],[Order Date]],"YYYY")</f>
        <v>2024</v>
      </c>
      <c r="E877" t="s">
        <v>2460</v>
      </c>
      <c r="F877" s="7" t="s">
        <v>1015</v>
      </c>
      <c r="G877" s="9">
        <v>8</v>
      </c>
      <c r="H877" s="11">
        <v>10</v>
      </c>
      <c r="I877" s="13">
        <v>2.94</v>
      </c>
      <c r="J877" t="s">
        <v>1100</v>
      </c>
      <c r="K877" t="s">
        <v>2512</v>
      </c>
      <c r="L877" s="7" t="s">
        <v>1414</v>
      </c>
      <c r="M877" s="7" t="s">
        <v>1419</v>
      </c>
      <c r="N877" s="14">
        <f>Greenleaf[[#This Row],[Unit Price]]*Greenleaf[[#This Row],[Quantity Sold]]</f>
        <v>80</v>
      </c>
      <c r="O877" s="13">
        <f>Greenleaf[[#This Row],[Unit Cost]]*Greenleaf[[#This Row],[Quantity Sold]]</f>
        <v>23.52</v>
      </c>
      <c r="P877" s="13">
        <f>Greenleaf[[#This Row],[ Unit  price per quantity]]-Greenleaf[[#This Row],[ Unit cost per quantity]]</f>
        <v>56.480000000000004</v>
      </c>
      <c r="Q877" s="14">
        <f>Greenleaf[[#This Row],[Quantity Sold]]*Greenleaf[[#This Row],[Unit Price]]</f>
        <v>80</v>
      </c>
    </row>
    <row r="878" spans="1:17" x14ac:dyDescent="0.25">
      <c r="A878" t="s">
        <v>2304</v>
      </c>
      <c r="B878" s="5">
        <v>45608</v>
      </c>
      <c r="C878" s="5" t="str">
        <f>TEXT(Greenleaf[[#This Row],[Order Date]],"MMM")</f>
        <v>Nov</v>
      </c>
      <c r="D878" s="5" t="str">
        <f>TEXT(Greenleaf[[#This Row],[Order Date]],"YYYY")</f>
        <v>2024</v>
      </c>
      <c r="E878" t="s">
        <v>2462</v>
      </c>
      <c r="F878" s="7" t="s">
        <v>1013</v>
      </c>
      <c r="G878" s="9">
        <v>10</v>
      </c>
      <c r="H878" s="11">
        <v>25</v>
      </c>
      <c r="I878" s="13">
        <v>6.9</v>
      </c>
      <c r="J878" t="s">
        <v>1150</v>
      </c>
      <c r="K878" t="s">
        <v>2529</v>
      </c>
      <c r="L878" s="7" t="s">
        <v>1416</v>
      </c>
      <c r="M878" s="7" t="s">
        <v>1426</v>
      </c>
      <c r="N878" s="14">
        <f>Greenleaf[[#This Row],[Unit Price]]*Greenleaf[[#This Row],[Quantity Sold]]</f>
        <v>250</v>
      </c>
      <c r="O878" s="13">
        <f>Greenleaf[[#This Row],[Unit Cost]]*Greenleaf[[#This Row],[Quantity Sold]]</f>
        <v>69</v>
      </c>
      <c r="P878" s="13">
        <f>Greenleaf[[#This Row],[ Unit  price per quantity]]-Greenleaf[[#This Row],[ Unit cost per quantity]]</f>
        <v>181</v>
      </c>
      <c r="Q878" s="14">
        <f>Greenleaf[[#This Row],[Quantity Sold]]*Greenleaf[[#This Row],[Unit Price]]</f>
        <v>250</v>
      </c>
    </row>
    <row r="879" spans="1:17" x14ac:dyDescent="0.25">
      <c r="A879" t="s">
        <v>2305</v>
      </c>
      <c r="B879" s="5">
        <v>45609</v>
      </c>
      <c r="C879" s="5" t="str">
        <f>TEXT(Greenleaf[[#This Row],[Order Date]],"MMM")</f>
        <v>Nov</v>
      </c>
      <c r="D879" s="5" t="str">
        <f>TEXT(Greenleaf[[#This Row],[Order Date]],"YYYY")</f>
        <v>2024</v>
      </c>
      <c r="E879" t="s">
        <v>2464</v>
      </c>
      <c r="F879" s="7" t="s">
        <v>1012</v>
      </c>
      <c r="G879" s="9">
        <v>9</v>
      </c>
      <c r="H879" s="11">
        <v>40</v>
      </c>
      <c r="I879" s="13">
        <v>14.51</v>
      </c>
      <c r="J879" t="s">
        <v>1093</v>
      </c>
      <c r="K879" t="s">
        <v>2527</v>
      </c>
      <c r="L879" s="7" t="s">
        <v>1414</v>
      </c>
      <c r="M879" s="7" t="s">
        <v>1423</v>
      </c>
      <c r="N879" s="14">
        <f>Greenleaf[[#This Row],[Unit Price]]*Greenleaf[[#This Row],[Quantity Sold]]</f>
        <v>360</v>
      </c>
      <c r="O879" s="13">
        <f>Greenleaf[[#This Row],[Unit Cost]]*Greenleaf[[#This Row],[Quantity Sold]]</f>
        <v>130.59</v>
      </c>
      <c r="P879" s="13">
        <f>Greenleaf[[#This Row],[ Unit  price per quantity]]-Greenleaf[[#This Row],[ Unit cost per quantity]]</f>
        <v>229.41</v>
      </c>
      <c r="Q879" s="14">
        <f>Greenleaf[[#This Row],[Quantity Sold]]*Greenleaf[[#This Row],[Unit Price]]</f>
        <v>360</v>
      </c>
    </row>
    <row r="880" spans="1:17" x14ac:dyDescent="0.25">
      <c r="A880" t="s">
        <v>2306</v>
      </c>
      <c r="B880" s="5">
        <v>45609</v>
      </c>
      <c r="C880" s="5" t="str">
        <f>TEXT(Greenleaf[[#This Row],[Order Date]],"MMM")</f>
        <v>Nov</v>
      </c>
      <c r="D880" s="5" t="str">
        <f>TEXT(Greenleaf[[#This Row],[Order Date]],"YYYY")</f>
        <v>2024</v>
      </c>
      <c r="E880" t="s">
        <v>2463</v>
      </c>
      <c r="F880" s="7" t="s">
        <v>1014</v>
      </c>
      <c r="G880" s="9">
        <v>9</v>
      </c>
      <c r="H880" s="11">
        <v>15</v>
      </c>
      <c r="I880" s="13">
        <v>4.51</v>
      </c>
      <c r="J880" t="s">
        <v>1095</v>
      </c>
      <c r="K880" t="s">
        <v>2524</v>
      </c>
      <c r="L880" s="7" t="s">
        <v>1415</v>
      </c>
      <c r="M880" s="7" t="s">
        <v>1425</v>
      </c>
      <c r="N880" s="14">
        <f>Greenleaf[[#This Row],[Unit Price]]*Greenleaf[[#This Row],[Quantity Sold]]</f>
        <v>135</v>
      </c>
      <c r="O880" s="13">
        <f>Greenleaf[[#This Row],[Unit Cost]]*Greenleaf[[#This Row],[Quantity Sold]]</f>
        <v>40.589999999999996</v>
      </c>
      <c r="P880" s="13">
        <f>Greenleaf[[#This Row],[ Unit  price per quantity]]-Greenleaf[[#This Row],[ Unit cost per quantity]]</f>
        <v>94.41</v>
      </c>
      <c r="Q880" s="14">
        <f>Greenleaf[[#This Row],[Quantity Sold]]*Greenleaf[[#This Row],[Unit Price]]</f>
        <v>135</v>
      </c>
    </row>
    <row r="881" spans="1:17" x14ac:dyDescent="0.25">
      <c r="A881" t="s">
        <v>2307</v>
      </c>
      <c r="B881" s="5">
        <v>45609</v>
      </c>
      <c r="C881" s="5" t="str">
        <f>TEXT(Greenleaf[[#This Row],[Order Date]],"MMM")</f>
        <v>Nov</v>
      </c>
      <c r="D881" s="5" t="str">
        <f>TEXT(Greenleaf[[#This Row],[Order Date]],"YYYY")</f>
        <v>2024</v>
      </c>
      <c r="E881" t="s">
        <v>2464</v>
      </c>
      <c r="F881" s="7" t="s">
        <v>1012</v>
      </c>
      <c r="G881" s="9">
        <v>8</v>
      </c>
      <c r="H881" s="11">
        <v>40</v>
      </c>
      <c r="I881" s="13">
        <v>14.12</v>
      </c>
      <c r="J881" t="s">
        <v>1061</v>
      </c>
      <c r="K881" t="s">
        <v>2500</v>
      </c>
      <c r="L881" s="7" t="s">
        <v>1414</v>
      </c>
      <c r="M881" s="7" t="s">
        <v>1425</v>
      </c>
      <c r="N881" s="14">
        <f>Greenleaf[[#This Row],[Unit Price]]*Greenleaf[[#This Row],[Quantity Sold]]</f>
        <v>320</v>
      </c>
      <c r="O881" s="13">
        <f>Greenleaf[[#This Row],[Unit Cost]]*Greenleaf[[#This Row],[Quantity Sold]]</f>
        <v>112.96</v>
      </c>
      <c r="P881" s="13">
        <f>Greenleaf[[#This Row],[ Unit  price per quantity]]-Greenleaf[[#This Row],[ Unit cost per quantity]]</f>
        <v>207.04000000000002</v>
      </c>
      <c r="Q881" s="14">
        <f>Greenleaf[[#This Row],[Quantity Sold]]*Greenleaf[[#This Row],[Unit Price]]</f>
        <v>320</v>
      </c>
    </row>
    <row r="882" spans="1:17" x14ac:dyDescent="0.25">
      <c r="A882" t="s">
        <v>2308</v>
      </c>
      <c r="B882" s="5">
        <v>45609</v>
      </c>
      <c r="C882" s="5" t="str">
        <f>TEXT(Greenleaf[[#This Row],[Order Date]],"MMM")</f>
        <v>Nov</v>
      </c>
      <c r="D882" s="5" t="str">
        <f>TEXT(Greenleaf[[#This Row],[Order Date]],"YYYY")</f>
        <v>2024</v>
      </c>
      <c r="E882" t="s">
        <v>2464</v>
      </c>
      <c r="F882" s="7" t="s">
        <v>1012</v>
      </c>
      <c r="G882" s="9">
        <v>1</v>
      </c>
      <c r="H882" s="11">
        <v>40</v>
      </c>
      <c r="I882" s="13">
        <v>9.23</v>
      </c>
      <c r="J882" t="s">
        <v>1064</v>
      </c>
      <c r="K882" t="s">
        <v>2563</v>
      </c>
      <c r="L882" s="7" t="s">
        <v>1416</v>
      </c>
      <c r="M882" s="7" t="s">
        <v>1418</v>
      </c>
      <c r="N882" s="14">
        <f>Greenleaf[[#This Row],[Unit Price]]*Greenleaf[[#This Row],[Quantity Sold]]</f>
        <v>40</v>
      </c>
      <c r="O882" s="13">
        <f>Greenleaf[[#This Row],[Unit Cost]]*Greenleaf[[#This Row],[Quantity Sold]]</f>
        <v>9.23</v>
      </c>
      <c r="P882" s="13">
        <f>Greenleaf[[#This Row],[ Unit  price per quantity]]-Greenleaf[[#This Row],[ Unit cost per quantity]]</f>
        <v>30.77</v>
      </c>
      <c r="Q882" s="14">
        <f>Greenleaf[[#This Row],[Quantity Sold]]*Greenleaf[[#This Row],[Unit Price]]</f>
        <v>40</v>
      </c>
    </row>
    <row r="883" spans="1:17" x14ac:dyDescent="0.25">
      <c r="A883" t="s">
        <v>2309</v>
      </c>
      <c r="B883" s="5">
        <v>45610</v>
      </c>
      <c r="C883" s="5" t="str">
        <f>TEXT(Greenleaf[[#This Row],[Order Date]],"MMM")</f>
        <v>Nov</v>
      </c>
      <c r="D883" s="5" t="str">
        <f>TEXT(Greenleaf[[#This Row],[Order Date]],"YYYY")</f>
        <v>2024</v>
      </c>
      <c r="E883" t="s">
        <v>2461</v>
      </c>
      <c r="F883" s="7" t="s">
        <v>1011</v>
      </c>
      <c r="G883" s="9">
        <v>3</v>
      </c>
      <c r="H883" s="11">
        <v>12</v>
      </c>
      <c r="I883" s="13">
        <v>3.16</v>
      </c>
      <c r="J883" t="s">
        <v>1107</v>
      </c>
      <c r="K883" t="s">
        <v>2487</v>
      </c>
      <c r="L883" s="7" t="s">
        <v>1414</v>
      </c>
      <c r="M883" s="7" t="s">
        <v>1427</v>
      </c>
      <c r="N883" s="14">
        <f>Greenleaf[[#This Row],[Unit Price]]*Greenleaf[[#This Row],[Quantity Sold]]</f>
        <v>36</v>
      </c>
      <c r="O883" s="13">
        <f>Greenleaf[[#This Row],[Unit Cost]]*Greenleaf[[#This Row],[Quantity Sold]]</f>
        <v>9.48</v>
      </c>
      <c r="P883" s="13">
        <f>Greenleaf[[#This Row],[ Unit  price per quantity]]-Greenleaf[[#This Row],[ Unit cost per quantity]]</f>
        <v>26.52</v>
      </c>
      <c r="Q883" s="14">
        <f>Greenleaf[[#This Row],[Quantity Sold]]*Greenleaf[[#This Row],[Unit Price]]</f>
        <v>36</v>
      </c>
    </row>
    <row r="884" spans="1:17" x14ac:dyDescent="0.25">
      <c r="A884" t="s">
        <v>2310</v>
      </c>
      <c r="B884" s="5">
        <v>45610</v>
      </c>
      <c r="C884" s="5" t="str">
        <f>TEXT(Greenleaf[[#This Row],[Order Date]],"MMM")</f>
        <v>Nov</v>
      </c>
      <c r="D884" s="5" t="str">
        <f>TEXT(Greenleaf[[#This Row],[Order Date]],"YYYY")</f>
        <v>2024</v>
      </c>
      <c r="E884" t="s">
        <v>2462</v>
      </c>
      <c r="F884" s="7" t="s">
        <v>1013</v>
      </c>
      <c r="G884" s="9">
        <v>8</v>
      </c>
      <c r="H884" s="11">
        <v>25</v>
      </c>
      <c r="I884" s="13">
        <v>9.1199999999999992</v>
      </c>
      <c r="J884" t="s">
        <v>1157</v>
      </c>
      <c r="K884" t="s">
        <v>2491</v>
      </c>
      <c r="L884" s="7" t="s">
        <v>1414</v>
      </c>
      <c r="M884" s="7" t="s">
        <v>1423</v>
      </c>
      <c r="N884" s="14">
        <f>Greenleaf[[#This Row],[Unit Price]]*Greenleaf[[#This Row],[Quantity Sold]]</f>
        <v>200</v>
      </c>
      <c r="O884" s="13">
        <f>Greenleaf[[#This Row],[Unit Cost]]*Greenleaf[[#This Row],[Quantity Sold]]</f>
        <v>72.959999999999994</v>
      </c>
      <c r="P884" s="13">
        <f>Greenleaf[[#This Row],[ Unit  price per quantity]]-Greenleaf[[#This Row],[ Unit cost per quantity]]</f>
        <v>127.04</v>
      </c>
      <c r="Q884" s="14">
        <f>Greenleaf[[#This Row],[Quantity Sold]]*Greenleaf[[#This Row],[Unit Price]]</f>
        <v>200</v>
      </c>
    </row>
    <row r="885" spans="1:17" x14ac:dyDescent="0.25">
      <c r="A885" t="s">
        <v>2311</v>
      </c>
      <c r="B885" s="5">
        <v>45611</v>
      </c>
      <c r="C885" s="5" t="str">
        <f>TEXT(Greenleaf[[#This Row],[Order Date]],"MMM")</f>
        <v>Nov</v>
      </c>
      <c r="D885" s="5" t="str">
        <f>TEXT(Greenleaf[[#This Row],[Order Date]],"YYYY")</f>
        <v>2024</v>
      </c>
      <c r="E885" t="s">
        <v>2464</v>
      </c>
      <c r="F885" s="7" t="s">
        <v>1012</v>
      </c>
      <c r="G885" s="9">
        <v>6</v>
      </c>
      <c r="H885" s="11">
        <v>40</v>
      </c>
      <c r="I885" s="13">
        <v>13.56</v>
      </c>
      <c r="J885" t="s">
        <v>1194</v>
      </c>
      <c r="K885" t="s">
        <v>2520</v>
      </c>
      <c r="L885" s="7" t="s">
        <v>1414</v>
      </c>
      <c r="M885" s="7" t="s">
        <v>1424</v>
      </c>
      <c r="N885" s="14">
        <f>Greenleaf[[#This Row],[Unit Price]]*Greenleaf[[#This Row],[Quantity Sold]]</f>
        <v>240</v>
      </c>
      <c r="O885" s="13">
        <f>Greenleaf[[#This Row],[Unit Cost]]*Greenleaf[[#This Row],[Quantity Sold]]</f>
        <v>81.36</v>
      </c>
      <c r="P885" s="13">
        <f>Greenleaf[[#This Row],[ Unit  price per quantity]]-Greenleaf[[#This Row],[ Unit cost per quantity]]</f>
        <v>158.63999999999999</v>
      </c>
      <c r="Q885" s="14">
        <f>Greenleaf[[#This Row],[Quantity Sold]]*Greenleaf[[#This Row],[Unit Price]]</f>
        <v>240</v>
      </c>
    </row>
    <row r="886" spans="1:17" x14ac:dyDescent="0.25">
      <c r="A886" t="s">
        <v>2312</v>
      </c>
      <c r="B886" s="5">
        <v>45612</v>
      </c>
      <c r="C886" s="5" t="str">
        <f>TEXT(Greenleaf[[#This Row],[Order Date]],"MMM")</f>
        <v>Nov</v>
      </c>
      <c r="D886" s="5" t="str">
        <f>TEXT(Greenleaf[[#This Row],[Order Date]],"YYYY")</f>
        <v>2024</v>
      </c>
      <c r="E886" t="s">
        <v>2464</v>
      </c>
      <c r="F886" s="7" t="s">
        <v>1012</v>
      </c>
      <c r="G886" s="9">
        <v>6</v>
      </c>
      <c r="H886" s="11">
        <v>40</v>
      </c>
      <c r="I886" s="13">
        <v>9.3699999999999992</v>
      </c>
      <c r="J886" t="s">
        <v>1045</v>
      </c>
      <c r="K886" t="s">
        <v>2585</v>
      </c>
      <c r="L886" s="7" t="s">
        <v>1414</v>
      </c>
      <c r="M886" s="7" t="s">
        <v>1422</v>
      </c>
      <c r="N886" s="14">
        <f>Greenleaf[[#This Row],[Unit Price]]*Greenleaf[[#This Row],[Quantity Sold]]</f>
        <v>240</v>
      </c>
      <c r="O886" s="13">
        <f>Greenleaf[[#This Row],[Unit Cost]]*Greenleaf[[#This Row],[Quantity Sold]]</f>
        <v>56.22</v>
      </c>
      <c r="P886" s="13">
        <f>Greenleaf[[#This Row],[ Unit  price per quantity]]-Greenleaf[[#This Row],[ Unit cost per quantity]]</f>
        <v>183.78</v>
      </c>
      <c r="Q886" s="14">
        <f>Greenleaf[[#This Row],[Quantity Sold]]*Greenleaf[[#This Row],[Unit Price]]</f>
        <v>240</v>
      </c>
    </row>
    <row r="887" spans="1:17" x14ac:dyDescent="0.25">
      <c r="A887" t="s">
        <v>2313</v>
      </c>
      <c r="B887" s="5">
        <v>45612</v>
      </c>
      <c r="C887" s="5" t="str">
        <f>TEXT(Greenleaf[[#This Row],[Order Date]],"MMM")</f>
        <v>Nov</v>
      </c>
      <c r="D887" s="5" t="str">
        <f>TEXT(Greenleaf[[#This Row],[Order Date]],"YYYY")</f>
        <v>2024</v>
      </c>
      <c r="E887" t="s">
        <v>2462</v>
      </c>
      <c r="F887" s="7" t="s">
        <v>1013</v>
      </c>
      <c r="G887" s="9">
        <v>4</v>
      </c>
      <c r="H887" s="11">
        <v>25</v>
      </c>
      <c r="I887" s="13">
        <v>7.64</v>
      </c>
      <c r="J887" t="s">
        <v>1078</v>
      </c>
      <c r="K887" t="s">
        <v>2539</v>
      </c>
      <c r="L887" s="7" t="s">
        <v>1417</v>
      </c>
      <c r="M887" s="7" t="s">
        <v>1424</v>
      </c>
      <c r="N887" s="14">
        <f>Greenleaf[[#This Row],[Unit Price]]*Greenleaf[[#This Row],[Quantity Sold]]</f>
        <v>100</v>
      </c>
      <c r="O887" s="13">
        <f>Greenleaf[[#This Row],[Unit Cost]]*Greenleaf[[#This Row],[Quantity Sold]]</f>
        <v>30.56</v>
      </c>
      <c r="P887" s="13">
        <f>Greenleaf[[#This Row],[ Unit  price per quantity]]-Greenleaf[[#This Row],[ Unit cost per quantity]]</f>
        <v>69.44</v>
      </c>
      <c r="Q887" s="14">
        <f>Greenleaf[[#This Row],[Quantity Sold]]*Greenleaf[[#This Row],[Unit Price]]</f>
        <v>100</v>
      </c>
    </row>
    <row r="888" spans="1:17" x14ac:dyDescent="0.25">
      <c r="A888" t="s">
        <v>2314</v>
      </c>
      <c r="B888" s="5">
        <v>45613</v>
      </c>
      <c r="C888" s="5" t="str">
        <f>TEXT(Greenleaf[[#This Row],[Order Date]],"MMM")</f>
        <v>Nov</v>
      </c>
      <c r="D888" s="5" t="str">
        <f>TEXT(Greenleaf[[#This Row],[Order Date]],"YYYY")</f>
        <v>2024</v>
      </c>
      <c r="E888" t="s">
        <v>2462</v>
      </c>
      <c r="F888" s="7" t="s">
        <v>1013</v>
      </c>
      <c r="G888" s="9">
        <v>9</v>
      </c>
      <c r="H888" s="11">
        <v>25</v>
      </c>
      <c r="I888" s="13">
        <v>6.72</v>
      </c>
      <c r="J888" t="s">
        <v>1070</v>
      </c>
      <c r="K888" t="s">
        <v>2517</v>
      </c>
      <c r="L888" s="7" t="s">
        <v>1414</v>
      </c>
      <c r="M888" s="7" t="s">
        <v>1427</v>
      </c>
      <c r="N888" s="14">
        <f>Greenleaf[[#This Row],[Unit Price]]*Greenleaf[[#This Row],[Quantity Sold]]</f>
        <v>225</v>
      </c>
      <c r="O888" s="13">
        <f>Greenleaf[[#This Row],[Unit Cost]]*Greenleaf[[#This Row],[Quantity Sold]]</f>
        <v>60.48</v>
      </c>
      <c r="P888" s="13">
        <f>Greenleaf[[#This Row],[ Unit  price per quantity]]-Greenleaf[[#This Row],[ Unit cost per quantity]]</f>
        <v>164.52</v>
      </c>
      <c r="Q888" s="14">
        <f>Greenleaf[[#This Row],[Quantity Sold]]*Greenleaf[[#This Row],[Unit Price]]</f>
        <v>225</v>
      </c>
    </row>
    <row r="889" spans="1:17" x14ac:dyDescent="0.25">
      <c r="A889" t="s">
        <v>2315</v>
      </c>
      <c r="B889" s="5">
        <v>45613</v>
      </c>
      <c r="C889" s="5" t="str">
        <f>TEXT(Greenleaf[[#This Row],[Order Date]],"MMM")</f>
        <v>Nov</v>
      </c>
      <c r="D889" s="5" t="str">
        <f>TEXT(Greenleaf[[#This Row],[Order Date]],"YYYY")</f>
        <v>2024</v>
      </c>
      <c r="E889" t="s">
        <v>2461</v>
      </c>
      <c r="F889" s="7" t="s">
        <v>1011</v>
      </c>
      <c r="G889" s="9">
        <v>6</v>
      </c>
      <c r="H889" s="11">
        <v>12</v>
      </c>
      <c r="I889" s="13">
        <v>4.53</v>
      </c>
      <c r="J889" t="s">
        <v>1087</v>
      </c>
      <c r="K889" t="s">
        <v>2521</v>
      </c>
      <c r="L889" s="7" t="s">
        <v>1414</v>
      </c>
      <c r="M889" s="7" t="s">
        <v>1424</v>
      </c>
      <c r="N889" s="14">
        <f>Greenleaf[[#This Row],[Unit Price]]*Greenleaf[[#This Row],[Quantity Sold]]</f>
        <v>72</v>
      </c>
      <c r="O889" s="13">
        <f>Greenleaf[[#This Row],[Unit Cost]]*Greenleaf[[#This Row],[Quantity Sold]]</f>
        <v>27.18</v>
      </c>
      <c r="P889" s="13">
        <f>Greenleaf[[#This Row],[ Unit  price per quantity]]-Greenleaf[[#This Row],[ Unit cost per quantity]]</f>
        <v>44.82</v>
      </c>
      <c r="Q889" s="14">
        <f>Greenleaf[[#This Row],[Quantity Sold]]*Greenleaf[[#This Row],[Unit Price]]</f>
        <v>72</v>
      </c>
    </row>
    <row r="890" spans="1:17" x14ac:dyDescent="0.25">
      <c r="A890" t="s">
        <v>2316</v>
      </c>
      <c r="B890" s="5">
        <v>45613</v>
      </c>
      <c r="C890" s="5" t="str">
        <f>TEXT(Greenleaf[[#This Row],[Order Date]],"MMM")</f>
        <v>Nov</v>
      </c>
      <c r="D890" s="5" t="str">
        <f>TEXT(Greenleaf[[#This Row],[Order Date]],"YYYY")</f>
        <v>2024</v>
      </c>
      <c r="E890" t="s">
        <v>2462</v>
      </c>
      <c r="F890" s="7" t="s">
        <v>1013</v>
      </c>
      <c r="G890" s="9">
        <v>2</v>
      </c>
      <c r="H890" s="11">
        <v>25</v>
      </c>
      <c r="I890" s="13">
        <v>8.14</v>
      </c>
      <c r="J890" t="s">
        <v>1120</v>
      </c>
      <c r="K890" t="s">
        <v>2481</v>
      </c>
      <c r="L890" s="7" t="s">
        <v>1416</v>
      </c>
      <c r="M890" s="7" t="s">
        <v>1427</v>
      </c>
      <c r="N890" s="14">
        <f>Greenleaf[[#This Row],[Unit Price]]*Greenleaf[[#This Row],[Quantity Sold]]</f>
        <v>50</v>
      </c>
      <c r="O890" s="13">
        <f>Greenleaf[[#This Row],[Unit Cost]]*Greenleaf[[#This Row],[Quantity Sold]]</f>
        <v>16.28</v>
      </c>
      <c r="P890" s="13">
        <f>Greenleaf[[#This Row],[ Unit  price per quantity]]-Greenleaf[[#This Row],[ Unit cost per quantity]]</f>
        <v>33.72</v>
      </c>
      <c r="Q890" s="14">
        <f>Greenleaf[[#This Row],[Quantity Sold]]*Greenleaf[[#This Row],[Unit Price]]</f>
        <v>50</v>
      </c>
    </row>
    <row r="891" spans="1:17" x14ac:dyDescent="0.25">
      <c r="A891" t="s">
        <v>2317</v>
      </c>
      <c r="B891" s="5">
        <v>45614</v>
      </c>
      <c r="C891" s="5" t="str">
        <f>TEXT(Greenleaf[[#This Row],[Order Date]],"MMM")</f>
        <v>Nov</v>
      </c>
      <c r="D891" s="5" t="str">
        <f>TEXT(Greenleaf[[#This Row],[Order Date]],"YYYY")</f>
        <v>2024</v>
      </c>
      <c r="E891" t="s">
        <v>2463</v>
      </c>
      <c r="F891" s="7" t="s">
        <v>1014</v>
      </c>
      <c r="G891" s="9">
        <v>2</v>
      </c>
      <c r="H891" s="11">
        <v>15</v>
      </c>
      <c r="I891" s="13">
        <v>5.3</v>
      </c>
      <c r="J891" t="s">
        <v>1190</v>
      </c>
      <c r="K891" t="s">
        <v>2511</v>
      </c>
      <c r="L891" s="7" t="s">
        <v>1414</v>
      </c>
      <c r="M891" s="7" t="s">
        <v>1421</v>
      </c>
      <c r="N891" s="14">
        <f>Greenleaf[[#This Row],[Unit Price]]*Greenleaf[[#This Row],[Quantity Sold]]</f>
        <v>30</v>
      </c>
      <c r="O891" s="13">
        <f>Greenleaf[[#This Row],[Unit Cost]]*Greenleaf[[#This Row],[Quantity Sold]]</f>
        <v>10.6</v>
      </c>
      <c r="P891" s="13">
        <f>Greenleaf[[#This Row],[ Unit  price per quantity]]-Greenleaf[[#This Row],[ Unit cost per quantity]]</f>
        <v>19.399999999999999</v>
      </c>
      <c r="Q891" s="14">
        <f>Greenleaf[[#This Row],[Quantity Sold]]*Greenleaf[[#This Row],[Unit Price]]</f>
        <v>30</v>
      </c>
    </row>
    <row r="892" spans="1:17" x14ac:dyDescent="0.25">
      <c r="A892" t="s">
        <v>2318</v>
      </c>
      <c r="B892" s="5">
        <v>45614</v>
      </c>
      <c r="C892" s="5" t="str">
        <f>TEXT(Greenleaf[[#This Row],[Order Date]],"MMM")</f>
        <v>Nov</v>
      </c>
      <c r="D892" s="5" t="str">
        <f>TEXT(Greenleaf[[#This Row],[Order Date]],"YYYY")</f>
        <v>2024</v>
      </c>
      <c r="E892" t="s">
        <v>2461</v>
      </c>
      <c r="F892" s="7" t="s">
        <v>1011</v>
      </c>
      <c r="G892" s="9">
        <v>10</v>
      </c>
      <c r="H892" s="11">
        <v>12</v>
      </c>
      <c r="I892" s="13">
        <v>2.4500000000000002</v>
      </c>
      <c r="J892" t="s">
        <v>1191</v>
      </c>
      <c r="K892" t="s">
        <v>2574</v>
      </c>
      <c r="L892" s="7" t="s">
        <v>1414</v>
      </c>
      <c r="M892" s="7" t="s">
        <v>1426</v>
      </c>
      <c r="N892" s="14">
        <f>Greenleaf[[#This Row],[Unit Price]]*Greenleaf[[#This Row],[Quantity Sold]]</f>
        <v>120</v>
      </c>
      <c r="O892" s="13">
        <f>Greenleaf[[#This Row],[Unit Cost]]*Greenleaf[[#This Row],[Quantity Sold]]</f>
        <v>24.5</v>
      </c>
      <c r="P892" s="13">
        <f>Greenleaf[[#This Row],[ Unit  price per quantity]]-Greenleaf[[#This Row],[ Unit cost per quantity]]</f>
        <v>95.5</v>
      </c>
      <c r="Q892" s="14">
        <f>Greenleaf[[#This Row],[Quantity Sold]]*Greenleaf[[#This Row],[Unit Price]]</f>
        <v>120</v>
      </c>
    </row>
    <row r="893" spans="1:17" x14ac:dyDescent="0.25">
      <c r="A893" t="s">
        <v>2319</v>
      </c>
      <c r="B893" s="5">
        <v>45614</v>
      </c>
      <c r="C893" s="5" t="str">
        <f>TEXT(Greenleaf[[#This Row],[Order Date]],"MMM")</f>
        <v>Nov</v>
      </c>
      <c r="D893" s="5" t="str">
        <f>TEXT(Greenleaf[[#This Row],[Order Date]],"YYYY")</f>
        <v>2024</v>
      </c>
      <c r="E893" t="s">
        <v>2464</v>
      </c>
      <c r="F893" s="7" t="s">
        <v>1012</v>
      </c>
      <c r="G893" s="9">
        <v>1</v>
      </c>
      <c r="H893" s="11">
        <v>40</v>
      </c>
      <c r="I893" s="13">
        <v>8.51</v>
      </c>
      <c r="J893" t="s">
        <v>1127</v>
      </c>
      <c r="K893" t="s">
        <v>2509</v>
      </c>
      <c r="L893" s="7" t="s">
        <v>1415</v>
      </c>
      <c r="M893" s="7" t="s">
        <v>1423</v>
      </c>
      <c r="N893" s="14">
        <f>Greenleaf[[#This Row],[Unit Price]]*Greenleaf[[#This Row],[Quantity Sold]]</f>
        <v>40</v>
      </c>
      <c r="O893" s="13">
        <f>Greenleaf[[#This Row],[Unit Cost]]*Greenleaf[[#This Row],[Quantity Sold]]</f>
        <v>8.51</v>
      </c>
      <c r="P893" s="13">
        <f>Greenleaf[[#This Row],[ Unit  price per quantity]]-Greenleaf[[#This Row],[ Unit cost per quantity]]</f>
        <v>31.490000000000002</v>
      </c>
      <c r="Q893" s="14">
        <f>Greenleaf[[#This Row],[Quantity Sold]]*Greenleaf[[#This Row],[Unit Price]]</f>
        <v>40</v>
      </c>
    </row>
    <row r="894" spans="1:17" x14ac:dyDescent="0.25">
      <c r="A894" t="s">
        <v>2320</v>
      </c>
      <c r="B894" s="5">
        <v>45614</v>
      </c>
      <c r="C894" s="5" t="str">
        <f>TEXT(Greenleaf[[#This Row],[Order Date]],"MMM")</f>
        <v>Nov</v>
      </c>
      <c r="D894" s="5" t="str">
        <f>TEXT(Greenleaf[[#This Row],[Order Date]],"YYYY")</f>
        <v>2024</v>
      </c>
      <c r="E894" t="s">
        <v>2462</v>
      </c>
      <c r="F894" s="7" t="s">
        <v>1013</v>
      </c>
      <c r="G894" s="9">
        <v>3</v>
      </c>
      <c r="H894" s="11">
        <v>25</v>
      </c>
      <c r="I894" s="13">
        <v>5.0999999999999996</v>
      </c>
      <c r="J894" t="s">
        <v>1066</v>
      </c>
      <c r="K894" t="s">
        <v>2487</v>
      </c>
      <c r="L894" s="7" t="s">
        <v>1416</v>
      </c>
      <c r="M894" s="7" t="s">
        <v>1420</v>
      </c>
      <c r="N894" s="14">
        <f>Greenleaf[[#This Row],[Unit Price]]*Greenleaf[[#This Row],[Quantity Sold]]</f>
        <v>75</v>
      </c>
      <c r="O894" s="13">
        <f>Greenleaf[[#This Row],[Unit Cost]]*Greenleaf[[#This Row],[Quantity Sold]]</f>
        <v>15.299999999999999</v>
      </c>
      <c r="P894" s="13">
        <f>Greenleaf[[#This Row],[ Unit  price per quantity]]-Greenleaf[[#This Row],[ Unit cost per quantity]]</f>
        <v>59.7</v>
      </c>
      <c r="Q894" s="14">
        <f>Greenleaf[[#This Row],[Quantity Sold]]*Greenleaf[[#This Row],[Unit Price]]</f>
        <v>75</v>
      </c>
    </row>
    <row r="895" spans="1:17" x14ac:dyDescent="0.25">
      <c r="A895" t="s">
        <v>2321</v>
      </c>
      <c r="B895" s="5">
        <v>45614</v>
      </c>
      <c r="C895" s="5" t="str">
        <f>TEXT(Greenleaf[[#This Row],[Order Date]],"MMM")</f>
        <v>Nov</v>
      </c>
      <c r="D895" s="5" t="str">
        <f>TEXT(Greenleaf[[#This Row],[Order Date]],"YYYY")</f>
        <v>2024</v>
      </c>
      <c r="E895" t="s">
        <v>2460</v>
      </c>
      <c r="F895" s="7" t="s">
        <v>1015</v>
      </c>
      <c r="G895" s="9">
        <v>9</v>
      </c>
      <c r="H895" s="11">
        <v>10</v>
      </c>
      <c r="I895" s="13">
        <v>2.68</v>
      </c>
      <c r="J895" t="s">
        <v>1185</v>
      </c>
      <c r="K895" t="s">
        <v>2489</v>
      </c>
      <c r="L895" s="7" t="s">
        <v>1415</v>
      </c>
      <c r="M895" s="7" t="s">
        <v>1420</v>
      </c>
      <c r="N895" s="14">
        <f>Greenleaf[[#This Row],[Unit Price]]*Greenleaf[[#This Row],[Quantity Sold]]</f>
        <v>90</v>
      </c>
      <c r="O895" s="13">
        <f>Greenleaf[[#This Row],[Unit Cost]]*Greenleaf[[#This Row],[Quantity Sold]]</f>
        <v>24.12</v>
      </c>
      <c r="P895" s="13">
        <f>Greenleaf[[#This Row],[ Unit  price per quantity]]-Greenleaf[[#This Row],[ Unit cost per quantity]]</f>
        <v>65.88</v>
      </c>
      <c r="Q895" s="14">
        <f>Greenleaf[[#This Row],[Quantity Sold]]*Greenleaf[[#This Row],[Unit Price]]</f>
        <v>90</v>
      </c>
    </row>
    <row r="896" spans="1:17" x14ac:dyDescent="0.25">
      <c r="A896" t="s">
        <v>2322</v>
      </c>
      <c r="B896" s="5">
        <v>45614</v>
      </c>
      <c r="C896" s="5" t="str">
        <f>TEXT(Greenleaf[[#This Row],[Order Date]],"MMM")</f>
        <v>Nov</v>
      </c>
      <c r="D896" s="5" t="str">
        <f>TEXT(Greenleaf[[#This Row],[Order Date]],"YYYY")</f>
        <v>2024</v>
      </c>
      <c r="E896" t="s">
        <v>2460</v>
      </c>
      <c r="F896" s="7" t="s">
        <v>1015</v>
      </c>
      <c r="G896" s="9">
        <v>10</v>
      </c>
      <c r="H896" s="11">
        <v>10</v>
      </c>
      <c r="I896" s="13">
        <v>3.4</v>
      </c>
      <c r="J896" t="s">
        <v>1137</v>
      </c>
      <c r="K896" t="s">
        <v>2485</v>
      </c>
      <c r="L896" s="7" t="s">
        <v>1416</v>
      </c>
      <c r="M896" s="7" t="s">
        <v>1422</v>
      </c>
      <c r="N896" s="14">
        <f>Greenleaf[[#This Row],[Unit Price]]*Greenleaf[[#This Row],[Quantity Sold]]</f>
        <v>100</v>
      </c>
      <c r="O896" s="13">
        <f>Greenleaf[[#This Row],[Unit Cost]]*Greenleaf[[#This Row],[Quantity Sold]]</f>
        <v>34</v>
      </c>
      <c r="P896" s="13">
        <f>Greenleaf[[#This Row],[ Unit  price per quantity]]-Greenleaf[[#This Row],[ Unit cost per quantity]]</f>
        <v>66</v>
      </c>
      <c r="Q896" s="14">
        <f>Greenleaf[[#This Row],[Quantity Sold]]*Greenleaf[[#This Row],[Unit Price]]</f>
        <v>100</v>
      </c>
    </row>
    <row r="897" spans="1:17" x14ac:dyDescent="0.25">
      <c r="A897" t="s">
        <v>2323</v>
      </c>
      <c r="B897" s="5">
        <v>45615</v>
      </c>
      <c r="C897" s="5" t="str">
        <f>TEXT(Greenleaf[[#This Row],[Order Date]],"MMM")</f>
        <v>Nov</v>
      </c>
      <c r="D897" s="5" t="str">
        <f>TEXT(Greenleaf[[#This Row],[Order Date]],"YYYY")</f>
        <v>2024</v>
      </c>
      <c r="E897" t="s">
        <v>2460</v>
      </c>
      <c r="F897" s="7" t="s">
        <v>1015</v>
      </c>
      <c r="G897" s="9">
        <v>1</v>
      </c>
      <c r="H897" s="11">
        <v>10</v>
      </c>
      <c r="I897" s="13">
        <v>3.72</v>
      </c>
      <c r="J897" t="s">
        <v>1172</v>
      </c>
      <c r="K897" t="s">
        <v>2502</v>
      </c>
      <c r="L897" s="7" t="s">
        <v>1416</v>
      </c>
      <c r="M897" s="7" t="s">
        <v>1423</v>
      </c>
      <c r="N897" s="14">
        <f>Greenleaf[[#This Row],[Unit Price]]*Greenleaf[[#This Row],[Quantity Sold]]</f>
        <v>10</v>
      </c>
      <c r="O897" s="13">
        <f>Greenleaf[[#This Row],[Unit Cost]]*Greenleaf[[#This Row],[Quantity Sold]]</f>
        <v>3.72</v>
      </c>
      <c r="P897" s="13">
        <f>Greenleaf[[#This Row],[ Unit  price per quantity]]-Greenleaf[[#This Row],[ Unit cost per quantity]]</f>
        <v>6.2799999999999994</v>
      </c>
      <c r="Q897" s="14">
        <f>Greenleaf[[#This Row],[Quantity Sold]]*Greenleaf[[#This Row],[Unit Price]]</f>
        <v>10</v>
      </c>
    </row>
    <row r="898" spans="1:17" x14ac:dyDescent="0.25">
      <c r="A898" t="s">
        <v>2324</v>
      </c>
      <c r="B898" s="5">
        <v>45616</v>
      </c>
      <c r="C898" s="5" t="str">
        <f>TEXT(Greenleaf[[#This Row],[Order Date]],"MMM")</f>
        <v>Nov</v>
      </c>
      <c r="D898" s="5" t="str">
        <f>TEXT(Greenleaf[[#This Row],[Order Date]],"YYYY")</f>
        <v>2024</v>
      </c>
      <c r="E898" t="s">
        <v>2462</v>
      </c>
      <c r="F898" s="7" t="s">
        <v>1013</v>
      </c>
      <c r="G898" s="9">
        <v>10</v>
      </c>
      <c r="H898" s="11">
        <v>25</v>
      </c>
      <c r="I898" s="13">
        <v>9.86</v>
      </c>
      <c r="J898" t="s">
        <v>1073</v>
      </c>
      <c r="K898" t="s">
        <v>2562</v>
      </c>
      <c r="L898" s="7" t="s">
        <v>1415</v>
      </c>
      <c r="M898" s="7" t="s">
        <v>1426</v>
      </c>
      <c r="N898" s="14">
        <f>Greenleaf[[#This Row],[Unit Price]]*Greenleaf[[#This Row],[Quantity Sold]]</f>
        <v>250</v>
      </c>
      <c r="O898" s="13">
        <f>Greenleaf[[#This Row],[Unit Cost]]*Greenleaf[[#This Row],[Quantity Sold]]</f>
        <v>98.6</v>
      </c>
      <c r="P898" s="13">
        <f>Greenleaf[[#This Row],[ Unit  price per quantity]]-Greenleaf[[#This Row],[ Unit cost per quantity]]</f>
        <v>151.4</v>
      </c>
      <c r="Q898" s="14">
        <f>Greenleaf[[#This Row],[Quantity Sold]]*Greenleaf[[#This Row],[Unit Price]]</f>
        <v>250</v>
      </c>
    </row>
    <row r="899" spans="1:17" x14ac:dyDescent="0.25">
      <c r="A899" t="s">
        <v>2325</v>
      </c>
      <c r="B899" s="5">
        <v>45617</v>
      </c>
      <c r="C899" s="5" t="str">
        <f>TEXT(Greenleaf[[#This Row],[Order Date]],"MMM")</f>
        <v>Nov</v>
      </c>
      <c r="D899" s="5" t="str">
        <f>TEXT(Greenleaf[[#This Row],[Order Date]],"YYYY")</f>
        <v>2024</v>
      </c>
      <c r="E899" t="s">
        <v>2461</v>
      </c>
      <c r="F899" s="7" t="s">
        <v>1011</v>
      </c>
      <c r="G899" s="9">
        <v>2</v>
      </c>
      <c r="H899" s="11">
        <v>12</v>
      </c>
      <c r="I899" s="13">
        <v>4.3899999999999997</v>
      </c>
      <c r="J899" t="s">
        <v>1043</v>
      </c>
      <c r="K899" t="s">
        <v>2474</v>
      </c>
      <c r="L899" s="7" t="s">
        <v>1414</v>
      </c>
      <c r="M899" s="7" t="s">
        <v>1426</v>
      </c>
      <c r="N899" s="14">
        <f>Greenleaf[[#This Row],[Unit Price]]*Greenleaf[[#This Row],[Quantity Sold]]</f>
        <v>24</v>
      </c>
      <c r="O899" s="13">
        <f>Greenleaf[[#This Row],[Unit Cost]]*Greenleaf[[#This Row],[Quantity Sold]]</f>
        <v>8.7799999999999994</v>
      </c>
      <c r="P899" s="13">
        <f>Greenleaf[[#This Row],[ Unit  price per quantity]]-Greenleaf[[#This Row],[ Unit cost per quantity]]</f>
        <v>15.22</v>
      </c>
      <c r="Q899" s="14">
        <f>Greenleaf[[#This Row],[Quantity Sold]]*Greenleaf[[#This Row],[Unit Price]]</f>
        <v>24</v>
      </c>
    </row>
    <row r="900" spans="1:17" x14ac:dyDescent="0.25">
      <c r="A900" t="s">
        <v>2326</v>
      </c>
      <c r="B900" s="5">
        <v>45618</v>
      </c>
      <c r="C900" s="5" t="str">
        <f>TEXT(Greenleaf[[#This Row],[Order Date]],"MMM")</f>
        <v>Nov</v>
      </c>
      <c r="D900" s="5" t="str">
        <f>TEXT(Greenleaf[[#This Row],[Order Date]],"YYYY")</f>
        <v>2024</v>
      </c>
      <c r="E900" t="s">
        <v>2463</v>
      </c>
      <c r="F900" s="7" t="s">
        <v>1014</v>
      </c>
      <c r="G900" s="9">
        <v>1</v>
      </c>
      <c r="H900" s="11">
        <v>15</v>
      </c>
      <c r="I900" s="13">
        <v>3.55</v>
      </c>
      <c r="J900" t="s">
        <v>1100</v>
      </c>
      <c r="K900" t="s">
        <v>2512</v>
      </c>
      <c r="L900" s="7" t="s">
        <v>1414</v>
      </c>
      <c r="M900" s="7" t="s">
        <v>1423</v>
      </c>
      <c r="N900" s="14">
        <f>Greenleaf[[#This Row],[Unit Price]]*Greenleaf[[#This Row],[Quantity Sold]]</f>
        <v>15</v>
      </c>
      <c r="O900" s="13">
        <f>Greenleaf[[#This Row],[Unit Cost]]*Greenleaf[[#This Row],[Quantity Sold]]</f>
        <v>3.55</v>
      </c>
      <c r="P900" s="13">
        <f>Greenleaf[[#This Row],[ Unit  price per quantity]]-Greenleaf[[#This Row],[ Unit cost per quantity]]</f>
        <v>11.45</v>
      </c>
      <c r="Q900" s="14">
        <f>Greenleaf[[#This Row],[Quantity Sold]]*Greenleaf[[#This Row],[Unit Price]]</f>
        <v>15</v>
      </c>
    </row>
    <row r="901" spans="1:17" x14ac:dyDescent="0.25">
      <c r="A901" t="s">
        <v>2327</v>
      </c>
      <c r="B901" s="5">
        <v>45618</v>
      </c>
      <c r="C901" s="5" t="str">
        <f>TEXT(Greenleaf[[#This Row],[Order Date]],"MMM")</f>
        <v>Nov</v>
      </c>
      <c r="D901" s="5" t="str">
        <f>TEXT(Greenleaf[[#This Row],[Order Date]],"YYYY")</f>
        <v>2024</v>
      </c>
      <c r="E901" t="s">
        <v>2463</v>
      </c>
      <c r="F901" s="7" t="s">
        <v>1014</v>
      </c>
      <c r="G901" s="9">
        <v>7</v>
      </c>
      <c r="H901" s="11">
        <v>15</v>
      </c>
      <c r="I901" s="13">
        <v>4.03</v>
      </c>
      <c r="J901" t="s">
        <v>1105</v>
      </c>
      <c r="K901" t="s">
        <v>2560</v>
      </c>
      <c r="L901" s="7" t="s">
        <v>1414</v>
      </c>
      <c r="M901" s="7" t="s">
        <v>1427</v>
      </c>
      <c r="N901" s="14">
        <f>Greenleaf[[#This Row],[Unit Price]]*Greenleaf[[#This Row],[Quantity Sold]]</f>
        <v>105</v>
      </c>
      <c r="O901" s="13">
        <f>Greenleaf[[#This Row],[Unit Cost]]*Greenleaf[[#This Row],[Quantity Sold]]</f>
        <v>28.21</v>
      </c>
      <c r="P901" s="13">
        <f>Greenleaf[[#This Row],[ Unit  price per quantity]]-Greenleaf[[#This Row],[ Unit cost per quantity]]</f>
        <v>76.789999999999992</v>
      </c>
      <c r="Q901" s="14">
        <f>Greenleaf[[#This Row],[Quantity Sold]]*Greenleaf[[#This Row],[Unit Price]]</f>
        <v>105</v>
      </c>
    </row>
    <row r="902" spans="1:17" x14ac:dyDescent="0.25">
      <c r="A902" t="s">
        <v>2328</v>
      </c>
      <c r="B902" s="5">
        <v>45619</v>
      </c>
      <c r="C902" s="5" t="str">
        <f>TEXT(Greenleaf[[#This Row],[Order Date]],"MMM")</f>
        <v>Nov</v>
      </c>
      <c r="D902" s="5" t="str">
        <f>TEXT(Greenleaf[[#This Row],[Order Date]],"YYYY")</f>
        <v>2024</v>
      </c>
      <c r="E902" t="s">
        <v>2462</v>
      </c>
      <c r="F902" s="7" t="s">
        <v>1013</v>
      </c>
      <c r="G902" s="9">
        <v>1</v>
      </c>
      <c r="H902" s="11">
        <v>25</v>
      </c>
      <c r="I902" s="13">
        <v>9.8800000000000008</v>
      </c>
      <c r="J902" t="s">
        <v>1064</v>
      </c>
      <c r="K902" t="s">
        <v>2563</v>
      </c>
      <c r="L902" s="7" t="s">
        <v>1414</v>
      </c>
      <c r="M902" s="7" t="s">
        <v>1423</v>
      </c>
      <c r="N902" s="14">
        <f>Greenleaf[[#This Row],[Unit Price]]*Greenleaf[[#This Row],[Quantity Sold]]</f>
        <v>25</v>
      </c>
      <c r="O902" s="13">
        <f>Greenleaf[[#This Row],[Unit Cost]]*Greenleaf[[#This Row],[Quantity Sold]]</f>
        <v>9.8800000000000008</v>
      </c>
      <c r="P902" s="13">
        <f>Greenleaf[[#This Row],[ Unit  price per quantity]]-Greenleaf[[#This Row],[ Unit cost per quantity]]</f>
        <v>15.12</v>
      </c>
      <c r="Q902" s="14">
        <f>Greenleaf[[#This Row],[Quantity Sold]]*Greenleaf[[#This Row],[Unit Price]]</f>
        <v>25</v>
      </c>
    </row>
    <row r="903" spans="1:17" x14ac:dyDescent="0.25">
      <c r="A903" t="s">
        <v>2329</v>
      </c>
      <c r="B903" s="5">
        <v>45619</v>
      </c>
      <c r="C903" s="5" t="str">
        <f>TEXT(Greenleaf[[#This Row],[Order Date]],"MMM")</f>
        <v>Nov</v>
      </c>
      <c r="D903" s="5" t="str">
        <f>TEXT(Greenleaf[[#This Row],[Order Date]],"YYYY")</f>
        <v>2024</v>
      </c>
      <c r="E903" t="s">
        <v>2462</v>
      </c>
      <c r="F903" s="7" t="s">
        <v>1013</v>
      </c>
      <c r="G903" s="9">
        <v>8</v>
      </c>
      <c r="H903" s="11">
        <v>25</v>
      </c>
      <c r="I903" s="13">
        <v>6.58</v>
      </c>
      <c r="J903" t="s">
        <v>1050</v>
      </c>
      <c r="K903" t="s">
        <v>2488</v>
      </c>
      <c r="L903" s="7" t="s">
        <v>1414</v>
      </c>
      <c r="M903" s="7" t="s">
        <v>1426</v>
      </c>
      <c r="N903" s="14">
        <f>Greenleaf[[#This Row],[Unit Price]]*Greenleaf[[#This Row],[Quantity Sold]]</f>
        <v>200</v>
      </c>
      <c r="O903" s="13">
        <f>Greenleaf[[#This Row],[Unit Cost]]*Greenleaf[[#This Row],[Quantity Sold]]</f>
        <v>52.64</v>
      </c>
      <c r="P903" s="13">
        <f>Greenleaf[[#This Row],[ Unit  price per quantity]]-Greenleaf[[#This Row],[ Unit cost per quantity]]</f>
        <v>147.36000000000001</v>
      </c>
      <c r="Q903" s="14">
        <f>Greenleaf[[#This Row],[Quantity Sold]]*Greenleaf[[#This Row],[Unit Price]]</f>
        <v>200</v>
      </c>
    </row>
    <row r="904" spans="1:17" x14ac:dyDescent="0.25">
      <c r="A904" t="s">
        <v>2330</v>
      </c>
      <c r="B904" s="5">
        <v>45619</v>
      </c>
      <c r="C904" s="5" t="str">
        <f>TEXT(Greenleaf[[#This Row],[Order Date]],"MMM")</f>
        <v>Nov</v>
      </c>
      <c r="D904" s="5" t="str">
        <f>TEXT(Greenleaf[[#This Row],[Order Date]],"YYYY")</f>
        <v>2024</v>
      </c>
      <c r="E904" t="s">
        <v>2462</v>
      </c>
      <c r="F904" s="7" t="s">
        <v>1013</v>
      </c>
      <c r="G904" s="9">
        <v>8</v>
      </c>
      <c r="H904" s="11">
        <v>25</v>
      </c>
      <c r="I904" s="13">
        <v>6.56</v>
      </c>
      <c r="J904" t="s">
        <v>1194</v>
      </c>
      <c r="K904" t="s">
        <v>2520</v>
      </c>
      <c r="L904" s="7" t="s">
        <v>1416</v>
      </c>
      <c r="M904" s="7" t="s">
        <v>1420</v>
      </c>
      <c r="N904" s="14">
        <f>Greenleaf[[#This Row],[Unit Price]]*Greenleaf[[#This Row],[Quantity Sold]]</f>
        <v>200</v>
      </c>
      <c r="O904" s="13">
        <f>Greenleaf[[#This Row],[Unit Cost]]*Greenleaf[[#This Row],[Quantity Sold]]</f>
        <v>52.48</v>
      </c>
      <c r="P904" s="13">
        <f>Greenleaf[[#This Row],[ Unit  price per quantity]]-Greenleaf[[#This Row],[ Unit cost per quantity]]</f>
        <v>147.52000000000001</v>
      </c>
      <c r="Q904" s="14">
        <f>Greenleaf[[#This Row],[Quantity Sold]]*Greenleaf[[#This Row],[Unit Price]]</f>
        <v>200</v>
      </c>
    </row>
    <row r="905" spans="1:17" x14ac:dyDescent="0.25">
      <c r="A905" t="s">
        <v>2331</v>
      </c>
      <c r="B905" s="5">
        <v>45620</v>
      </c>
      <c r="C905" s="5" t="str">
        <f>TEXT(Greenleaf[[#This Row],[Order Date]],"MMM")</f>
        <v>Nov</v>
      </c>
      <c r="D905" s="5" t="str">
        <f>TEXT(Greenleaf[[#This Row],[Order Date]],"YYYY")</f>
        <v>2024</v>
      </c>
      <c r="E905" t="s">
        <v>2460</v>
      </c>
      <c r="F905" s="7" t="s">
        <v>1015</v>
      </c>
      <c r="G905" s="9">
        <v>9</v>
      </c>
      <c r="H905" s="11">
        <v>10</v>
      </c>
      <c r="I905" s="13">
        <v>2.66</v>
      </c>
      <c r="J905" t="s">
        <v>1022</v>
      </c>
      <c r="K905" t="s">
        <v>2551</v>
      </c>
      <c r="L905" s="7" t="s">
        <v>1416</v>
      </c>
      <c r="M905" s="7" t="s">
        <v>1423</v>
      </c>
      <c r="N905" s="14">
        <f>Greenleaf[[#This Row],[Unit Price]]*Greenleaf[[#This Row],[Quantity Sold]]</f>
        <v>90</v>
      </c>
      <c r="O905" s="13">
        <f>Greenleaf[[#This Row],[Unit Cost]]*Greenleaf[[#This Row],[Quantity Sold]]</f>
        <v>23.94</v>
      </c>
      <c r="P905" s="13">
        <f>Greenleaf[[#This Row],[ Unit  price per quantity]]-Greenleaf[[#This Row],[ Unit cost per quantity]]</f>
        <v>66.06</v>
      </c>
      <c r="Q905" s="14">
        <f>Greenleaf[[#This Row],[Quantity Sold]]*Greenleaf[[#This Row],[Unit Price]]</f>
        <v>90</v>
      </c>
    </row>
    <row r="906" spans="1:17" x14ac:dyDescent="0.25">
      <c r="A906" t="s">
        <v>2332</v>
      </c>
      <c r="B906" s="5">
        <v>45622</v>
      </c>
      <c r="C906" s="5" t="str">
        <f>TEXT(Greenleaf[[#This Row],[Order Date]],"MMM")</f>
        <v>Nov</v>
      </c>
      <c r="D906" s="5" t="str">
        <f>TEXT(Greenleaf[[#This Row],[Order Date]],"YYYY")</f>
        <v>2024</v>
      </c>
      <c r="E906" t="s">
        <v>2464</v>
      </c>
      <c r="F906" s="7" t="s">
        <v>1012</v>
      </c>
      <c r="G906" s="9">
        <v>1</v>
      </c>
      <c r="H906" s="11">
        <v>40</v>
      </c>
      <c r="I906" s="13">
        <v>10.130000000000001</v>
      </c>
      <c r="J906" t="s">
        <v>1084</v>
      </c>
      <c r="K906" t="s">
        <v>2553</v>
      </c>
      <c r="L906" s="7" t="s">
        <v>1414</v>
      </c>
      <c r="M906" s="7" t="s">
        <v>1422</v>
      </c>
      <c r="N906" s="14">
        <f>Greenleaf[[#This Row],[Unit Price]]*Greenleaf[[#This Row],[Quantity Sold]]</f>
        <v>40</v>
      </c>
      <c r="O906" s="13">
        <f>Greenleaf[[#This Row],[Unit Cost]]*Greenleaf[[#This Row],[Quantity Sold]]</f>
        <v>10.130000000000001</v>
      </c>
      <c r="P906" s="13">
        <f>Greenleaf[[#This Row],[ Unit  price per quantity]]-Greenleaf[[#This Row],[ Unit cost per quantity]]</f>
        <v>29.869999999999997</v>
      </c>
      <c r="Q906" s="14">
        <f>Greenleaf[[#This Row],[Quantity Sold]]*Greenleaf[[#This Row],[Unit Price]]</f>
        <v>40</v>
      </c>
    </row>
    <row r="907" spans="1:17" x14ac:dyDescent="0.25">
      <c r="A907" t="s">
        <v>2333</v>
      </c>
      <c r="B907" s="5">
        <v>45622</v>
      </c>
      <c r="C907" s="5" t="str">
        <f>TEXT(Greenleaf[[#This Row],[Order Date]],"MMM")</f>
        <v>Nov</v>
      </c>
      <c r="D907" s="5" t="str">
        <f>TEXT(Greenleaf[[#This Row],[Order Date]],"YYYY")</f>
        <v>2024</v>
      </c>
      <c r="E907" t="s">
        <v>2463</v>
      </c>
      <c r="F907" s="7" t="s">
        <v>1014</v>
      </c>
      <c r="G907" s="9">
        <v>2</v>
      </c>
      <c r="H907" s="11">
        <v>15</v>
      </c>
      <c r="I907" s="13">
        <v>3.3</v>
      </c>
      <c r="J907" t="s">
        <v>1094</v>
      </c>
      <c r="K907" t="s">
        <v>2548</v>
      </c>
      <c r="L907" s="7" t="s">
        <v>1416</v>
      </c>
      <c r="M907" s="7" t="s">
        <v>1424</v>
      </c>
      <c r="N907" s="14">
        <f>Greenleaf[[#This Row],[Unit Price]]*Greenleaf[[#This Row],[Quantity Sold]]</f>
        <v>30</v>
      </c>
      <c r="O907" s="13">
        <f>Greenleaf[[#This Row],[Unit Cost]]*Greenleaf[[#This Row],[Quantity Sold]]</f>
        <v>6.6</v>
      </c>
      <c r="P907" s="13">
        <f>Greenleaf[[#This Row],[ Unit  price per quantity]]-Greenleaf[[#This Row],[ Unit cost per quantity]]</f>
        <v>23.4</v>
      </c>
      <c r="Q907" s="14">
        <f>Greenleaf[[#This Row],[Quantity Sold]]*Greenleaf[[#This Row],[Unit Price]]</f>
        <v>30</v>
      </c>
    </row>
    <row r="908" spans="1:17" x14ac:dyDescent="0.25">
      <c r="A908" t="s">
        <v>2334</v>
      </c>
      <c r="B908" s="5">
        <v>45622</v>
      </c>
      <c r="C908" s="5" t="str">
        <f>TEXT(Greenleaf[[#This Row],[Order Date]],"MMM")</f>
        <v>Nov</v>
      </c>
      <c r="D908" s="5" t="str">
        <f>TEXT(Greenleaf[[#This Row],[Order Date]],"YYYY")</f>
        <v>2024</v>
      </c>
      <c r="E908" t="s">
        <v>2463</v>
      </c>
      <c r="F908" s="7" t="s">
        <v>1014</v>
      </c>
      <c r="G908" s="9">
        <v>6</v>
      </c>
      <c r="H908" s="11">
        <v>15</v>
      </c>
      <c r="I908" s="13">
        <v>5.45</v>
      </c>
      <c r="J908" t="s">
        <v>1111</v>
      </c>
      <c r="K908" t="s">
        <v>2488</v>
      </c>
      <c r="L908" s="7" t="s">
        <v>1416</v>
      </c>
      <c r="M908" s="7" t="s">
        <v>1419</v>
      </c>
      <c r="N908" s="14">
        <f>Greenleaf[[#This Row],[Unit Price]]*Greenleaf[[#This Row],[Quantity Sold]]</f>
        <v>90</v>
      </c>
      <c r="O908" s="13">
        <f>Greenleaf[[#This Row],[Unit Cost]]*Greenleaf[[#This Row],[Quantity Sold]]</f>
        <v>32.700000000000003</v>
      </c>
      <c r="P908" s="13">
        <f>Greenleaf[[#This Row],[ Unit  price per quantity]]-Greenleaf[[#This Row],[ Unit cost per quantity]]</f>
        <v>57.3</v>
      </c>
      <c r="Q908" s="14">
        <f>Greenleaf[[#This Row],[Quantity Sold]]*Greenleaf[[#This Row],[Unit Price]]</f>
        <v>90</v>
      </c>
    </row>
    <row r="909" spans="1:17" x14ac:dyDescent="0.25">
      <c r="A909" t="s">
        <v>2335</v>
      </c>
      <c r="B909" s="5">
        <v>45622</v>
      </c>
      <c r="C909" s="5" t="str">
        <f>TEXT(Greenleaf[[#This Row],[Order Date]],"MMM")</f>
        <v>Nov</v>
      </c>
      <c r="D909" s="5" t="str">
        <f>TEXT(Greenleaf[[#This Row],[Order Date]],"YYYY")</f>
        <v>2024</v>
      </c>
      <c r="E909" t="s">
        <v>2464</v>
      </c>
      <c r="F909" s="7" t="s">
        <v>1012</v>
      </c>
      <c r="G909" s="9">
        <v>2</v>
      </c>
      <c r="H909" s="11">
        <v>40</v>
      </c>
      <c r="I909" s="13">
        <v>12.19</v>
      </c>
      <c r="J909" t="s">
        <v>1065</v>
      </c>
      <c r="K909" t="s">
        <v>2579</v>
      </c>
      <c r="L909" s="7" t="s">
        <v>1414</v>
      </c>
      <c r="M909" s="7" t="s">
        <v>1426</v>
      </c>
      <c r="N909" s="14">
        <f>Greenleaf[[#This Row],[Unit Price]]*Greenleaf[[#This Row],[Quantity Sold]]</f>
        <v>80</v>
      </c>
      <c r="O909" s="13">
        <f>Greenleaf[[#This Row],[Unit Cost]]*Greenleaf[[#This Row],[Quantity Sold]]</f>
        <v>24.38</v>
      </c>
      <c r="P909" s="13">
        <f>Greenleaf[[#This Row],[ Unit  price per quantity]]-Greenleaf[[#This Row],[ Unit cost per quantity]]</f>
        <v>55.620000000000005</v>
      </c>
      <c r="Q909" s="14">
        <f>Greenleaf[[#This Row],[Quantity Sold]]*Greenleaf[[#This Row],[Unit Price]]</f>
        <v>80</v>
      </c>
    </row>
    <row r="910" spans="1:17" x14ac:dyDescent="0.25">
      <c r="A910" t="s">
        <v>2336</v>
      </c>
      <c r="B910" s="5">
        <v>45622</v>
      </c>
      <c r="C910" s="5" t="str">
        <f>TEXT(Greenleaf[[#This Row],[Order Date]],"MMM")</f>
        <v>Nov</v>
      </c>
      <c r="D910" s="5" t="str">
        <f>TEXT(Greenleaf[[#This Row],[Order Date]],"YYYY")</f>
        <v>2024</v>
      </c>
      <c r="E910" t="s">
        <v>2462</v>
      </c>
      <c r="F910" s="7" t="s">
        <v>1013</v>
      </c>
      <c r="G910" s="9">
        <v>2</v>
      </c>
      <c r="H910" s="11">
        <v>25</v>
      </c>
      <c r="I910" s="13">
        <v>6.17</v>
      </c>
      <c r="J910" t="s">
        <v>1159</v>
      </c>
      <c r="K910" t="s">
        <v>2480</v>
      </c>
      <c r="L910" s="7" t="s">
        <v>1414</v>
      </c>
      <c r="M910" s="7" t="s">
        <v>1425</v>
      </c>
      <c r="N910" s="14">
        <f>Greenleaf[[#This Row],[Unit Price]]*Greenleaf[[#This Row],[Quantity Sold]]</f>
        <v>50</v>
      </c>
      <c r="O910" s="13">
        <f>Greenleaf[[#This Row],[Unit Cost]]*Greenleaf[[#This Row],[Quantity Sold]]</f>
        <v>12.34</v>
      </c>
      <c r="P910" s="13">
        <f>Greenleaf[[#This Row],[ Unit  price per quantity]]-Greenleaf[[#This Row],[ Unit cost per quantity]]</f>
        <v>37.659999999999997</v>
      </c>
      <c r="Q910" s="14">
        <f>Greenleaf[[#This Row],[Quantity Sold]]*Greenleaf[[#This Row],[Unit Price]]</f>
        <v>50</v>
      </c>
    </row>
    <row r="911" spans="1:17" x14ac:dyDescent="0.25">
      <c r="A911" t="s">
        <v>2337</v>
      </c>
      <c r="B911" s="5">
        <v>45622</v>
      </c>
      <c r="C911" s="5" t="str">
        <f>TEXT(Greenleaf[[#This Row],[Order Date]],"MMM")</f>
        <v>Nov</v>
      </c>
      <c r="D911" s="5" t="str">
        <f>TEXT(Greenleaf[[#This Row],[Order Date]],"YYYY")</f>
        <v>2024</v>
      </c>
      <c r="E911" t="s">
        <v>2462</v>
      </c>
      <c r="F911" s="7" t="s">
        <v>1013</v>
      </c>
      <c r="G911" s="9">
        <v>9</v>
      </c>
      <c r="H911" s="11">
        <v>25</v>
      </c>
      <c r="I911" s="13">
        <v>6.35</v>
      </c>
      <c r="J911" t="s">
        <v>1205</v>
      </c>
      <c r="K911" t="s">
        <v>2573</v>
      </c>
      <c r="L911" s="7" t="s">
        <v>1417</v>
      </c>
      <c r="M911" s="7" t="s">
        <v>1427</v>
      </c>
      <c r="N911" s="14">
        <f>Greenleaf[[#This Row],[Unit Price]]*Greenleaf[[#This Row],[Quantity Sold]]</f>
        <v>225</v>
      </c>
      <c r="O911" s="13">
        <f>Greenleaf[[#This Row],[Unit Cost]]*Greenleaf[[#This Row],[Quantity Sold]]</f>
        <v>57.15</v>
      </c>
      <c r="P911" s="13">
        <f>Greenleaf[[#This Row],[ Unit  price per quantity]]-Greenleaf[[#This Row],[ Unit cost per quantity]]</f>
        <v>167.85</v>
      </c>
      <c r="Q911" s="14">
        <f>Greenleaf[[#This Row],[Quantity Sold]]*Greenleaf[[#This Row],[Unit Price]]</f>
        <v>225</v>
      </c>
    </row>
    <row r="912" spans="1:17" x14ac:dyDescent="0.25">
      <c r="A912" t="s">
        <v>2338</v>
      </c>
      <c r="B912" s="5">
        <v>45623</v>
      </c>
      <c r="C912" s="5" t="str">
        <f>TEXT(Greenleaf[[#This Row],[Order Date]],"MMM")</f>
        <v>Nov</v>
      </c>
      <c r="D912" s="5" t="str">
        <f>TEXT(Greenleaf[[#This Row],[Order Date]],"YYYY")</f>
        <v>2024</v>
      </c>
      <c r="E912" t="s">
        <v>2463</v>
      </c>
      <c r="F912" s="7" t="s">
        <v>1014</v>
      </c>
      <c r="G912" s="9">
        <v>2</v>
      </c>
      <c r="H912" s="11">
        <v>15</v>
      </c>
      <c r="I912" s="13">
        <v>4.1500000000000004</v>
      </c>
      <c r="J912" t="s">
        <v>1152</v>
      </c>
      <c r="K912" t="s">
        <v>2544</v>
      </c>
      <c r="L912" s="7" t="s">
        <v>1416</v>
      </c>
      <c r="M912" s="7" t="s">
        <v>1419</v>
      </c>
      <c r="N912" s="14">
        <f>Greenleaf[[#This Row],[Unit Price]]*Greenleaf[[#This Row],[Quantity Sold]]</f>
        <v>30</v>
      </c>
      <c r="O912" s="13">
        <f>Greenleaf[[#This Row],[Unit Cost]]*Greenleaf[[#This Row],[Quantity Sold]]</f>
        <v>8.3000000000000007</v>
      </c>
      <c r="P912" s="13">
        <f>Greenleaf[[#This Row],[ Unit  price per quantity]]-Greenleaf[[#This Row],[ Unit cost per quantity]]</f>
        <v>21.7</v>
      </c>
      <c r="Q912" s="14">
        <f>Greenleaf[[#This Row],[Quantity Sold]]*Greenleaf[[#This Row],[Unit Price]]</f>
        <v>30</v>
      </c>
    </row>
    <row r="913" spans="1:17" x14ac:dyDescent="0.25">
      <c r="A913" t="s">
        <v>2339</v>
      </c>
      <c r="B913" s="5">
        <v>45623</v>
      </c>
      <c r="C913" s="5" t="str">
        <f>TEXT(Greenleaf[[#This Row],[Order Date]],"MMM")</f>
        <v>Nov</v>
      </c>
      <c r="D913" s="5" t="str">
        <f>TEXT(Greenleaf[[#This Row],[Order Date]],"YYYY")</f>
        <v>2024</v>
      </c>
      <c r="E913" t="s">
        <v>2462</v>
      </c>
      <c r="F913" s="7" t="s">
        <v>1013</v>
      </c>
      <c r="G913" s="9">
        <v>3</v>
      </c>
      <c r="H913" s="11">
        <v>25</v>
      </c>
      <c r="I913" s="13">
        <v>9.27</v>
      </c>
      <c r="J913" t="s">
        <v>1073</v>
      </c>
      <c r="K913" t="s">
        <v>2562</v>
      </c>
      <c r="L913" s="7" t="s">
        <v>1417</v>
      </c>
      <c r="M913" s="7" t="s">
        <v>1423</v>
      </c>
      <c r="N913" s="14">
        <f>Greenleaf[[#This Row],[Unit Price]]*Greenleaf[[#This Row],[Quantity Sold]]</f>
        <v>75</v>
      </c>
      <c r="O913" s="13">
        <f>Greenleaf[[#This Row],[Unit Cost]]*Greenleaf[[#This Row],[Quantity Sold]]</f>
        <v>27.81</v>
      </c>
      <c r="P913" s="13">
        <f>Greenleaf[[#This Row],[ Unit  price per quantity]]-Greenleaf[[#This Row],[ Unit cost per quantity]]</f>
        <v>47.19</v>
      </c>
      <c r="Q913" s="14">
        <f>Greenleaf[[#This Row],[Quantity Sold]]*Greenleaf[[#This Row],[Unit Price]]</f>
        <v>75</v>
      </c>
    </row>
    <row r="914" spans="1:17" x14ac:dyDescent="0.25">
      <c r="A914" t="s">
        <v>2340</v>
      </c>
      <c r="B914" s="5">
        <v>45623</v>
      </c>
      <c r="C914" s="5" t="str">
        <f>TEXT(Greenleaf[[#This Row],[Order Date]],"MMM")</f>
        <v>Nov</v>
      </c>
      <c r="D914" s="5" t="str">
        <f>TEXT(Greenleaf[[#This Row],[Order Date]],"YYYY")</f>
        <v>2024</v>
      </c>
      <c r="E914" t="s">
        <v>2461</v>
      </c>
      <c r="F914" s="7" t="s">
        <v>1011</v>
      </c>
      <c r="G914" s="9">
        <v>4</v>
      </c>
      <c r="H914" s="11">
        <v>12</v>
      </c>
      <c r="I914" s="13">
        <v>4.3899999999999997</v>
      </c>
      <c r="J914" t="s">
        <v>1102</v>
      </c>
      <c r="K914" t="s">
        <v>2564</v>
      </c>
      <c r="L914" s="7" t="s">
        <v>1414</v>
      </c>
      <c r="M914" s="7" t="s">
        <v>1421</v>
      </c>
      <c r="N914" s="14">
        <f>Greenleaf[[#This Row],[Unit Price]]*Greenleaf[[#This Row],[Quantity Sold]]</f>
        <v>48</v>
      </c>
      <c r="O914" s="13">
        <f>Greenleaf[[#This Row],[Unit Cost]]*Greenleaf[[#This Row],[Quantity Sold]]</f>
        <v>17.559999999999999</v>
      </c>
      <c r="P914" s="13">
        <f>Greenleaf[[#This Row],[ Unit  price per quantity]]-Greenleaf[[#This Row],[ Unit cost per quantity]]</f>
        <v>30.44</v>
      </c>
      <c r="Q914" s="14">
        <f>Greenleaf[[#This Row],[Quantity Sold]]*Greenleaf[[#This Row],[Unit Price]]</f>
        <v>48</v>
      </c>
    </row>
    <row r="915" spans="1:17" x14ac:dyDescent="0.25">
      <c r="A915" t="s">
        <v>2341</v>
      </c>
      <c r="B915" s="5">
        <v>45623</v>
      </c>
      <c r="C915" s="5" t="str">
        <f>TEXT(Greenleaf[[#This Row],[Order Date]],"MMM")</f>
        <v>Nov</v>
      </c>
      <c r="D915" s="5" t="str">
        <f>TEXT(Greenleaf[[#This Row],[Order Date]],"YYYY")</f>
        <v>2024</v>
      </c>
      <c r="E915" t="s">
        <v>2462</v>
      </c>
      <c r="F915" s="7" t="s">
        <v>1013</v>
      </c>
      <c r="G915" s="9">
        <v>10</v>
      </c>
      <c r="H915" s="11">
        <v>25</v>
      </c>
      <c r="I915" s="13">
        <v>9.83</v>
      </c>
      <c r="J915" t="s">
        <v>1108</v>
      </c>
      <c r="K915" t="s">
        <v>2549</v>
      </c>
      <c r="L915" s="7" t="s">
        <v>1416</v>
      </c>
      <c r="M915" s="7" t="s">
        <v>1423</v>
      </c>
      <c r="N915" s="14">
        <f>Greenleaf[[#This Row],[Unit Price]]*Greenleaf[[#This Row],[Quantity Sold]]</f>
        <v>250</v>
      </c>
      <c r="O915" s="13">
        <f>Greenleaf[[#This Row],[Unit Cost]]*Greenleaf[[#This Row],[Quantity Sold]]</f>
        <v>98.3</v>
      </c>
      <c r="P915" s="13">
        <f>Greenleaf[[#This Row],[ Unit  price per quantity]]-Greenleaf[[#This Row],[ Unit cost per quantity]]</f>
        <v>151.69999999999999</v>
      </c>
      <c r="Q915" s="14">
        <f>Greenleaf[[#This Row],[Quantity Sold]]*Greenleaf[[#This Row],[Unit Price]]</f>
        <v>250</v>
      </c>
    </row>
    <row r="916" spans="1:17" x14ac:dyDescent="0.25">
      <c r="A916" t="s">
        <v>2342</v>
      </c>
      <c r="B916" s="5">
        <v>45623</v>
      </c>
      <c r="C916" s="5" t="str">
        <f>TEXT(Greenleaf[[#This Row],[Order Date]],"MMM")</f>
        <v>Nov</v>
      </c>
      <c r="D916" s="5" t="str">
        <f>TEXT(Greenleaf[[#This Row],[Order Date]],"YYYY")</f>
        <v>2024</v>
      </c>
      <c r="E916" t="s">
        <v>2461</v>
      </c>
      <c r="F916" s="7" t="s">
        <v>1011</v>
      </c>
      <c r="G916" s="9">
        <v>2</v>
      </c>
      <c r="H916" s="11">
        <v>12</v>
      </c>
      <c r="I916" s="13">
        <v>3.46</v>
      </c>
      <c r="J916" t="s">
        <v>1070</v>
      </c>
      <c r="K916" t="s">
        <v>2517</v>
      </c>
      <c r="L916" s="7" t="s">
        <v>1416</v>
      </c>
      <c r="M916" s="7" t="s">
        <v>1422</v>
      </c>
      <c r="N916" s="14">
        <f>Greenleaf[[#This Row],[Unit Price]]*Greenleaf[[#This Row],[Quantity Sold]]</f>
        <v>24</v>
      </c>
      <c r="O916" s="13">
        <f>Greenleaf[[#This Row],[Unit Cost]]*Greenleaf[[#This Row],[Quantity Sold]]</f>
        <v>6.92</v>
      </c>
      <c r="P916" s="13">
        <f>Greenleaf[[#This Row],[ Unit  price per quantity]]-Greenleaf[[#This Row],[ Unit cost per quantity]]</f>
        <v>17.079999999999998</v>
      </c>
      <c r="Q916" s="14">
        <f>Greenleaf[[#This Row],[Quantity Sold]]*Greenleaf[[#This Row],[Unit Price]]</f>
        <v>24</v>
      </c>
    </row>
    <row r="917" spans="1:17" x14ac:dyDescent="0.25">
      <c r="A917" t="s">
        <v>2343</v>
      </c>
      <c r="B917" s="5">
        <v>45624</v>
      </c>
      <c r="C917" s="5" t="str">
        <f>TEXT(Greenleaf[[#This Row],[Order Date]],"MMM")</f>
        <v>Nov</v>
      </c>
      <c r="D917" s="5" t="str">
        <f>TEXT(Greenleaf[[#This Row],[Order Date]],"YYYY")</f>
        <v>2024</v>
      </c>
      <c r="E917" t="s">
        <v>2462</v>
      </c>
      <c r="F917" s="7" t="s">
        <v>1013</v>
      </c>
      <c r="G917" s="9">
        <v>2</v>
      </c>
      <c r="H917" s="11">
        <v>25</v>
      </c>
      <c r="I917" s="13">
        <v>7.66</v>
      </c>
      <c r="J917" t="s">
        <v>1139</v>
      </c>
      <c r="K917" t="s">
        <v>2479</v>
      </c>
      <c r="L917" s="7" t="s">
        <v>1414</v>
      </c>
      <c r="M917" s="7" t="s">
        <v>1423</v>
      </c>
      <c r="N917" s="14">
        <f>Greenleaf[[#This Row],[Unit Price]]*Greenleaf[[#This Row],[Quantity Sold]]</f>
        <v>50</v>
      </c>
      <c r="O917" s="13">
        <f>Greenleaf[[#This Row],[Unit Cost]]*Greenleaf[[#This Row],[Quantity Sold]]</f>
        <v>15.32</v>
      </c>
      <c r="P917" s="13">
        <f>Greenleaf[[#This Row],[ Unit  price per quantity]]-Greenleaf[[#This Row],[ Unit cost per quantity]]</f>
        <v>34.68</v>
      </c>
      <c r="Q917" s="14">
        <f>Greenleaf[[#This Row],[Quantity Sold]]*Greenleaf[[#This Row],[Unit Price]]</f>
        <v>50</v>
      </c>
    </row>
    <row r="918" spans="1:17" x14ac:dyDescent="0.25">
      <c r="A918" t="s">
        <v>2344</v>
      </c>
      <c r="B918" s="5">
        <v>45625</v>
      </c>
      <c r="C918" s="5" t="str">
        <f>TEXT(Greenleaf[[#This Row],[Order Date]],"MMM")</f>
        <v>Nov</v>
      </c>
      <c r="D918" s="5" t="str">
        <f>TEXT(Greenleaf[[#This Row],[Order Date]],"YYYY")</f>
        <v>2024</v>
      </c>
      <c r="E918" t="s">
        <v>2460</v>
      </c>
      <c r="F918" s="7" t="s">
        <v>1015</v>
      </c>
      <c r="G918" s="9">
        <v>10</v>
      </c>
      <c r="H918" s="11">
        <v>10</v>
      </c>
      <c r="I918" s="13">
        <v>2.0299999999999998</v>
      </c>
      <c r="J918" t="s">
        <v>1057</v>
      </c>
      <c r="K918" t="s">
        <v>2528</v>
      </c>
      <c r="L918" s="7" t="s">
        <v>1416</v>
      </c>
      <c r="M918" s="7" t="s">
        <v>1426</v>
      </c>
      <c r="N918" s="14">
        <f>Greenleaf[[#This Row],[Unit Price]]*Greenleaf[[#This Row],[Quantity Sold]]</f>
        <v>100</v>
      </c>
      <c r="O918" s="13">
        <f>Greenleaf[[#This Row],[Unit Cost]]*Greenleaf[[#This Row],[Quantity Sold]]</f>
        <v>20.299999999999997</v>
      </c>
      <c r="P918" s="13">
        <f>Greenleaf[[#This Row],[ Unit  price per quantity]]-Greenleaf[[#This Row],[ Unit cost per quantity]]</f>
        <v>79.7</v>
      </c>
      <c r="Q918" s="14">
        <f>Greenleaf[[#This Row],[Quantity Sold]]*Greenleaf[[#This Row],[Unit Price]]</f>
        <v>100</v>
      </c>
    </row>
    <row r="919" spans="1:17" x14ac:dyDescent="0.25">
      <c r="A919" t="s">
        <v>2345</v>
      </c>
      <c r="B919" s="5">
        <v>45625</v>
      </c>
      <c r="C919" s="5" t="str">
        <f>TEXT(Greenleaf[[#This Row],[Order Date]],"MMM")</f>
        <v>Nov</v>
      </c>
      <c r="D919" s="5" t="str">
        <f>TEXT(Greenleaf[[#This Row],[Order Date]],"YYYY")</f>
        <v>2024</v>
      </c>
      <c r="E919" t="s">
        <v>2460</v>
      </c>
      <c r="F919" s="7" t="s">
        <v>1015</v>
      </c>
      <c r="G919" s="9">
        <v>10</v>
      </c>
      <c r="H919" s="11">
        <v>10</v>
      </c>
      <c r="I919" s="13">
        <v>3.83</v>
      </c>
      <c r="J919" t="s">
        <v>1153</v>
      </c>
      <c r="K919" t="s">
        <v>2566</v>
      </c>
      <c r="L919" s="7" t="s">
        <v>1417</v>
      </c>
      <c r="M919" s="7" t="s">
        <v>1423</v>
      </c>
      <c r="N919" s="14">
        <f>Greenleaf[[#This Row],[Unit Price]]*Greenleaf[[#This Row],[Quantity Sold]]</f>
        <v>100</v>
      </c>
      <c r="O919" s="13">
        <f>Greenleaf[[#This Row],[Unit Cost]]*Greenleaf[[#This Row],[Quantity Sold]]</f>
        <v>38.299999999999997</v>
      </c>
      <c r="P919" s="13">
        <f>Greenleaf[[#This Row],[ Unit  price per quantity]]-Greenleaf[[#This Row],[ Unit cost per quantity]]</f>
        <v>61.7</v>
      </c>
      <c r="Q919" s="14">
        <f>Greenleaf[[#This Row],[Quantity Sold]]*Greenleaf[[#This Row],[Unit Price]]</f>
        <v>100</v>
      </c>
    </row>
    <row r="920" spans="1:17" x14ac:dyDescent="0.25">
      <c r="A920" t="s">
        <v>2346</v>
      </c>
      <c r="B920" s="5">
        <v>45625</v>
      </c>
      <c r="C920" s="5" t="str">
        <f>TEXT(Greenleaf[[#This Row],[Order Date]],"MMM")</f>
        <v>Nov</v>
      </c>
      <c r="D920" s="5" t="str">
        <f>TEXT(Greenleaf[[#This Row],[Order Date]],"YYYY")</f>
        <v>2024</v>
      </c>
      <c r="E920" t="s">
        <v>2462</v>
      </c>
      <c r="F920" s="7" t="s">
        <v>1013</v>
      </c>
      <c r="G920" s="9">
        <v>2</v>
      </c>
      <c r="H920" s="11">
        <v>25</v>
      </c>
      <c r="I920" s="13">
        <v>7.63</v>
      </c>
      <c r="J920" t="s">
        <v>1133</v>
      </c>
      <c r="K920" t="s">
        <v>2488</v>
      </c>
      <c r="L920" s="7" t="s">
        <v>1415</v>
      </c>
      <c r="M920" s="7" t="s">
        <v>1426</v>
      </c>
      <c r="N920" s="14">
        <f>Greenleaf[[#This Row],[Unit Price]]*Greenleaf[[#This Row],[Quantity Sold]]</f>
        <v>50</v>
      </c>
      <c r="O920" s="13">
        <f>Greenleaf[[#This Row],[Unit Cost]]*Greenleaf[[#This Row],[Quantity Sold]]</f>
        <v>15.26</v>
      </c>
      <c r="P920" s="13">
        <f>Greenleaf[[#This Row],[ Unit  price per quantity]]-Greenleaf[[#This Row],[ Unit cost per quantity]]</f>
        <v>34.74</v>
      </c>
      <c r="Q920" s="14">
        <f>Greenleaf[[#This Row],[Quantity Sold]]*Greenleaf[[#This Row],[Unit Price]]</f>
        <v>50</v>
      </c>
    </row>
    <row r="921" spans="1:17" x14ac:dyDescent="0.25">
      <c r="A921" t="s">
        <v>2347</v>
      </c>
      <c r="B921" s="5">
        <v>45625</v>
      </c>
      <c r="C921" s="5" t="str">
        <f>TEXT(Greenleaf[[#This Row],[Order Date]],"MMM")</f>
        <v>Nov</v>
      </c>
      <c r="D921" s="5" t="str">
        <f>TEXT(Greenleaf[[#This Row],[Order Date]],"YYYY")</f>
        <v>2024</v>
      </c>
      <c r="E921" t="s">
        <v>2463</v>
      </c>
      <c r="F921" s="7" t="s">
        <v>1014</v>
      </c>
      <c r="G921" s="9">
        <v>4</v>
      </c>
      <c r="H921" s="11">
        <v>15</v>
      </c>
      <c r="I921" s="13">
        <v>4.93</v>
      </c>
      <c r="J921" t="s">
        <v>1170</v>
      </c>
      <c r="K921" t="s">
        <v>2493</v>
      </c>
      <c r="L921" s="7" t="s">
        <v>1414</v>
      </c>
      <c r="M921" s="7" t="s">
        <v>1421</v>
      </c>
      <c r="N921" s="14">
        <f>Greenleaf[[#This Row],[Unit Price]]*Greenleaf[[#This Row],[Quantity Sold]]</f>
        <v>60</v>
      </c>
      <c r="O921" s="13">
        <f>Greenleaf[[#This Row],[Unit Cost]]*Greenleaf[[#This Row],[Quantity Sold]]</f>
        <v>19.72</v>
      </c>
      <c r="P921" s="13">
        <f>Greenleaf[[#This Row],[ Unit  price per quantity]]-Greenleaf[[#This Row],[ Unit cost per quantity]]</f>
        <v>40.28</v>
      </c>
      <c r="Q921" s="14">
        <f>Greenleaf[[#This Row],[Quantity Sold]]*Greenleaf[[#This Row],[Unit Price]]</f>
        <v>60</v>
      </c>
    </row>
    <row r="922" spans="1:17" x14ac:dyDescent="0.25">
      <c r="A922" t="s">
        <v>2348</v>
      </c>
      <c r="B922" s="5">
        <v>45627</v>
      </c>
      <c r="C922" s="5" t="str">
        <f>TEXT(Greenleaf[[#This Row],[Order Date]],"MMM")</f>
        <v>Dec</v>
      </c>
      <c r="D922" s="5" t="str">
        <f>TEXT(Greenleaf[[#This Row],[Order Date]],"YYYY")</f>
        <v>2024</v>
      </c>
      <c r="E922" t="s">
        <v>2462</v>
      </c>
      <c r="F922" s="7" t="s">
        <v>1013</v>
      </c>
      <c r="G922" s="9">
        <v>8</v>
      </c>
      <c r="H922" s="11">
        <v>25</v>
      </c>
      <c r="I922" s="13">
        <v>7.07</v>
      </c>
      <c r="J922" t="s">
        <v>1106</v>
      </c>
      <c r="K922" t="s">
        <v>2565</v>
      </c>
      <c r="L922" s="7" t="s">
        <v>1414</v>
      </c>
      <c r="M922" s="7" t="s">
        <v>1419</v>
      </c>
      <c r="N922" s="14">
        <f>Greenleaf[[#This Row],[Unit Price]]*Greenleaf[[#This Row],[Quantity Sold]]</f>
        <v>200</v>
      </c>
      <c r="O922" s="13">
        <f>Greenleaf[[#This Row],[Unit Cost]]*Greenleaf[[#This Row],[Quantity Sold]]</f>
        <v>56.56</v>
      </c>
      <c r="P922" s="13">
        <f>Greenleaf[[#This Row],[ Unit  price per quantity]]-Greenleaf[[#This Row],[ Unit cost per quantity]]</f>
        <v>143.44</v>
      </c>
      <c r="Q922" s="14">
        <f>Greenleaf[[#This Row],[Quantity Sold]]*Greenleaf[[#This Row],[Unit Price]]</f>
        <v>200</v>
      </c>
    </row>
    <row r="923" spans="1:17" x14ac:dyDescent="0.25">
      <c r="A923" t="s">
        <v>2349</v>
      </c>
      <c r="B923" s="5">
        <v>45627</v>
      </c>
      <c r="C923" s="5" t="str">
        <f>TEXT(Greenleaf[[#This Row],[Order Date]],"MMM")</f>
        <v>Dec</v>
      </c>
      <c r="D923" s="5" t="str">
        <f>TEXT(Greenleaf[[#This Row],[Order Date]],"YYYY")</f>
        <v>2024</v>
      </c>
      <c r="E923" t="s">
        <v>2461</v>
      </c>
      <c r="F923" s="7" t="s">
        <v>1011</v>
      </c>
      <c r="G923" s="9">
        <v>9</v>
      </c>
      <c r="H923" s="11">
        <v>12</v>
      </c>
      <c r="I923" s="13">
        <v>2.78</v>
      </c>
      <c r="J923" t="s">
        <v>1157</v>
      </c>
      <c r="K923" t="s">
        <v>2491</v>
      </c>
      <c r="L923" s="7" t="s">
        <v>1416</v>
      </c>
      <c r="M923" s="7" t="s">
        <v>1422</v>
      </c>
      <c r="N923" s="14">
        <f>Greenleaf[[#This Row],[Unit Price]]*Greenleaf[[#This Row],[Quantity Sold]]</f>
        <v>108</v>
      </c>
      <c r="O923" s="13">
        <f>Greenleaf[[#This Row],[Unit Cost]]*Greenleaf[[#This Row],[Quantity Sold]]</f>
        <v>25.02</v>
      </c>
      <c r="P923" s="13">
        <f>Greenleaf[[#This Row],[ Unit  price per quantity]]-Greenleaf[[#This Row],[ Unit cost per quantity]]</f>
        <v>82.98</v>
      </c>
      <c r="Q923" s="14">
        <f>Greenleaf[[#This Row],[Quantity Sold]]*Greenleaf[[#This Row],[Unit Price]]</f>
        <v>108</v>
      </c>
    </row>
    <row r="924" spans="1:17" x14ac:dyDescent="0.25">
      <c r="A924" t="s">
        <v>2350</v>
      </c>
      <c r="B924" s="5">
        <v>45627</v>
      </c>
      <c r="C924" s="5" t="str">
        <f>TEXT(Greenleaf[[#This Row],[Order Date]],"MMM")</f>
        <v>Dec</v>
      </c>
      <c r="D924" s="5" t="str">
        <f>TEXT(Greenleaf[[#This Row],[Order Date]],"YYYY")</f>
        <v>2024</v>
      </c>
      <c r="E924" t="s">
        <v>2464</v>
      </c>
      <c r="F924" s="7" t="s">
        <v>1012</v>
      </c>
      <c r="G924" s="9">
        <v>3</v>
      </c>
      <c r="H924" s="11">
        <v>40</v>
      </c>
      <c r="I924" s="13">
        <v>15.33</v>
      </c>
      <c r="J924" t="s">
        <v>1101</v>
      </c>
      <c r="K924" t="s">
        <v>2559</v>
      </c>
      <c r="L924" s="7" t="s">
        <v>1414</v>
      </c>
      <c r="M924" s="7" t="s">
        <v>1418</v>
      </c>
      <c r="N924" s="14">
        <f>Greenleaf[[#This Row],[Unit Price]]*Greenleaf[[#This Row],[Quantity Sold]]</f>
        <v>120</v>
      </c>
      <c r="O924" s="13">
        <f>Greenleaf[[#This Row],[Unit Cost]]*Greenleaf[[#This Row],[Quantity Sold]]</f>
        <v>45.99</v>
      </c>
      <c r="P924" s="13">
        <f>Greenleaf[[#This Row],[ Unit  price per quantity]]-Greenleaf[[#This Row],[ Unit cost per quantity]]</f>
        <v>74.009999999999991</v>
      </c>
      <c r="Q924" s="14">
        <f>Greenleaf[[#This Row],[Quantity Sold]]*Greenleaf[[#This Row],[Unit Price]]</f>
        <v>120</v>
      </c>
    </row>
    <row r="925" spans="1:17" x14ac:dyDescent="0.25">
      <c r="A925" t="s">
        <v>2351</v>
      </c>
      <c r="B925" s="5">
        <v>45628</v>
      </c>
      <c r="C925" s="5" t="str">
        <f>TEXT(Greenleaf[[#This Row],[Order Date]],"MMM")</f>
        <v>Dec</v>
      </c>
      <c r="D925" s="5" t="str">
        <f>TEXT(Greenleaf[[#This Row],[Order Date]],"YYYY")</f>
        <v>2024</v>
      </c>
      <c r="E925" t="s">
        <v>2461</v>
      </c>
      <c r="F925" s="7" t="s">
        <v>1011</v>
      </c>
      <c r="G925" s="9">
        <v>1</v>
      </c>
      <c r="H925" s="11">
        <v>12</v>
      </c>
      <c r="I925" s="13">
        <v>4.46</v>
      </c>
      <c r="J925" t="s">
        <v>1067</v>
      </c>
      <c r="K925" t="s">
        <v>2475</v>
      </c>
      <c r="L925" s="7" t="s">
        <v>1416</v>
      </c>
      <c r="M925" s="7" t="s">
        <v>1422</v>
      </c>
      <c r="N925" s="14">
        <f>Greenleaf[[#This Row],[Unit Price]]*Greenleaf[[#This Row],[Quantity Sold]]</f>
        <v>12</v>
      </c>
      <c r="O925" s="13">
        <f>Greenleaf[[#This Row],[Unit Cost]]*Greenleaf[[#This Row],[Quantity Sold]]</f>
        <v>4.46</v>
      </c>
      <c r="P925" s="13">
        <f>Greenleaf[[#This Row],[ Unit  price per quantity]]-Greenleaf[[#This Row],[ Unit cost per quantity]]</f>
        <v>7.54</v>
      </c>
      <c r="Q925" s="14">
        <f>Greenleaf[[#This Row],[Quantity Sold]]*Greenleaf[[#This Row],[Unit Price]]</f>
        <v>12</v>
      </c>
    </row>
    <row r="926" spans="1:17" x14ac:dyDescent="0.25">
      <c r="A926" t="s">
        <v>2352</v>
      </c>
      <c r="B926" s="5">
        <v>45629</v>
      </c>
      <c r="C926" s="5" t="str">
        <f>TEXT(Greenleaf[[#This Row],[Order Date]],"MMM")</f>
        <v>Dec</v>
      </c>
      <c r="D926" s="5" t="str">
        <f>TEXT(Greenleaf[[#This Row],[Order Date]],"YYYY")</f>
        <v>2024</v>
      </c>
      <c r="E926" t="s">
        <v>2463</v>
      </c>
      <c r="F926" s="7" t="s">
        <v>1014</v>
      </c>
      <c r="G926" s="9">
        <v>10</v>
      </c>
      <c r="H926" s="11">
        <v>15</v>
      </c>
      <c r="I926" s="13">
        <v>3.12</v>
      </c>
      <c r="J926" t="s">
        <v>1063</v>
      </c>
      <c r="K926" t="s">
        <v>2588</v>
      </c>
      <c r="L926" s="7" t="s">
        <v>1414</v>
      </c>
      <c r="M926" s="7" t="s">
        <v>1423</v>
      </c>
      <c r="N926" s="14">
        <f>Greenleaf[[#This Row],[Unit Price]]*Greenleaf[[#This Row],[Quantity Sold]]</f>
        <v>150</v>
      </c>
      <c r="O926" s="13">
        <f>Greenleaf[[#This Row],[Unit Cost]]*Greenleaf[[#This Row],[Quantity Sold]]</f>
        <v>31.200000000000003</v>
      </c>
      <c r="P926" s="13">
        <f>Greenleaf[[#This Row],[ Unit  price per quantity]]-Greenleaf[[#This Row],[ Unit cost per quantity]]</f>
        <v>118.8</v>
      </c>
      <c r="Q926" s="14">
        <f>Greenleaf[[#This Row],[Quantity Sold]]*Greenleaf[[#This Row],[Unit Price]]</f>
        <v>150</v>
      </c>
    </row>
    <row r="927" spans="1:17" x14ac:dyDescent="0.25">
      <c r="A927" t="s">
        <v>2353</v>
      </c>
      <c r="B927" s="5">
        <v>45629</v>
      </c>
      <c r="C927" s="5" t="str">
        <f>TEXT(Greenleaf[[#This Row],[Order Date]],"MMM")</f>
        <v>Dec</v>
      </c>
      <c r="D927" s="5" t="str">
        <f>TEXT(Greenleaf[[#This Row],[Order Date]],"YYYY")</f>
        <v>2024</v>
      </c>
      <c r="E927" t="s">
        <v>2462</v>
      </c>
      <c r="F927" s="7" t="s">
        <v>1013</v>
      </c>
      <c r="G927" s="9">
        <v>5</v>
      </c>
      <c r="H927" s="11">
        <v>25</v>
      </c>
      <c r="I927" s="13">
        <v>5.22</v>
      </c>
      <c r="J927" t="s">
        <v>1129</v>
      </c>
      <c r="K927" t="s">
        <v>2535</v>
      </c>
      <c r="L927" s="7" t="s">
        <v>1415</v>
      </c>
      <c r="M927" s="7" t="s">
        <v>1426</v>
      </c>
      <c r="N927" s="14">
        <f>Greenleaf[[#This Row],[Unit Price]]*Greenleaf[[#This Row],[Quantity Sold]]</f>
        <v>125</v>
      </c>
      <c r="O927" s="13">
        <f>Greenleaf[[#This Row],[Unit Cost]]*Greenleaf[[#This Row],[Quantity Sold]]</f>
        <v>26.099999999999998</v>
      </c>
      <c r="P927" s="13">
        <f>Greenleaf[[#This Row],[ Unit  price per quantity]]-Greenleaf[[#This Row],[ Unit cost per quantity]]</f>
        <v>98.9</v>
      </c>
      <c r="Q927" s="14">
        <f>Greenleaf[[#This Row],[Quantity Sold]]*Greenleaf[[#This Row],[Unit Price]]</f>
        <v>125</v>
      </c>
    </row>
    <row r="928" spans="1:17" x14ac:dyDescent="0.25">
      <c r="A928" t="s">
        <v>2354</v>
      </c>
      <c r="B928" s="5">
        <v>45630</v>
      </c>
      <c r="C928" s="5" t="str">
        <f>TEXT(Greenleaf[[#This Row],[Order Date]],"MMM")</f>
        <v>Dec</v>
      </c>
      <c r="D928" s="5" t="str">
        <f>TEXT(Greenleaf[[#This Row],[Order Date]],"YYYY")</f>
        <v>2024</v>
      </c>
      <c r="E928" t="s">
        <v>2462</v>
      </c>
      <c r="F928" s="7" t="s">
        <v>1013</v>
      </c>
      <c r="G928" s="9">
        <v>2</v>
      </c>
      <c r="H928" s="11">
        <v>25</v>
      </c>
      <c r="I928" s="13">
        <v>7.12</v>
      </c>
      <c r="J928" t="s">
        <v>1096</v>
      </c>
      <c r="K928" t="s">
        <v>2526</v>
      </c>
      <c r="L928" s="7" t="s">
        <v>1415</v>
      </c>
      <c r="M928" s="7" t="s">
        <v>1420</v>
      </c>
      <c r="N928" s="14">
        <f>Greenleaf[[#This Row],[Unit Price]]*Greenleaf[[#This Row],[Quantity Sold]]</f>
        <v>50</v>
      </c>
      <c r="O928" s="13">
        <f>Greenleaf[[#This Row],[Unit Cost]]*Greenleaf[[#This Row],[Quantity Sold]]</f>
        <v>14.24</v>
      </c>
      <c r="P928" s="13">
        <f>Greenleaf[[#This Row],[ Unit  price per quantity]]-Greenleaf[[#This Row],[ Unit cost per quantity]]</f>
        <v>35.76</v>
      </c>
      <c r="Q928" s="14">
        <f>Greenleaf[[#This Row],[Quantity Sold]]*Greenleaf[[#This Row],[Unit Price]]</f>
        <v>50</v>
      </c>
    </row>
    <row r="929" spans="1:17" x14ac:dyDescent="0.25">
      <c r="A929" t="s">
        <v>2355</v>
      </c>
      <c r="B929" s="5">
        <v>45631</v>
      </c>
      <c r="C929" s="5" t="str">
        <f>TEXT(Greenleaf[[#This Row],[Order Date]],"MMM")</f>
        <v>Dec</v>
      </c>
      <c r="D929" s="5" t="str">
        <f>TEXT(Greenleaf[[#This Row],[Order Date]],"YYYY")</f>
        <v>2024</v>
      </c>
      <c r="E929" t="s">
        <v>2461</v>
      </c>
      <c r="F929" s="7" t="s">
        <v>1011</v>
      </c>
      <c r="G929" s="9">
        <v>4</v>
      </c>
      <c r="H929" s="11">
        <v>12</v>
      </c>
      <c r="I929" s="13">
        <v>4.01</v>
      </c>
      <c r="J929" t="s">
        <v>1033</v>
      </c>
      <c r="K929" t="s">
        <v>2594</v>
      </c>
      <c r="L929" s="7" t="s">
        <v>1414</v>
      </c>
      <c r="M929" s="7" t="s">
        <v>1426</v>
      </c>
      <c r="N929" s="14">
        <f>Greenleaf[[#This Row],[Unit Price]]*Greenleaf[[#This Row],[Quantity Sold]]</f>
        <v>48</v>
      </c>
      <c r="O929" s="13">
        <f>Greenleaf[[#This Row],[Unit Cost]]*Greenleaf[[#This Row],[Quantity Sold]]</f>
        <v>16.04</v>
      </c>
      <c r="P929" s="13">
        <f>Greenleaf[[#This Row],[ Unit  price per quantity]]-Greenleaf[[#This Row],[ Unit cost per quantity]]</f>
        <v>31.96</v>
      </c>
      <c r="Q929" s="14">
        <f>Greenleaf[[#This Row],[Quantity Sold]]*Greenleaf[[#This Row],[Unit Price]]</f>
        <v>48</v>
      </c>
    </row>
    <row r="930" spans="1:17" x14ac:dyDescent="0.25">
      <c r="A930" t="s">
        <v>2356</v>
      </c>
      <c r="B930" s="5">
        <v>45631</v>
      </c>
      <c r="C930" s="5" t="str">
        <f>TEXT(Greenleaf[[#This Row],[Order Date]],"MMM")</f>
        <v>Dec</v>
      </c>
      <c r="D930" s="5" t="str">
        <f>TEXT(Greenleaf[[#This Row],[Order Date]],"YYYY")</f>
        <v>2024</v>
      </c>
      <c r="E930" t="s">
        <v>2464</v>
      </c>
      <c r="F930" s="7" t="s">
        <v>1012</v>
      </c>
      <c r="G930" s="9">
        <v>8</v>
      </c>
      <c r="H930" s="11">
        <v>40</v>
      </c>
      <c r="I930" s="13">
        <v>8.52</v>
      </c>
      <c r="J930" t="s">
        <v>1093</v>
      </c>
      <c r="K930" t="s">
        <v>2527</v>
      </c>
      <c r="L930" s="7" t="s">
        <v>1414</v>
      </c>
      <c r="M930" s="7" t="s">
        <v>1418</v>
      </c>
      <c r="N930" s="14">
        <f>Greenleaf[[#This Row],[Unit Price]]*Greenleaf[[#This Row],[Quantity Sold]]</f>
        <v>320</v>
      </c>
      <c r="O930" s="13">
        <f>Greenleaf[[#This Row],[Unit Cost]]*Greenleaf[[#This Row],[Quantity Sold]]</f>
        <v>68.16</v>
      </c>
      <c r="P930" s="13">
        <f>Greenleaf[[#This Row],[ Unit  price per quantity]]-Greenleaf[[#This Row],[ Unit cost per quantity]]</f>
        <v>251.84</v>
      </c>
      <c r="Q930" s="14">
        <f>Greenleaf[[#This Row],[Quantity Sold]]*Greenleaf[[#This Row],[Unit Price]]</f>
        <v>320</v>
      </c>
    </row>
    <row r="931" spans="1:17" x14ac:dyDescent="0.25">
      <c r="A931" t="s">
        <v>2357</v>
      </c>
      <c r="B931" s="5">
        <v>45631</v>
      </c>
      <c r="C931" s="5" t="str">
        <f>TEXT(Greenleaf[[#This Row],[Order Date]],"MMM")</f>
        <v>Dec</v>
      </c>
      <c r="D931" s="5" t="str">
        <f>TEXT(Greenleaf[[#This Row],[Order Date]],"YYYY")</f>
        <v>2024</v>
      </c>
      <c r="E931" t="s">
        <v>2462</v>
      </c>
      <c r="F931" s="7" t="s">
        <v>1013</v>
      </c>
      <c r="G931" s="9">
        <v>10</v>
      </c>
      <c r="H931" s="11">
        <v>25</v>
      </c>
      <c r="I931" s="13">
        <v>6.39</v>
      </c>
      <c r="J931" t="s">
        <v>1038</v>
      </c>
      <c r="K931" t="s">
        <v>2572</v>
      </c>
      <c r="L931" s="7" t="s">
        <v>1416</v>
      </c>
      <c r="M931" s="7" t="s">
        <v>1425</v>
      </c>
      <c r="N931" s="14">
        <f>Greenleaf[[#This Row],[Unit Price]]*Greenleaf[[#This Row],[Quantity Sold]]</f>
        <v>250</v>
      </c>
      <c r="O931" s="13">
        <f>Greenleaf[[#This Row],[Unit Cost]]*Greenleaf[[#This Row],[Quantity Sold]]</f>
        <v>63.9</v>
      </c>
      <c r="P931" s="13">
        <f>Greenleaf[[#This Row],[ Unit  price per quantity]]-Greenleaf[[#This Row],[ Unit cost per quantity]]</f>
        <v>186.1</v>
      </c>
      <c r="Q931" s="14">
        <f>Greenleaf[[#This Row],[Quantity Sold]]*Greenleaf[[#This Row],[Unit Price]]</f>
        <v>250</v>
      </c>
    </row>
    <row r="932" spans="1:17" x14ac:dyDescent="0.25">
      <c r="A932" t="s">
        <v>2358</v>
      </c>
      <c r="B932" s="5">
        <v>45631</v>
      </c>
      <c r="C932" s="5" t="str">
        <f>TEXT(Greenleaf[[#This Row],[Order Date]],"MMM")</f>
        <v>Dec</v>
      </c>
      <c r="D932" s="5" t="str">
        <f>TEXT(Greenleaf[[#This Row],[Order Date]],"YYYY")</f>
        <v>2024</v>
      </c>
      <c r="E932" t="s">
        <v>2462</v>
      </c>
      <c r="F932" s="7" t="s">
        <v>1013</v>
      </c>
      <c r="G932" s="9">
        <v>6</v>
      </c>
      <c r="H932" s="11">
        <v>25</v>
      </c>
      <c r="I932" s="13">
        <v>7.8</v>
      </c>
      <c r="J932" t="s">
        <v>1077</v>
      </c>
      <c r="K932" t="s">
        <v>2538</v>
      </c>
      <c r="L932" s="7" t="s">
        <v>1416</v>
      </c>
      <c r="M932" s="7" t="s">
        <v>1420</v>
      </c>
      <c r="N932" s="14">
        <f>Greenleaf[[#This Row],[Unit Price]]*Greenleaf[[#This Row],[Quantity Sold]]</f>
        <v>150</v>
      </c>
      <c r="O932" s="13">
        <f>Greenleaf[[#This Row],[Unit Cost]]*Greenleaf[[#This Row],[Quantity Sold]]</f>
        <v>46.8</v>
      </c>
      <c r="P932" s="13">
        <f>Greenleaf[[#This Row],[ Unit  price per quantity]]-Greenleaf[[#This Row],[ Unit cost per quantity]]</f>
        <v>103.2</v>
      </c>
      <c r="Q932" s="14">
        <f>Greenleaf[[#This Row],[Quantity Sold]]*Greenleaf[[#This Row],[Unit Price]]</f>
        <v>150</v>
      </c>
    </row>
    <row r="933" spans="1:17" x14ac:dyDescent="0.25">
      <c r="A933" t="s">
        <v>2359</v>
      </c>
      <c r="B933" s="5">
        <v>45631</v>
      </c>
      <c r="C933" s="5" t="str">
        <f>TEXT(Greenleaf[[#This Row],[Order Date]],"MMM")</f>
        <v>Dec</v>
      </c>
      <c r="D933" s="5" t="str">
        <f>TEXT(Greenleaf[[#This Row],[Order Date]],"YYYY")</f>
        <v>2024</v>
      </c>
      <c r="E933" t="s">
        <v>2464</v>
      </c>
      <c r="F933" s="7" t="s">
        <v>1012</v>
      </c>
      <c r="G933" s="9">
        <v>4</v>
      </c>
      <c r="H933" s="11">
        <v>40</v>
      </c>
      <c r="I933" s="13">
        <v>8.2899999999999991</v>
      </c>
      <c r="J933" t="s">
        <v>1186</v>
      </c>
      <c r="K933" t="s">
        <v>2477</v>
      </c>
      <c r="L933" s="7" t="s">
        <v>1416</v>
      </c>
      <c r="M933" s="7" t="s">
        <v>1422</v>
      </c>
      <c r="N933" s="14">
        <f>Greenleaf[[#This Row],[Unit Price]]*Greenleaf[[#This Row],[Quantity Sold]]</f>
        <v>160</v>
      </c>
      <c r="O933" s="13">
        <f>Greenleaf[[#This Row],[Unit Cost]]*Greenleaf[[#This Row],[Quantity Sold]]</f>
        <v>33.159999999999997</v>
      </c>
      <c r="P933" s="13">
        <f>Greenleaf[[#This Row],[ Unit  price per quantity]]-Greenleaf[[#This Row],[ Unit cost per quantity]]</f>
        <v>126.84</v>
      </c>
      <c r="Q933" s="14">
        <f>Greenleaf[[#This Row],[Quantity Sold]]*Greenleaf[[#This Row],[Unit Price]]</f>
        <v>160</v>
      </c>
    </row>
    <row r="934" spans="1:17" x14ac:dyDescent="0.25">
      <c r="A934" t="s">
        <v>2360</v>
      </c>
      <c r="B934" s="5">
        <v>45632</v>
      </c>
      <c r="C934" s="5" t="str">
        <f>TEXT(Greenleaf[[#This Row],[Order Date]],"MMM")</f>
        <v>Dec</v>
      </c>
      <c r="D934" s="5" t="str">
        <f>TEXT(Greenleaf[[#This Row],[Order Date]],"YYYY")</f>
        <v>2024</v>
      </c>
      <c r="E934" t="s">
        <v>2460</v>
      </c>
      <c r="F934" s="7" t="s">
        <v>1015</v>
      </c>
      <c r="G934" s="9">
        <v>10</v>
      </c>
      <c r="H934" s="11">
        <v>10</v>
      </c>
      <c r="I934" s="13">
        <v>3.14</v>
      </c>
      <c r="J934" t="s">
        <v>1169</v>
      </c>
      <c r="K934" t="s">
        <v>2514</v>
      </c>
      <c r="L934" s="7" t="s">
        <v>1414</v>
      </c>
      <c r="M934" s="7" t="s">
        <v>1421</v>
      </c>
      <c r="N934" s="14">
        <f>Greenleaf[[#This Row],[Unit Price]]*Greenleaf[[#This Row],[Quantity Sold]]</f>
        <v>100</v>
      </c>
      <c r="O934" s="13">
        <f>Greenleaf[[#This Row],[Unit Cost]]*Greenleaf[[#This Row],[Quantity Sold]]</f>
        <v>31.400000000000002</v>
      </c>
      <c r="P934" s="13">
        <f>Greenleaf[[#This Row],[ Unit  price per quantity]]-Greenleaf[[#This Row],[ Unit cost per quantity]]</f>
        <v>68.599999999999994</v>
      </c>
      <c r="Q934" s="14">
        <f>Greenleaf[[#This Row],[Quantity Sold]]*Greenleaf[[#This Row],[Unit Price]]</f>
        <v>100</v>
      </c>
    </row>
    <row r="935" spans="1:17" x14ac:dyDescent="0.25">
      <c r="A935" t="s">
        <v>2361</v>
      </c>
      <c r="B935" s="5">
        <v>45632</v>
      </c>
      <c r="C935" s="5" t="str">
        <f>TEXT(Greenleaf[[#This Row],[Order Date]],"MMM")</f>
        <v>Dec</v>
      </c>
      <c r="D935" s="5" t="str">
        <f>TEXT(Greenleaf[[#This Row],[Order Date]],"YYYY")</f>
        <v>2024</v>
      </c>
      <c r="E935" t="s">
        <v>2462</v>
      </c>
      <c r="F935" s="7" t="s">
        <v>1013</v>
      </c>
      <c r="G935" s="9">
        <v>3</v>
      </c>
      <c r="H935" s="11">
        <v>25</v>
      </c>
      <c r="I935" s="13">
        <v>8.4700000000000006</v>
      </c>
      <c r="J935" t="s">
        <v>1179</v>
      </c>
      <c r="K935" t="s">
        <v>2570</v>
      </c>
      <c r="L935" s="7" t="s">
        <v>1416</v>
      </c>
      <c r="M935" s="7" t="s">
        <v>1422</v>
      </c>
      <c r="N935" s="14">
        <f>Greenleaf[[#This Row],[Unit Price]]*Greenleaf[[#This Row],[Quantity Sold]]</f>
        <v>75</v>
      </c>
      <c r="O935" s="13">
        <f>Greenleaf[[#This Row],[Unit Cost]]*Greenleaf[[#This Row],[Quantity Sold]]</f>
        <v>25.410000000000004</v>
      </c>
      <c r="P935" s="13">
        <f>Greenleaf[[#This Row],[ Unit  price per quantity]]-Greenleaf[[#This Row],[ Unit cost per quantity]]</f>
        <v>49.589999999999996</v>
      </c>
      <c r="Q935" s="14">
        <f>Greenleaf[[#This Row],[Quantity Sold]]*Greenleaf[[#This Row],[Unit Price]]</f>
        <v>75</v>
      </c>
    </row>
    <row r="936" spans="1:17" x14ac:dyDescent="0.25">
      <c r="A936" t="s">
        <v>2362</v>
      </c>
      <c r="B936" s="5">
        <v>45632</v>
      </c>
      <c r="C936" s="5" t="str">
        <f>TEXT(Greenleaf[[#This Row],[Order Date]],"MMM")</f>
        <v>Dec</v>
      </c>
      <c r="D936" s="5" t="str">
        <f>TEXT(Greenleaf[[#This Row],[Order Date]],"YYYY")</f>
        <v>2024</v>
      </c>
      <c r="E936" t="s">
        <v>2464</v>
      </c>
      <c r="F936" s="7" t="s">
        <v>1012</v>
      </c>
      <c r="G936" s="9">
        <v>9</v>
      </c>
      <c r="H936" s="11">
        <v>40</v>
      </c>
      <c r="I936" s="13">
        <v>14.84</v>
      </c>
      <c r="J936" t="s">
        <v>1121</v>
      </c>
      <c r="K936" t="s">
        <v>2509</v>
      </c>
      <c r="L936" s="7" t="s">
        <v>1414</v>
      </c>
      <c r="M936" s="7" t="s">
        <v>1418</v>
      </c>
      <c r="N936" s="14">
        <f>Greenleaf[[#This Row],[Unit Price]]*Greenleaf[[#This Row],[Quantity Sold]]</f>
        <v>360</v>
      </c>
      <c r="O936" s="13">
        <f>Greenleaf[[#This Row],[Unit Cost]]*Greenleaf[[#This Row],[Quantity Sold]]</f>
        <v>133.56</v>
      </c>
      <c r="P936" s="13">
        <f>Greenleaf[[#This Row],[ Unit  price per quantity]]-Greenleaf[[#This Row],[ Unit cost per quantity]]</f>
        <v>226.44</v>
      </c>
      <c r="Q936" s="14">
        <f>Greenleaf[[#This Row],[Quantity Sold]]*Greenleaf[[#This Row],[Unit Price]]</f>
        <v>360</v>
      </c>
    </row>
    <row r="937" spans="1:17" x14ac:dyDescent="0.25">
      <c r="A937" t="s">
        <v>2363</v>
      </c>
      <c r="B937" s="5">
        <v>45633</v>
      </c>
      <c r="C937" s="5" t="str">
        <f>TEXT(Greenleaf[[#This Row],[Order Date]],"MMM")</f>
        <v>Dec</v>
      </c>
      <c r="D937" s="5" t="str">
        <f>TEXT(Greenleaf[[#This Row],[Order Date]],"YYYY")</f>
        <v>2024</v>
      </c>
      <c r="E937" t="s">
        <v>2460</v>
      </c>
      <c r="F937" s="7" t="s">
        <v>1015</v>
      </c>
      <c r="G937" s="9">
        <v>6</v>
      </c>
      <c r="H937" s="11">
        <v>10</v>
      </c>
      <c r="I937" s="13">
        <v>3.49</v>
      </c>
      <c r="J937" t="s">
        <v>1095</v>
      </c>
      <c r="K937" t="s">
        <v>2524</v>
      </c>
      <c r="L937" s="7" t="s">
        <v>1414</v>
      </c>
      <c r="M937" s="7" t="s">
        <v>1421</v>
      </c>
      <c r="N937" s="14">
        <f>Greenleaf[[#This Row],[Unit Price]]*Greenleaf[[#This Row],[Quantity Sold]]</f>
        <v>60</v>
      </c>
      <c r="O937" s="13">
        <f>Greenleaf[[#This Row],[Unit Cost]]*Greenleaf[[#This Row],[Quantity Sold]]</f>
        <v>20.94</v>
      </c>
      <c r="P937" s="13">
        <f>Greenleaf[[#This Row],[ Unit  price per quantity]]-Greenleaf[[#This Row],[ Unit cost per quantity]]</f>
        <v>39.06</v>
      </c>
      <c r="Q937" s="14">
        <f>Greenleaf[[#This Row],[Quantity Sold]]*Greenleaf[[#This Row],[Unit Price]]</f>
        <v>60</v>
      </c>
    </row>
    <row r="938" spans="1:17" x14ac:dyDescent="0.25">
      <c r="A938" t="s">
        <v>2364</v>
      </c>
      <c r="B938" s="5">
        <v>45633</v>
      </c>
      <c r="C938" s="5" t="str">
        <f>TEXT(Greenleaf[[#This Row],[Order Date]],"MMM")</f>
        <v>Dec</v>
      </c>
      <c r="D938" s="5" t="str">
        <f>TEXT(Greenleaf[[#This Row],[Order Date]],"YYYY")</f>
        <v>2024</v>
      </c>
      <c r="E938" t="s">
        <v>2463</v>
      </c>
      <c r="F938" s="7" t="s">
        <v>1014</v>
      </c>
      <c r="G938" s="9">
        <v>2</v>
      </c>
      <c r="H938" s="11">
        <v>15</v>
      </c>
      <c r="I938" s="13">
        <v>5.61</v>
      </c>
      <c r="J938" t="s">
        <v>1112</v>
      </c>
      <c r="K938" t="s">
        <v>2495</v>
      </c>
      <c r="L938" s="7" t="s">
        <v>1414</v>
      </c>
      <c r="M938" s="7" t="s">
        <v>1418</v>
      </c>
      <c r="N938" s="14">
        <f>Greenleaf[[#This Row],[Unit Price]]*Greenleaf[[#This Row],[Quantity Sold]]</f>
        <v>30</v>
      </c>
      <c r="O938" s="13">
        <f>Greenleaf[[#This Row],[Unit Cost]]*Greenleaf[[#This Row],[Quantity Sold]]</f>
        <v>11.22</v>
      </c>
      <c r="P938" s="13">
        <f>Greenleaf[[#This Row],[ Unit  price per quantity]]-Greenleaf[[#This Row],[ Unit cost per quantity]]</f>
        <v>18.78</v>
      </c>
      <c r="Q938" s="14">
        <f>Greenleaf[[#This Row],[Quantity Sold]]*Greenleaf[[#This Row],[Unit Price]]</f>
        <v>30</v>
      </c>
    </row>
    <row r="939" spans="1:17" x14ac:dyDescent="0.25">
      <c r="A939" t="s">
        <v>2365</v>
      </c>
      <c r="B939" s="5">
        <v>45633</v>
      </c>
      <c r="C939" s="5" t="str">
        <f>TEXT(Greenleaf[[#This Row],[Order Date]],"MMM")</f>
        <v>Dec</v>
      </c>
      <c r="D939" s="5" t="str">
        <f>TEXT(Greenleaf[[#This Row],[Order Date]],"YYYY")</f>
        <v>2024</v>
      </c>
      <c r="E939" t="s">
        <v>2462</v>
      </c>
      <c r="F939" s="7" t="s">
        <v>1013</v>
      </c>
      <c r="G939" s="9">
        <v>7</v>
      </c>
      <c r="H939" s="11">
        <v>25</v>
      </c>
      <c r="I939" s="13">
        <v>7.45</v>
      </c>
      <c r="J939" t="s">
        <v>1047</v>
      </c>
      <c r="K939" t="s">
        <v>2476</v>
      </c>
      <c r="L939" s="7" t="s">
        <v>1414</v>
      </c>
      <c r="M939" s="7" t="s">
        <v>1420</v>
      </c>
      <c r="N939" s="14">
        <f>Greenleaf[[#This Row],[Unit Price]]*Greenleaf[[#This Row],[Quantity Sold]]</f>
        <v>175</v>
      </c>
      <c r="O939" s="13">
        <f>Greenleaf[[#This Row],[Unit Cost]]*Greenleaf[[#This Row],[Quantity Sold]]</f>
        <v>52.15</v>
      </c>
      <c r="P939" s="13">
        <f>Greenleaf[[#This Row],[ Unit  price per quantity]]-Greenleaf[[#This Row],[ Unit cost per quantity]]</f>
        <v>122.85</v>
      </c>
      <c r="Q939" s="14">
        <f>Greenleaf[[#This Row],[Quantity Sold]]*Greenleaf[[#This Row],[Unit Price]]</f>
        <v>175</v>
      </c>
    </row>
    <row r="940" spans="1:17" x14ac:dyDescent="0.25">
      <c r="A940" t="s">
        <v>2366</v>
      </c>
      <c r="B940" s="5">
        <v>45635</v>
      </c>
      <c r="C940" s="5" t="str">
        <f>TEXT(Greenleaf[[#This Row],[Order Date]],"MMM")</f>
        <v>Dec</v>
      </c>
      <c r="D940" s="5" t="str">
        <f>TEXT(Greenleaf[[#This Row],[Order Date]],"YYYY")</f>
        <v>2024</v>
      </c>
      <c r="E940" t="s">
        <v>2464</v>
      </c>
      <c r="F940" s="7" t="s">
        <v>1012</v>
      </c>
      <c r="G940" s="9">
        <v>3</v>
      </c>
      <c r="H940" s="11">
        <v>40</v>
      </c>
      <c r="I940" s="13">
        <v>13.88</v>
      </c>
      <c r="J940" t="s">
        <v>1200</v>
      </c>
      <c r="K940" t="s">
        <v>2559</v>
      </c>
      <c r="L940" s="7" t="s">
        <v>1414</v>
      </c>
      <c r="M940" s="7" t="s">
        <v>1426</v>
      </c>
      <c r="N940" s="14">
        <f>Greenleaf[[#This Row],[Unit Price]]*Greenleaf[[#This Row],[Quantity Sold]]</f>
        <v>120</v>
      </c>
      <c r="O940" s="13">
        <f>Greenleaf[[#This Row],[Unit Cost]]*Greenleaf[[#This Row],[Quantity Sold]]</f>
        <v>41.64</v>
      </c>
      <c r="P940" s="13">
        <f>Greenleaf[[#This Row],[ Unit  price per quantity]]-Greenleaf[[#This Row],[ Unit cost per quantity]]</f>
        <v>78.36</v>
      </c>
      <c r="Q940" s="14">
        <f>Greenleaf[[#This Row],[Quantity Sold]]*Greenleaf[[#This Row],[Unit Price]]</f>
        <v>120</v>
      </c>
    </row>
    <row r="941" spans="1:17" x14ac:dyDescent="0.25">
      <c r="A941" t="s">
        <v>2367</v>
      </c>
      <c r="B941" s="5">
        <v>45635</v>
      </c>
      <c r="C941" s="5" t="str">
        <f>TEXT(Greenleaf[[#This Row],[Order Date]],"MMM")</f>
        <v>Dec</v>
      </c>
      <c r="D941" s="5" t="str">
        <f>TEXT(Greenleaf[[#This Row],[Order Date]],"YYYY")</f>
        <v>2024</v>
      </c>
      <c r="E941" t="s">
        <v>2464</v>
      </c>
      <c r="F941" s="7" t="s">
        <v>1012</v>
      </c>
      <c r="G941" s="9">
        <v>10</v>
      </c>
      <c r="H941" s="11">
        <v>40</v>
      </c>
      <c r="I941" s="13">
        <v>10.5</v>
      </c>
      <c r="J941" t="s">
        <v>1072</v>
      </c>
      <c r="K941" t="s">
        <v>2571</v>
      </c>
      <c r="L941" s="7" t="s">
        <v>1414</v>
      </c>
      <c r="M941" s="7" t="s">
        <v>1425</v>
      </c>
      <c r="N941" s="14">
        <f>Greenleaf[[#This Row],[Unit Price]]*Greenleaf[[#This Row],[Quantity Sold]]</f>
        <v>400</v>
      </c>
      <c r="O941" s="13">
        <f>Greenleaf[[#This Row],[Unit Cost]]*Greenleaf[[#This Row],[Quantity Sold]]</f>
        <v>105</v>
      </c>
      <c r="P941" s="13">
        <f>Greenleaf[[#This Row],[ Unit  price per quantity]]-Greenleaf[[#This Row],[ Unit cost per quantity]]</f>
        <v>295</v>
      </c>
      <c r="Q941" s="14">
        <f>Greenleaf[[#This Row],[Quantity Sold]]*Greenleaf[[#This Row],[Unit Price]]</f>
        <v>400</v>
      </c>
    </row>
    <row r="942" spans="1:17" x14ac:dyDescent="0.25">
      <c r="A942" t="s">
        <v>2368</v>
      </c>
      <c r="B942" s="5">
        <v>45636</v>
      </c>
      <c r="C942" s="5" t="str">
        <f>TEXT(Greenleaf[[#This Row],[Order Date]],"MMM")</f>
        <v>Dec</v>
      </c>
      <c r="D942" s="5" t="str">
        <f>TEXT(Greenleaf[[#This Row],[Order Date]],"YYYY")</f>
        <v>2024</v>
      </c>
      <c r="E942" t="s">
        <v>2463</v>
      </c>
      <c r="F942" s="7" t="s">
        <v>1014</v>
      </c>
      <c r="G942" s="9">
        <v>3</v>
      </c>
      <c r="H942" s="11">
        <v>15</v>
      </c>
      <c r="I942" s="13">
        <v>3.32</v>
      </c>
      <c r="J942" t="s">
        <v>1103</v>
      </c>
      <c r="K942" t="s">
        <v>2518</v>
      </c>
      <c r="L942" s="7" t="s">
        <v>1414</v>
      </c>
      <c r="M942" s="7" t="s">
        <v>1419</v>
      </c>
      <c r="N942" s="14">
        <f>Greenleaf[[#This Row],[Unit Price]]*Greenleaf[[#This Row],[Quantity Sold]]</f>
        <v>45</v>
      </c>
      <c r="O942" s="13">
        <f>Greenleaf[[#This Row],[Unit Cost]]*Greenleaf[[#This Row],[Quantity Sold]]</f>
        <v>9.9599999999999991</v>
      </c>
      <c r="P942" s="13">
        <f>Greenleaf[[#This Row],[ Unit  price per quantity]]-Greenleaf[[#This Row],[ Unit cost per quantity]]</f>
        <v>35.04</v>
      </c>
      <c r="Q942" s="14">
        <f>Greenleaf[[#This Row],[Quantity Sold]]*Greenleaf[[#This Row],[Unit Price]]</f>
        <v>45</v>
      </c>
    </row>
    <row r="943" spans="1:17" x14ac:dyDescent="0.25">
      <c r="A943" t="s">
        <v>2369</v>
      </c>
      <c r="B943" s="5">
        <v>45636</v>
      </c>
      <c r="C943" s="5" t="str">
        <f>TEXT(Greenleaf[[#This Row],[Order Date]],"MMM")</f>
        <v>Dec</v>
      </c>
      <c r="D943" s="5" t="str">
        <f>TEXT(Greenleaf[[#This Row],[Order Date]],"YYYY")</f>
        <v>2024</v>
      </c>
      <c r="E943" t="s">
        <v>2464</v>
      </c>
      <c r="F943" s="7" t="s">
        <v>1012</v>
      </c>
      <c r="G943" s="9">
        <v>10</v>
      </c>
      <c r="H943" s="11">
        <v>40</v>
      </c>
      <c r="I943" s="13">
        <v>11.45</v>
      </c>
      <c r="J943" t="s">
        <v>1100</v>
      </c>
      <c r="K943" t="s">
        <v>2512</v>
      </c>
      <c r="L943" s="7" t="s">
        <v>1415</v>
      </c>
      <c r="M943" s="7" t="s">
        <v>1425</v>
      </c>
      <c r="N943" s="14">
        <f>Greenleaf[[#This Row],[Unit Price]]*Greenleaf[[#This Row],[Quantity Sold]]</f>
        <v>400</v>
      </c>
      <c r="O943" s="13">
        <f>Greenleaf[[#This Row],[Unit Cost]]*Greenleaf[[#This Row],[Quantity Sold]]</f>
        <v>114.5</v>
      </c>
      <c r="P943" s="13">
        <f>Greenleaf[[#This Row],[ Unit  price per quantity]]-Greenleaf[[#This Row],[ Unit cost per quantity]]</f>
        <v>285.5</v>
      </c>
      <c r="Q943" s="14">
        <f>Greenleaf[[#This Row],[Quantity Sold]]*Greenleaf[[#This Row],[Unit Price]]</f>
        <v>400</v>
      </c>
    </row>
    <row r="944" spans="1:17" x14ac:dyDescent="0.25">
      <c r="A944" t="s">
        <v>2370</v>
      </c>
      <c r="B944" s="5">
        <v>45637</v>
      </c>
      <c r="C944" s="5" t="str">
        <f>TEXT(Greenleaf[[#This Row],[Order Date]],"MMM")</f>
        <v>Dec</v>
      </c>
      <c r="D944" s="5" t="str">
        <f>TEXT(Greenleaf[[#This Row],[Order Date]],"YYYY")</f>
        <v>2024</v>
      </c>
      <c r="E944" t="s">
        <v>2462</v>
      </c>
      <c r="F944" s="7" t="s">
        <v>1013</v>
      </c>
      <c r="G944" s="9">
        <v>10</v>
      </c>
      <c r="H944" s="11">
        <v>25</v>
      </c>
      <c r="I944" s="13">
        <v>9.69</v>
      </c>
      <c r="J944" t="s">
        <v>1083</v>
      </c>
      <c r="K944" t="s">
        <v>2526</v>
      </c>
      <c r="L944" s="7" t="s">
        <v>1414</v>
      </c>
      <c r="M944" s="7" t="s">
        <v>1419</v>
      </c>
      <c r="N944" s="14">
        <f>Greenleaf[[#This Row],[Unit Price]]*Greenleaf[[#This Row],[Quantity Sold]]</f>
        <v>250</v>
      </c>
      <c r="O944" s="13">
        <f>Greenleaf[[#This Row],[Unit Cost]]*Greenleaf[[#This Row],[Quantity Sold]]</f>
        <v>96.899999999999991</v>
      </c>
      <c r="P944" s="13">
        <f>Greenleaf[[#This Row],[ Unit  price per quantity]]-Greenleaf[[#This Row],[ Unit cost per quantity]]</f>
        <v>153.10000000000002</v>
      </c>
      <c r="Q944" s="14">
        <f>Greenleaf[[#This Row],[Quantity Sold]]*Greenleaf[[#This Row],[Unit Price]]</f>
        <v>250</v>
      </c>
    </row>
    <row r="945" spans="1:17" x14ac:dyDescent="0.25">
      <c r="A945" t="s">
        <v>2371</v>
      </c>
      <c r="B945" s="5">
        <v>45637</v>
      </c>
      <c r="C945" s="5" t="str">
        <f>TEXT(Greenleaf[[#This Row],[Order Date]],"MMM")</f>
        <v>Dec</v>
      </c>
      <c r="D945" s="5" t="str">
        <f>TEXT(Greenleaf[[#This Row],[Order Date]],"YYYY")</f>
        <v>2024</v>
      </c>
      <c r="E945" t="s">
        <v>2461</v>
      </c>
      <c r="F945" s="7" t="s">
        <v>1011</v>
      </c>
      <c r="G945" s="9">
        <v>9</v>
      </c>
      <c r="H945" s="11">
        <v>12</v>
      </c>
      <c r="I945" s="13">
        <v>3.65</v>
      </c>
      <c r="J945" t="s">
        <v>1171</v>
      </c>
      <c r="K945" t="s">
        <v>2518</v>
      </c>
      <c r="L945" s="7" t="s">
        <v>1415</v>
      </c>
      <c r="M945" s="7" t="s">
        <v>1418</v>
      </c>
      <c r="N945" s="14">
        <f>Greenleaf[[#This Row],[Unit Price]]*Greenleaf[[#This Row],[Quantity Sold]]</f>
        <v>108</v>
      </c>
      <c r="O945" s="13">
        <f>Greenleaf[[#This Row],[Unit Cost]]*Greenleaf[[#This Row],[Quantity Sold]]</f>
        <v>32.85</v>
      </c>
      <c r="P945" s="13">
        <f>Greenleaf[[#This Row],[ Unit  price per quantity]]-Greenleaf[[#This Row],[ Unit cost per quantity]]</f>
        <v>75.150000000000006</v>
      </c>
      <c r="Q945" s="14">
        <f>Greenleaf[[#This Row],[Quantity Sold]]*Greenleaf[[#This Row],[Unit Price]]</f>
        <v>108</v>
      </c>
    </row>
    <row r="946" spans="1:17" x14ac:dyDescent="0.25">
      <c r="A946" t="s">
        <v>2372</v>
      </c>
      <c r="B946" s="5">
        <v>45637</v>
      </c>
      <c r="C946" s="5" t="str">
        <f>TEXT(Greenleaf[[#This Row],[Order Date]],"MMM")</f>
        <v>Dec</v>
      </c>
      <c r="D946" s="5" t="str">
        <f>TEXT(Greenleaf[[#This Row],[Order Date]],"YYYY")</f>
        <v>2024</v>
      </c>
      <c r="E946" t="s">
        <v>2462</v>
      </c>
      <c r="F946" s="7" t="s">
        <v>1013</v>
      </c>
      <c r="G946" s="9">
        <v>5</v>
      </c>
      <c r="H946" s="11">
        <v>25</v>
      </c>
      <c r="I946" s="13">
        <v>8.9600000000000009</v>
      </c>
      <c r="J946" t="s">
        <v>1179</v>
      </c>
      <c r="K946" t="s">
        <v>2570</v>
      </c>
      <c r="L946" s="7" t="s">
        <v>1414</v>
      </c>
      <c r="M946" s="7" t="s">
        <v>1422</v>
      </c>
      <c r="N946" s="14">
        <f>Greenleaf[[#This Row],[Unit Price]]*Greenleaf[[#This Row],[Quantity Sold]]</f>
        <v>125</v>
      </c>
      <c r="O946" s="13">
        <f>Greenleaf[[#This Row],[Unit Cost]]*Greenleaf[[#This Row],[Quantity Sold]]</f>
        <v>44.800000000000004</v>
      </c>
      <c r="P946" s="13">
        <f>Greenleaf[[#This Row],[ Unit  price per quantity]]-Greenleaf[[#This Row],[ Unit cost per quantity]]</f>
        <v>80.199999999999989</v>
      </c>
      <c r="Q946" s="14">
        <f>Greenleaf[[#This Row],[Quantity Sold]]*Greenleaf[[#This Row],[Unit Price]]</f>
        <v>125</v>
      </c>
    </row>
    <row r="947" spans="1:17" x14ac:dyDescent="0.25">
      <c r="A947" t="s">
        <v>2373</v>
      </c>
      <c r="B947" s="5">
        <v>45637</v>
      </c>
      <c r="C947" s="5" t="str">
        <f>TEXT(Greenleaf[[#This Row],[Order Date]],"MMM")</f>
        <v>Dec</v>
      </c>
      <c r="D947" s="5" t="str">
        <f>TEXT(Greenleaf[[#This Row],[Order Date]],"YYYY")</f>
        <v>2024</v>
      </c>
      <c r="E947" t="s">
        <v>2462</v>
      </c>
      <c r="F947" s="7" t="s">
        <v>1013</v>
      </c>
      <c r="G947" s="9">
        <v>4</v>
      </c>
      <c r="H947" s="11">
        <v>25</v>
      </c>
      <c r="I947" s="13">
        <v>9.9499999999999993</v>
      </c>
      <c r="J947" t="s">
        <v>1052</v>
      </c>
      <c r="K947" t="s">
        <v>2504</v>
      </c>
      <c r="L947" s="7" t="s">
        <v>1414</v>
      </c>
      <c r="M947" s="7" t="s">
        <v>1422</v>
      </c>
      <c r="N947" s="14">
        <f>Greenleaf[[#This Row],[Unit Price]]*Greenleaf[[#This Row],[Quantity Sold]]</f>
        <v>100</v>
      </c>
      <c r="O947" s="13">
        <f>Greenleaf[[#This Row],[Unit Cost]]*Greenleaf[[#This Row],[Quantity Sold]]</f>
        <v>39.799999999999997</v>
      </c>
      <c r="P947" s="13">
        <f>Greenleaf[[#This Row],[ Unit  price per quantity]]-Greenleaf[[#This Row],[ Unit cost per quantity]]</f>
        <v>60.2</v>
      </c>
      <c r="Q947" s="14">
        <f>Greenleaf[[#This Row],[Quantity Sold]]*Greenleaf[[#This Row],[Unit Price]]</f>
        <v>100</v>
      </c>
    </row>
    <row r="948" spans="1:17" x14ac:dyDescent="0.25">
      <c r="A948" t="s">
        <v>2374</v>
      </c>
      <c r="B948" s="5">
        <v>45637</v>
      </c>
      <c r="C948" s="5" t="str">
        <f>TEXT(Greenleaf[[#This Row],[Order Date]],"MMM")</f>
        <v>Dec</v>
      </c>
      <c r="D948" s="5" t="str">
        <f>TEXT(Greenleaf[[#This Row],[Order Date]],"YYYY")</f>
        <v>2024</v>
      </c>
      <c r="E948" t="s">
        <v>2461</v>
      </c>
      <c r="F948" s="7" t="s">
        <v>1011</v>
      </c>
      <c r="G948" s="9">
        <v>3</v>
      </c>
      <c r="H948" s="11">
        <v>12</v>
      </c>
      <c r="I948" s="13">
        <v>4.3899999999999997</v>
      </c>
      <c r="J948" t="s">
        <v>1129</v>
      </c>
      <c r="K948" t="s">
        <v>2535</v>
      </c>
      <c r="L948" s="7" t="s">
        <v>1416</v>
      </c>
      <c r="M948" s="7" t="s">
        <v>1422</v>
      </c>
      <c r="N948" s="14">
        <f>Greenleaf[[#This Row],[Unit Price]]*Greenleaf[[#This Row],[Quantity Sold]]</f>
        <v>36</v>
      </c>
      <c r="O948" s="13">
        <f>Greenleaf[[#This Row],[Unit Cost]]*Greenleaf[[#This Row],[Quantity Sold]]</f>
        <v>13.169999999999998</v>
      </c>
      <c r="P948" s="13">
        <f>Greenleaf[[#This Row],[ Unit  price per quantity]]-Greenleaf[[#This Row],[ Unit cost per quantity]]</f>
        <v>22.830000000000002</v>
      </c>
      <c r="Q948" s="14">
        <f>Greenleaf[[#This Row],[Quantity Sold]]*Greenleaf[[#This Row],[Unit Price]]</f>
        <v>36</v>
      </c>
    </row>
    <row r="949" spans="1:17" x14ac:dyDescent="0.25">
      <c r="A949" t="s">
        <v>2375</v>
      </c>
      <c r="B949" s="5">
        <v>45638</v>
      </c>
      <c r="C949" s="5" t="str">
        <f>TEXT(Greenleaf[[#This Row],[Order Date]],"MMM")</f>
        <v>Dec</v>
      </c>
      <c r="D949" s="5" t="str">
        <f>TEXT(Greenleaf[[#This Row],[Order Date]],"YYYY")</f>
        <v>2024</v>
      </c>
      <c r="E949" t="s">
        <v>2462</v>
      </c>
      <c r="F949" s="7" t="s">
        <v>1013</v>
      </c>
      <c r="G949" s="9">
        <v>5</v>
      </c>
      <c r="H949" s="11">
        <v>25</v>
      </c>
      <c r="I949" s="13">
        <v>9.1199999999999992</v>
      </c>
      <c r="J949" t="s">
        <v>1028</v>
      </c>
      <c r="K949" t="s">
        <v>2555</v>
      </c>
      <c r="L949" s="7" t="s">
        <v>1414</v>
      </c>
      <c r="M949" s="7" t="s">
        <v>1427</v>
      </c>
      <c r="N949" s="14">
        <f>Greenleaf[[#This Row],[Unit Price]]*Greenleaf[[#This Row],[Quantity Sold]]</f>
        <v>125</v>
      </c>
      <c r="O949" s="13">
        <f>Greenleaf[[#This Row],[Unit Cost]]*Greenleaf[[#This Row],[Quantity Sold]]</f>
        <v>45.599999999999994</v>
      </c>
      <c r="P949" s="13">
        <f>Greenleaf[[#This Row],[ Unit  price per quantity]]-Greenleaf[[#This Row],[ Unit cost per quantity]]</f>
        <v>79.400000000000006</v>
      </c>
      <c r="Q949" s="14">
        <f>Greenleaf[[#This Row],[Quantity Sold]]*Greenleaf[[#This Row],[Unit Price]]</f>
        <v>125</v>
      </c>
    </row>
    <row r="950" spans="1:17" x14ac:dyDescent="0.25">
      <c r="A950" t="s">
        <v>2376</v>
      </c>
      <c r="B950" s="5">
        <v>45638</v>
      </c>
      <c r="C950" s="5" t="str">
        <f>TEXT(Greenleaf[[#This Row],[Order Date]],"MMM")</f>
        <v>Dec</v>
      </c>
      <c r="D950" s="5" t="str">
        <f>TEXT(Greenleaf[[#This Row],[Order Date]],"YYYY")</f>
        <v>2024</v>
      </c>
      <c r="E950" t="s">
        <v>2460</v>
      </c>
      <c r="F950" s="7" t="s">
        <v>1015</v>
      </c>
      <c r="G950" s="9">
        <v>5</v>
      </c>
      <c r="H950" s="11">
        <v>10</v>
      </c>
      <c r="I950" s="13">
        <v>2.04</v>
      </c>
      <c r="J950" t="s">
        <v>1152</v>
      </c>
      <c r="K950" t="s">
        <v>2544</v>
      </c>
      <c r="L950" s="7" t="s">
        <v>1414</v>
      </c>
      <c r="M950" s="7" t="s">
        <v>1418</v>
      </c>
      <c r="N950" s="14">
        <f>Greenleaf[[#This Row],[Unit Price]]*Greenleaf[[#This Row],[Quantity Sold]]</f>
        <v>50</v>
      </c>
      <c r="O950" s="13">
        <f>Greenleaf[[#This Row],[Unit Cost]]*Greenleaf[[#This Row],[Quantity Sold]]</f>
        <v>10.199999999999999</v>
      </c>
      <c r="P950" s="13">
        <f>Greenleaf[[#This Row],[ Unit  price per quantity]]-Greenleaf[[#This Row],[ Unit cost per quantity]]</f>
        <v>39.799999999999997</v>
      </c>
      <c r="Q950" s="14">
        <f>Greenleaf[[#This Row],[Quantity Sold]]*Greenleaf[[#This Row],[Unit Price]]</f>
        <v>50</v>
      </c>
    </row>
    <row r="951" spans="1:17" x14ac:dyDescent="0.25">
      <c r="A951" t="s">
        <v>2377</v>
      </c>
      <c r="B951" s="5">
        <v>45639</v>
      </c>
      <c r="C951" s="5" t="str">
        <f>TEXT(Greenleaf[[#This Row],[Order Date]],"MMM")</f>
        <v>Dec</v>
      </c>
      <c r="D951" s="5" t="str">
        <f>TEXT(Greenleaf[[#This Row],[Order Date]],"YYYY")</f>
        <v>2024</v>
      </c>
      <c r="E951" t="s">
        <v>2463</v>
      </c>
      <c r="F951" s="7" t="s">
        <v>1014</v>
      </c>
      <c r="G951" s="9">
        <v>5</v>
      </c>
      <c r="H951" s="11">
        <v>15</v>
      </c>
      <c r="I951" s="13">
        <v>5.67</v>
      </c>
      <c r="J951" t="s">
        <v>1154</v>
      </c>
      <c r="K951" t="s">
        <v>2490</v>
      </c>
      <c r="L951" s="7" t="s">
        <v>1414</v>
      </c>
      <c r="M951" s="7" t="s">
        <v>1420</v>
      </c>
      <c r="N951" s="14">
        <f>Greenleaf[[#This Row],[Unit Price]]*Greenleaf[[#This Row],[Quantity Sold]]</f>
        <v>75</v>
      </c>
      <c r="O951" s="13">
        <f>Greenleaf[[#This Row],[Unit Cost]]*Greenleaf[[#This Row],[Quantity Sold]]</f>
        <v>28.35</v>
      </c>
      <c r="P951" s="13">
        <f>Greenleaf[[#This Row],[ Unit  price per quantity]]-Greenleaf[[#This Row],[ Unit cost per quantity]]</f>
        <v>46.65</v>
      </c>
      <c r="Q951" s="14">
        <f>Greenleaf[[#This Row],[Quantity Sold]]*Greenleaf[[#This Row],[Unit Price]]</f>
        <v>75</v>
      </c>
    </row>
    <row r="952" spans="1:17" x14ac:dyDescent="0.25">
      <c r="A952" t="s">
        <v>2378</v>
      </c>
      <c r="B952" s="5">
        <v>45639</v>
      </c>
      <c r="C952" s="5" t="str">
        <f>TEXT(Greenleaf[[#This Row],[Order Date]],"MMM")</f>
        <v>Dec</v>
      </c>
      <c r="D952" s="5" t="str">
        <f>TEXT(Greenleaf[[#This Row],[Order Date]],"YYYY")</f>
        <v>2024</v>
      </c>
      <c r="E952" t="s">
        <v>2463</v>
      </c>
      <c r="F952" s="7" t="s">
        <v>1014</v>
      </c>
      <c r="G952" s="9">
        <v>1</v>
      </c>
      <c r="H952" s="11">
        <v>15</v>
      </c>
      <c r="I952" s="13">
        <v>5.36</v>
      </c>
      <c r="J952" t="s">
        <v>1151</v>
      </c>
      <c r="K952" t="s">
        <v>2568</v>
      </c>
      <c r="L952" s="7" t="s">
        <v>1417</v>
      </c>
      <c r="M952" s="7" t="s">
        <v>1424</v>
      </c>
      <c r="N952" s="14">
        <f>Greenleaf[[#This Row],[Unit Price]]*Greenleaf[[#This Row],[Quantity Sold]]</f>
        <v>15</v>
      </c>
      <c r="O952" s="13">
        <f>Greenleaf[[#This Row],[Unit Cost]]*Greenleaf[[#This Row],[Quantity Sold]]</f>
        <v>5.36</v>
      </c>
      <c r="P952" s="13">
        <f>Greenleaf[[#This Row],[ Unit  price per quantity]]-Greenleaf[[#This Row],[ Unit cost per quantity]]</f>
        <v>9.64</v>
      </c>
      <c r="Q952" s="14">
        <f>Greenleaf[[#This Row],[Quantity Sold]]*Greenleaf[[#This Row],[Unit Price]]</f>
        <v>15</v>
      </c>
    </row>
    <row r="953" spans="1:17" x14ac:dyDescent="0.25">
      <c r="A953" t="s">
        <v>2379</v>
      </c>
      <c r="B953" s="5">
        <v>45640</v>
      </c>
      <c r="C953" s="5" t="str">
        <f>TEXT(Greenleaf[[#This Row],[Order Date]],"MMM")</f>
        <v>Dec</v>
      </c>
      <c r="D953" s="5" t="str">
        <f>TEXT(Greenleaf[[#This Row],[Order Date]],"YYYY")</f>
        <v>2024</v>
      </c>
      <c r="E953" t="s">
        <v>2463</v>
      </c>
      <c r="F953" s="7" t="s">
        <v>1014</v>
      </c>
      <c r="G953" s="9">
        <v>5</v>
      </c>
      <c r="H953" s="11">
        <v>15</v>
      </c>
      <c r="I953" s="13">
        <v>3.45</v>
      </c>
      <c r="J953" t="s">
        <v>1063</v>
      </c>
      <c r="K953" t="s">
        <v>2588</v>
      </c>
      <c r="L953" s="7" t="s">
        <v>1414</v>
      </c>
      <c r="M953" s="7" t="s">
        <v>1424</v>
      </c>
      <c r="N953" s="14">
        <f>Greenleaf[[#This Row],[Unit Price]]*Greenleaf[[#This Row],[Quantity Sold]]</f>
        <v>75</v>
      </c>
      <c r="O953" s="13">
        <f>Greenleaf[[#This Row],[Unit Cost]]*Greenleaf[[#This Row],[Quantity Sold]]</f>
        <v>17.25</v>
      </c>
      <c r="P953" s="13">
        <f>Greenleaf[[#This Row],[ Unit  price per quantity]]-Greenleaf[[#This Row],[ Unit cost per quantity]]</f>
        <v>57.75</v>
      </c>
      <c r="Q953" s="14">
        <f>Greenleaf[[#This Row],[Quantity Sold]]*Greenleaf[[#This Row],[Unit Price]]</f>
        <v>75</v>
      </c>
    </row>
    <row r="954" spans="1:17" x14ac:dyDescent="0.25">
      <c r="A954" t="s">
        <v>2380</v>
      </c>
      <c r="B954" s="5">
        <v>45641</v>
      </c>
      <c r="C954" s="5" t="str">
        <f>TEXT(Greenleaf[[#This Row],[Order Date]],"MMM")</f>
        <v>Dec</v>
      </c>
      <c r="D954" s="5" t="str">
        <f>TEXT(Greenleaf[[#This Row],[Order Date]],"YYYY")</f>
        <v>2024</v>
      </c>
      <c r="E954" t="s">
        <v>2461</v>
      </c>
      <c r="F954" s="7" t="s">
        <v>1011</v>
      </c>
      <c r="G954" s="9">
        <v>9</v>
      </c>
      <c r="H954" s="11">
        <v>12</v>
      </c>
      <c r="I954" s="13">
        <v>3.54</v>
      </c>
      <c r="J954" t="s">
        <v>1149</v>
      </c>
      <c r="K954" t="s">
        <v>2505</v>
      </c>
      <c r="L954" s="7" t="s">
        <v>1414</v>
      </c>
      <c r="M954" s="7" t="s">
        <v>1421</v>
      </c>
      <c r="N954" s="14">
        <f>Greenleaf[[#This Row],[Unit Price]]*Greenleaf[[#This Row],[Quantity Sold]]</f>
        <v>108</v>
      </c>
      <c r="O954" s="13">
        <f>Greenleaf[[#This Row],[Unit Cost]]*Greenleaf[[#This Row],[Quantity Sold]]</f>
        <v>31.86</v>
      </c>
      <c r="P954" s="13">
        <f>Greenleaf[[#This Row],[ Unit  price per quantity]]-Greenleaf[[#This Row],[ Unit cost per quantity]]</f>
        <v>76.14</v>
      </c>
      <c r="Q954" s="14">
        <f>Greenleaf[[#This Row],[Quantity Sold]]*Greenleaf[[#This Row],[Unit Price]]</f>
        <v>108</v>
      </c>
    </row>
    <row r="955" spans="1:17" x14ac:dyDescent="0.25">
      <c r="A955" t="s">
        <v>2381</v>
      </c>
      <c r="B955" s="5">
        <v>45641</v>
      </c>
      <c r="C955" s="5" t="str">
        <f>TEXT(Greenleaf[[#This Row],[Order Date]],"MMM")</f>
        <v>Dec</v>
      </c>
      <c r="D955" s="5" t="str">
        <f>TEXT(Greenleaf[[#This Row],[Order Date]],"YYYY")</f>
        <v>2024</v>
      </c>
      <c r="E955" t="s">
        <v>2461</v>
      </c>
      <c r="F955" s="7" t="s">
        <v>1011</v>
      </c>
      <c r="G955" s="9">
        <v>5</v>
      </c>
      <c r="H955" s="11">
        <v>12</v>
      </c>
      <c r="I955" s="13">
        <v>4.01</v>
      </c>
      <c r="J955" t="s">
        <v>1037</v>
      </c>
      <c r="K955" t="s">
        <v>2544</v>
      </c>
      <c r="L955" s="7" t="s">
        <v>1414</v>
      </c>
      <c r="M955" s="7" t="s">
        <v>1424</v>
      </c>
      <c r="N955" s="14">
        <f>Greenleaf[[#This Row],[Unit Price]]*Greenleaf[[#This Row],[Quantity Sold]]</f>
        <v>60</v>
      </c>
      <c r="O955" s="13">
        <f>Greenleaf[[#This Row],[Unit Cost]]*Greenleaf[[#This Row],[Quantity Sold]]</f>
        <v>20.049999999999997</v>
      </c>
      <c r="P955" s="13">
        <f>Greenleaf[[#This Row],[ Unit  price per quantity]]-Greenleaf[[#This Row],[ Unit cost per quantity]]</f>
        <v>39.950000000000003</v>
      </c>
      <c r="Q955" s="14">
        <f>Greenleaf[[#This Row],[Quantity Sold]]*Greenleaf[[#This Row],[Unit Price]]</f>
        <v>60</v>
      </c>
    </row>
    <row r="956" spans="1:17" x14ac:dyDescent="0.25">
      <c r="A956" t="s">
        <v>2382</v>
      </c>
      <c r="B956" s="5">
        <v>45641</v>
      </c>
      <c r="C956" s="5" t="str">
        <f>TEXT(Greenleaf[[#This Row],[Order Date]],"MMM")</f>
        <v>Dec</v>
      </c>
      <c r="D956" s="5" t="str">
        <f>TEXT(Greenleaf[[#This Row],[Order Date]],"YYYY")</f>
        <v>2024</v>
      </c>
      <c r="E956" t="s">
        <v>2464</v>
      </c>
      <c r="F956" s="7" t="s">
        <v>1012</v>
      </c>
      <c r="G956" s="9">
        <v>10</v>
      </c>
      <c r="H956" s="11">
        <v>40</v>
      </c>
      <c r="I956" s="13">
        <v>15.7</v>
      </c>
      <c r="J956" t="s">
        <v>1032</v>
      </c>
      <c r="K956" t="s">
        <v>2556</v>
      </c>
      <c r="L956" s="7" t="s">
        <v>1416</v>
      </c>
      <c r="M956" s="7" t="s">
        <v>1422</v>
      </c>
      <c r="N956" s="14">
        <f>Greenleaf[[#This Row],[Unit Price]]*Greenleaf[[#This Row],[Quantity Sold]]</f>
        <v>400</v>
      </c>
      <c r="O956" s="13">
        <f>Greenleaf[[#This Row],[Unit Cost]]*Greenleaf[[#This Row],[Quantity Sold]]</f>
        <v>157</v>
      </c>
      <c r="P956" s="13">
        <f>Greenleaf[[#This Row],[ Unit  price per quantity]]-Greenleaf[[#This Row],[ Unit cost per quantity]]</f>
        <v>243</v>
      </c>
      <c r="Q956" s="14">
        <f>Greenleaf[[#This Row],[Quantity Sold]]*Greenleaf[[#This Row],[Unit Price]]</f>
        <v>400</v>
      </c>
    </row>
    <row r="957" spans="1:17" x14ac:dyDescent="0.25">
      <c r="A957" t="s">
        <v>2383</v>
      </c>
      <c r="B957" s="5">
        <v>45641</v>
      </c>
      <c r="C957" s="5" t="str">
        <f>TEXT(Greenleaf[[#This Row],[Order Date]],"MMM")</f>
        <v>Dec</v>
      </c>
      <c r="D957" s="5" t="str">
        <f>TEXT(Greenleaf[[#This Row],[Order Date]],"YYYY")</f>
        <v>2024</v>
      </c>
      <c r="E957" t="s">
        <v>2464</v>
      </c>
      <c r="F957" s="7" t="s">
        <v>1012</v>
      </c>
      <c r="G957" s="9">
        <v>3</v>
      </c>
      <c r="H957" s="11">
        <v>40</v>
      </c>
      <c r="I957" s="13">
        <v>12.54</v>
      </c>
      <c r="J957" t="s">
        <v>1091</v>
      </c>
      <c r="K957" t="s">
        <v>2569</v>
      </c>
      <c r="L957" s="7" t="s">
        <v>1414</v>
      </c>
      <c r="M957" s="7" t="s">
        <v>1422</v>
      </c>
      <c r="N957" s="14">
        <f>Greenleaf[[#This Row],[Unit Price]]*Greenleaf[[#This Row],[Quantity Sold]]</f>
        <v>120</v>
      </c>
      <c r="O957" s="13">
        <f>Greenleaf[[#This Row],[Unit Cost]]*Greenleaf[[#This Row],[Quantity Sold]]</f>
        <v>37.619999999999997</v>
      </c>
      <c r="P957" s="13">
        <f>Greenleaf[[#This Row],[ Unit  price per quantity]]-Greenleaf[[#This Row],[ Unit cost per quantity]]</f>
        <v>82.38</v>
      </c>
      <c r="Q957" s="14">
        <f>Greenleaf[[#This Row],[Quantity Sold]]*Greenleaf[[#This Row],[Unit Price]]</f>
        <v>120</v>
      </c>
    </row>
    <row r="958" spans="1:17" x14ac:dyDescent="0.25">
      <c r="A958" t="s">
        <v>2384</v>
      </c>
      <c r="B958" s="5">
        <v>45641</v>
      </c>
      <c r="C958" s="5" t="str">
        <f>TEXT(Greenleaf[[#This Row],[Order Date]],"MMM")</f>
        <v>Dec</v>
      </c>
      <c r="D958" s="5" t="str">
        <f>TEXT(Greenleaf[[#This Row],[Order Date]],"YYYY")</f>
        <v>2024</v>
      </c>
      <c r="E958" t="s">
        <v>2462</v>
      </c>
      <c r="F958" s="7" t="s">
        <v>1013</v>
      </c>
      <c r="G958" s="9">
        <v>5</v>
      </c>
      <c r="H958" s="11">
        <v>25</v>
      </c>
      <c r="I958" s="13">
        <v>8.98</v>
      </c>
      <c r="J958" t="s">
        <v>1113</v>
      </c>
      <c r="K958" t="s">
        <v>2540</v>
      </c>
      <c r="L958" s="7" t="s">
        <v>1415</v>
      </c>
      <c r="M958" s="7" t="s">
        <v>1418</v>
      </c>
      <c r="N958" s="14">
        <f>Greenleaf[[#This Row],[Unit Price]]*Greenleaf[[#This Row],[Quantity Sold]]</f>
        <v>125</v>
      </c>
      <c r="O958" s="13">
        <f>Greenleaf[[#This Row],[Unit Cost]]*Greenleaf[[#This Row],[Quantity Sold]]</f>
        <v>44.900000000000006</v>
      </c>
      <c r="P958" s="13">
        <f>Greenleaf[[#This Row],[ Unit  price per quantity]]-Greenleaf[[#This Row],[ Unit cost per quantity]]</f>
        <v>80.099999999999994</v>
      </c>
      <c r="Q958" s="14">
        <f>Greenleaf[[#This Row],[Quantity Sold]]*Greenleaf[[#This Row],[Unit Price]]</f>
        <v>125</v>
      </c>
    </row>
    <row r="959" spans="1:17" x14ac:dyDescent="0.25">
      <c r="A959" t="s">
        <v>2385</v>
      </c>
      <c r="B959" s="5">
        <v>45642</v>
      </c>
      <c r="C959" s="5" t="str">
        <f>TEXT(Greenleaf[[#This Row],[Order Date]],"MMM")</f>
        <v>Dec</v>
      </c>
      <c r="D959" s="5" t="str">
        <f>TEXT(Greenleaf[[#This Row],[Order Date]],"YYYY")</f>
        <v>2024</v>
      </c>
      <c r="E959" t="s">
        <v>2464</v>
      </c>
      <c r="F959" s="7" t="s">
        <v>1012</v>
      </c>
      <c r="G959" s="9">
        <v>7</v>
      </c>
      <c r="H959" s="11">
        <v>40</v>
      </c>
      <c r="I959" s="13">
        <v>14.44</v>
      </c>
      <c r="J959" t="s">
        <v>1048</v>
      </c>
      <c r="K959" t="s">
        <v>2526</v>
      </c>
      <c r="L959" s="7" t="s">
        <v>1414</v>
      </c>
      <c r="M959" s="7" t="s">
        <v>1420</v>
      </c>
      <c r="N959" s="14">
        <f>Greenleaf[[#This Row],[Unit Price]]*Greenleaf[[#This Row],[Quantity Sold]]</f>
        <v>280</v>
      </c>
      <c r="O959" s="13">
        <f>Greenleaf[[#This Row],[Unit Cost]]*Greenleaf[[#This Row],[Quantity Sold]]</f>
        <v>101.08</v>
      </c>
      <c r="P959" s="13">
        <f>Greenleaf[[#This Row],[ Unit  price per quantity]]-Greenleaf[[#This Row],[ Unit cost per quantity]]</f>
        <v>178.92000000000002</v>
      </c>
      <c r="Q959" s="14">
        <f>Greenleaf[[#This Row],[Quantity Sold]]*Greenleaf[[#This Row],[Unit Price]]</f>
        <v>280</v>
      </c>
    </row>
    <row r="960" spans="1:17" x14ac:dyDescent="0.25">
      <c r="A960" t="s">
        <v>2386</v>
      </c>
      <c r="B960" s="5">
        <v>45642</v>
      </c>
      <c r="C960" s="5" t="str">
        <f>TEXT(Greenleaf[[#This Row],[Order Date]],"MMM")</f>
        <v>Dec</v>
      </c>
      <c r="D960" s="5" t="str">
        <f>TEXT(Greenleaf[[#This Row],[Order Date]],"YYYY")</f>
        <v>2024</v>
      </c>
      <c r="E960" t="s">
        <v>2464</v>
      </c>
      <c r="F960" s="7" t="s">
        <v>1012</v>
      </c>
      <c r="G960" s="9">
        <v>8</v>
      </c>
      <c r="H960" s="11">
        <v>40</v>
      </c>
      <c r="I960" s="13">
        <v>9.3699999999999992</v>
      </c>
      <c r="J960" t="s">
        <v>1077</v>
      </c>
      <c r="K960" t="s">
        <v>2538</v>
      </c>
      <c r="L960" s="7" t="s">
        <v>1414</v>
      </c>
      <c r="M960" s="7" t="s">
        <v>1420</v>
      </c>
      <c r="N960" s="14">
        <f>Greenleaf[[#This Row],[Unit Price]]*Greenleaf[[#This Row],[Quantity Sold]]</f>
        <v>320</v>
      </c>
      <c r="O960" s="13">
        <f>Greenleaf[[#This Row],[Unit Cost]]*Greenleaf[[#This Row],[Quantity Sold]]</f>
        <v>74.959999999999994</v>
      </c>
      <c r="P960" s="13">
        <f>Greenleaf[[#This Row],[ Unit  price per quantity]]-Greenleaf[[#This Row],[ Unit cost per quantity]]</f>
        <v>245.04000000000002</v>
      </c>
      <c r="Q960" s="14">
        <f>Greenleaf[[#This Row],[Quantity Sold]]*Greenleaf[[#This Row],[Unit Price]]</f>
        <v>320</v>
      </c>
    </row>
    <row r="961" spans="1:17" x14ac:dyDescent="0.25">
      <c r="A961" t="s">
        <v>2387</v>
      </c>
      <c r="B961" s="5">
        <v>45642</v>
      </c>
      <c r="C961" s="5" t="str">
        <f>TEXT(Greenleaf[[#This Row],[Order Date]],"MMM")</f>
        <v>Dec</v>
      </c>
      <c r="D961" s="5" t="str">
        <f>TEXT(Greenleaf[[#This Row],[Order Date]],"YYYY")</f>
        <v>2024</v>
      </c>
      <c r="E961" t="s">
        <v>2461</v>
      </c>
      <c r="F961" s="7" t="s">
        <v>1011</v>
      </c>
      <c r="G961" s="9">
        <v>8</v>
      </c>
      <c r="H961" s="11">
        <v>12</v>
      </c>
      <c r="I961" s="13">
        <v>2.73</v>
      </c>
      <c r="J961" t="s">
        <v>1101</v>
      </c>
      <c r="K961" t="s">
        <v>2559</v>
      </c>
      <c r="L961" s="7" t="s">
        <v>1416</v>
      </c>
      <c r="M961" s="7" t="s">
        <v>1418</v>
      </c>
      <c r="N961" s="14">
        <f>Greenleaf[[#This Row],[Unit Price]]*Greenleaf[[#This Row],[Quantity Sold]]</f>
        <v>96</v>
      </c>
      <c r="O961" s="13">
        <f>Greenleaf[[#This Row],[Unit Cost]]*Greenleaf[[#This Row],[Quantity Sold]]</f>
        <v>21.84</v>
      </c>
      <c r="P961" s="13">
        <f>Greenleaf[[#This Row],[ Unit  price per quantity]]-Greenleaf[[#This Row],[ Unit cost per quantity]]</f>
        <v>74.16</v>
      </c>
      <c r="Q961" s="14">
        <f>Greenleaf[[#This Row],[Quantity Sold]]*Greenleaf[[#This Row],[Unit Price]]</f>
        <v>96</v>
      </c>
    </row>
    <row r="962" spans="1:17" x14ac:dyDescent="0.25">
      <c r="A962" t="s">
        <v>2388</v>
      </c>
      <c r="B962" s="5">
        <v>45643</v>
      </c>
      <c r="C962" s="5" t="str">
        <f>TEXT(Greenleaf[[#This Row],[Order Date]],"MMM")</f>
        <v>Dec</v>
      </c>
      <c r="D962" s="5" t="str">
        <f>TEXT(Greenleaf[[#This Row],[Order Date]],"YYYY")</f>
        <v>2024</v>
      </c>
      <c r="E962" t="s">
        <v>2463</v>
      </c>
      <c r="F962" s="7" t="s">
        <v>1014</v>
      </c>
      <c r="G962" s="9">
        <v>5</v>
      </c>
      <c r="H962" s="11">
        <v>15</v>
      </c>
      <c r="I962" s="13">
        <v>5.13</v>
      </c>
      <c r="J962" t="s">
        <v>1145</v>
      </c>
      <c r="K962" t="s">
        <v>2581</v>
      </c>
      <c r="L962" s="7" t="s">
        <v>1414</v>
      </c>
      <c r="M962" s="7" t="s">
        <v>1424</v>
      </c>
      <c r="N962" s="14">
        <f>Greenleaf[[#This Row],[Unit Price]]*Greenleaf[[#This Row],[Quantity Sold]]</f>
        <v>75</v>
      </c>
      <c r="O962" s="13">
        <f>Greenleaf[[#This Row],[Unit Cost]]*Greenleaf[[#This Row],[Quantity Sold]]</f>
        <v>25.65</v>
      </c>
      <c r="P962" s="13">
        <f>Greenleaf[[#This Row],[ Unit  price per quantity]]-Greenleaf[[#This Row],[ Unit cost per quantity]]</f>
        <v>49.35</v>
      </c>
      <c r="Q962" s="14">
        <f>Greenleaf[[#This Row],[Quantity Sold]]*Greenleaf[[#This Row],[Unit Price]]</f>
        <v>75</v>
      </c>
    </row>
    <row r="963" spans="1:17" x14ac:dyDescent="0.25">
      <c r="A963" t="s">
        <v>2389</v>
      </c>
      <c r="B963" s="5">
        <v>45643</v>
      </c>
      <c r="C963" s="5" t="str">
        <f>TEXT(Greenleaf[[#This Row],[Order Date]],"MMM")</f>
        <v>Dec</v>
      </c>
      <c r="D963" s="5" t="str">
        <f>TEXT(Greenleaf[[#This Row],[Order Date]],"YYYY")</f>
        <v>2024</v>
      </c>
      <c r="E963" t="s">
        <v>2460</v>
      </c>
      <c r="F963" s="7" t="s">
        <v>1015</v>
      </c>
      <c r="G963" s="9">
        <v>3</v>
      </c>
      <c r="H963" s="11">
        <v>10</v>
      </c>
      <c r="I963" s="13">
        <v>2.86</v>
      </c>
      <c r="J963" t="s">
        <v>1097</v>
      </c>
      <c r="K963" t="s">
        <v>2557</v>
      </c>
      <c r="L963" s="7" t="s">
        <v>1414</v>
      </c>
      <c r="M963" s="7" t="s">
        <v>1423</v>
      </c>
      <c r="N963" s="14">
        <f>Greenleaf[[#This Row],[Unit Price]]*Greenleaf[[#This Row],[Quantity Sold]]</f>
        <v>30</v>
      </c>
      <c r="O963" s="13">
        <f>Greenleaf[[#This Row],[Unit Cost]]*Greenleaf[[#This Row],[Quantity Sold]]</f>
        <v>8.58</v>
      </c>
      <c r="P963" s="13">
        <f>Greenleaf[[#This Row],[ Unit  price per quantity]]-Greenleaf[[#This Row],[ Unit cost per quantity]]</f>
        <v>21.42</v>
      </c>
      <c r="Q963" s="14">
        <f>Greenleaf[[#This Row],[Quantity Sold]]*Greenleaf[[#This Row],[Unit Price]]</f>
        <v>30</v>
      </c>
    </row>
    <row r="964" spans="1:17" x14ac:dyDescent="0.25">
      <c r="A964" t="s">
        <v>2390</v>
      </c>
      <c r="B964" s="5">
        <v>45643</v>
      </c>
      <c r="C964" s="5" t="str">
        <f>TEXT(Greenleaf[[#This Row],[Order Date]],"MMM")</f>
        <v>Dec</v>
      </c>
      <c r="D964" s="5" t="str">
        <f>TEXT(Greenleaf[[#This Row],[Order Date]],"YYYY")</f>
        <v>2024</v>
      </c>
      <c r="E964" t="s">
        <v>2463</v>
      </c>
      <c r="F964" s="7" t="s">
        <v>1014</v>
      </c>
      <c r="G964" s="9">
        <v>10</v>
      </c>
      <c r="H964" s="11">
        <v>15</v>
      </c>
      <c r="I964" s="13">
        <v>5.18</v>
      </c>
      <c r="J964" t="s">
        <v>1040</v>
      </c>
      <c r="K964" t="s">
        <v>2510</v>
      </c>
      <c r="L964" s="7" t="s">
        <v>1414</v>
      </c>
      <c r="M964" s="7" t="s">
        <v>1418</v>
      </c>
      <c r="N964" s="14">
        <f>Greenleaf[[#This Row],[Unit Price]]*Greenleaf[[#This Row],[Quantity Sold]]</f>
        <v>150</v>
      </c>
      <c r="O964" s="13">
        <f>Greenleaf[[#This Row],[Unit Cost]]*Greenleaf[[#This Row],[Quantity Sold]]</f>
        <v>51.8</v>
      </c>
      <c r="P964" s="13">
        <f>Greenleaf[[#This Row],[ Unit  price per quantity]]-Greenleaf[[#This Row],[ Unit cost per quantity]]</f>
        <v>98.2</v>
      </c>
      <c r="Q964" s="14">
        <f>Greenleaf[[#This Row],[Quantity Sold]]*Greenleaf[[#This Row],[Unit Price]]</f>
        <v>150</v>
      </c>
    </row>
    <row r="965" spans="1:17" x14ac:dyDescent="0.25">
      <c r="A965" t="s">
        <v>2391</v>
      </c>
      <c r="B965" s="5">
        <v>45643</v>
      </c>
      <c r="C965" s="5" t="str">
        <f>TEXT(Greenleaf[[#This Row],[Order Date]],"MMM")</f>
        <v>Dec</v>
      </c>
      <c r="D965" s="5" t="str">
        <f>TEXT(Greenleaf[[#This Row],[Order Date]],"YYYY")</f>
        <v>2024</v>
      </c>
      <c r="E965" t="s">
        <v>2462</v>
      </c>
      <c r="F965" s="7" t="s">
        <v>1013</v>
      </c>
      <c r="G965" s="9">
        <v>7</v>
      </c>
      <c r="H965" s="11">
        <v>25</v>
      </c>
      <c r="I965" s="13">
        <v>9.41</v>
      </c>
      <c r="J965" t="s">
        <v>1208</v>
      </c>
      <c r="K965" t="s">
        <v>2486</v>
      </c>
      <c r="L965" s="7" t="s">
        <v>1414</v>
      </c>
      <c r="M965" s="7" t="s">
        <v>1418</v>
      </c>
      <c r="N965" s="14">
        <f>Greenleaf[[#This Row],[Unit Price]]*Greenleaf[[#This Row],[Quantity Sold]]</f>
        <v>175</v>
      </c>
      <c r="O965" s="13">
        <f>Greenleaf[[#This Row],[Unit Cost]]*Greenleaf[[#This Row],[Quantity Sold]]</f>
        <v>65.87</v>
      </c>
      <c r="P965" s="13">
        <f>Greenleaf[[#This Row],[ Unit  price per quantity]]-Greenleaf[[#This Row],[ Unit cost per quantity]]</f>
        <v>109.13</v>
      </c>
      <c r="Q965" s="14">
        <f>Greenleaf[[#This Row],[Quantity Sold]]*Greenleaf[[#This Row],[Unit Price]]</f>
        <v>175</v>
      </c>
    </row>
    <row r="966" spans="1:17" x14ac:dyDescent="0.25">
      <c r="A966" t="s">
        <v>2392</v>
      </c>
      <c r="B966" s="5">
        <v>45644</v>
      </c>
      <c r="C966" s="5" t="str">
        <f>TEXT(Greenleaf[[#This Row],[Order Date]],"MMM")</f>
        <v>Dec</v>
      </c>
      <c r="D966" s="5" t="str">
        <f>TEXT(Greenleaf[[#This Row],[Order Date]],"YYYY")</f>
        <v>2024</v>
      </c>
      <c r="E966" t="s">
        <v>2464</v>
      </c>
      <c r="F966" s="7" t="s">
        <v>1012</v>
      </c>
      <c r="G966" s="9">
        <v>3</v>
      </c>
      <c r="H966" s="11">
        <v>40</v>
      </c>
      <c r="I966" s="13">
        <v>12.72</v>
      </c>
      <c r="J966" t="s">
        <v>1046</v>
      </c>
      <c r="K966" t="s">
        <v>2500</v>
      </c>
      <c r="L966" s="7" t="s">
        <v>1416</v>
      </c>
      <c r="M966" s="7" t="s">
        <v>1423</v>
      </c>
      <c r="N966" s="14">
        <f>Greenleaf[[#This Row],[Unit Price]]*Greenleaf[[#This Row],[Quantity Sold]]</f>
        <v>120</v>
      </c>
      <c r="O966" s="13">
        <f>Greenleaf[[#This Row],[Unit Cost]]*Greenleaf[[#This Row],[Quantity Sold]]</f>
        <v>38.160000000000004</v>
      </c>
      <c r="P966" s="13">
        <f>Greenleaf[[#This Row],[ Unit  price per quantity]]-Greenleaf[[#This Row],[ Unit cost per quantity]]</f>
        <v>81.84</v>
      </c>
      <c r="Q966" s="14">
        <f>Greenleaf[[#This Row],[Quantity Sold]]*Greenleaf[[#This Row],[Unit Price]]</f>
        <v>120</v>
      </c>
    </row>
    <row r="967" spans="1:17" x14ac:dyDescent="0.25">
      <c r="A967" t="s">
        <v>2393</v>
      </c>
      <c r="B967" s="5">
        <v>45644</v>
      </c>
      <c r="C967" s="5" t="str">
        <f>TEXT(Greenleaf[[#This Row],[Order Date]],"MMM")</f>
        <v>Dec</v>
      </c>
      <c r="D967" s="5" t="str">
        <f>TEXT(Greenleaf[[#This Row],[Order Date]],"YYYY")</f>
        <v>2024</v>
      </c>
      <c r="E967" t="s">
        <v>2462</v>
      </c>
      <c r="F967" s="7" t="s">
        <v>1013</v>
      </c>
      <c r="G967" s="9">
        <v>2</v>
      </c>
      <c r="H967" s="11">
        <v>25</v>
      </c>
      <c r="I967" s="13">
        <v>7.31</v>
      </c>
      <c r="J967" t="s">
        <v>1024</v>
      </c>
      <c r="K967" t="s">
        <v>2518</v>
      </c>
      <c r="L967" s="7" t="s">
        <v>1416</v>
      </c>
      <c r="M967" s="7" t="s">
        <v>1426</v>
      </c>
      <c r="N967" s="14">
        <f>Greenleaf[[#This Row],[Unit Price]]*Greenleaf[[#This Row],[Quantity Sold]]</f>
        <v>50</v>
      </c>
      <c r="O967" s="13">
        <f>Greenleaf[[#This Row],[Unit Cost]]*Greenleaf[[#This Row],[Quantity Sold]]</f>
        <v>14.62</v>
      </c>
      <c r="P967" s="13">
        <f>Greenleaf[[#This Row],[ Unit  price per quantity]]-Greenleaf[[#This Row],[ Unit cost per quantity]]</f>
        <v>35.380000000000003</v>
      </c>
      <c r="Q967" s="14">
        <f>Greenleaf[[#This Row],[Quantity Sold]]*Greenleaf[[#This Row],[Unit Price]]</f>
        <v>50</v>
      </c>
    </row>
    <row r="968" spans="1:17" x14ac:dyDescent="0.25">
      <c r="A968" t="s">
        <v>2394</v>
      </c>
      <c r="B968" s="5">
        <v>45644</v>
      </c>
      <c r="C968" s="5" t="str">
        <f>TEXT(Greenleaf[[#This Row],[Order Date]],"MMM")</f>
        <v>Dec</v>
      </c>
      <c r="D968" s="5" t="str">
        <f>TEXT(Greenleaf[[#This Row],[Order Date]],"YYYY")</f>
        <v>2024</v>
      </c>
      <c r="E968" t="s">
        <v>2460</v>
      </c>
      <c r="F968" s="7" t="s">
        <v>1015</v>
      </c>
      <c r="G968" s="9">
        <v>2</v>
      </c>
      <c r="H968" s="11">
        <v>10</v>
      </c>
      <c r="I968" s="13">
        <v>3.87</v>
      </c>
      <c r="J968" t="s">
        <v>1098</v>
      </c>
      <c r="K968" t="s">
        <v>2492</v>
      </c>
      <c r="L968" s="7" t="s">
        <v>1414</v>
      </c>
      <c r="M968" s="7" t="s">
        <v>1418</v>
      </c>
      <c r="N968" s="14">
        <f>Greenleaf[[#This Row],[Unit Price]]*Greenleaf[[#This Row],[Quantity Sold]]</f>
        <v>20</v>
      </c>
      <c r="O968" s="13">
        <f>Greenleaf[[#This Row],[Unit Cost]]*Greenleaf[[#This Row],[Quantity Sold]]</f>
        <v>7.74</v>
      </c>
      <c r="P968" s="13">
        <f>Greenleaf[[#This Row],[ Unit  price per quantity]]-Greenleaf[[#This Row],[ Unit cost per quantity]]</f>
        <v>12.26</v>
      </c>
      <c r="Q968" s="14">
        <f>Greenleaf[[#This Row],[Quantity Sold]]*Greenleaf[[#This Row],[Unit Price]]</f>
        <v>20</v>
      </c>
    </row>
    <row r="969" spans="1:17" x14ac:dyDescent="0.25">
      <c r="A969" t="s">
        <v>2395</v>
      </c>
      <c r="B969" s="5">
        <v>45644</v>
      </c>
      <c r="C969" s="5" t="str">
        <f>TEXT(Greenleaf[[#This Row],[Order Date]],"MMM")</f>
        <v>Dec</v>
      </c>
      <c r="D969" s="5" t="str">
        <f>TEXT(Greenleaf[[#This Row],[Order Date]],"YYYY")</f>
        <v>2024</v>
      </c>
      <c r="E969" t="s">
        <v>2462</v>
      </c>
      <c r="F969" s="7" t="s">
        <v>1013</v>
      </c>
      <c r="G969" s="9">
        <v>3</v>
      </c>
      <c r="H969" s="11">
        <v>25</v>
      </c>
      <c r="I969" s="13">
        <v>8.4600000000000009</v>
      </c>
      <c r="J969" t="s">
        <v>1161</v>
      </c>
      <c r="K969" t="s">
        <v>2515</v>
      </c>
      <c r="L969" s="7" t="s">
        <v>1414</v>
      </c>
      <c r="M969" s="7" t="s">
        <v>1419</v>
      </c>
      <c r="N969" s="14">
        <f>Greenleaf[[#This Row],[Unit Price]]*Greenleaf[[#This Row],[Quantity Sold]]</f>
        <v>75</v>
      </c>
      <c r="O969" s="13">
        <f>Greenleaf[[#This Row],[Unit Cost]]*Greenleaf[[#This Row],[Quantity Sold]]</f>
        <v>25.380000000000003</v>
      </c>
      <c r="P969" s="13">
        <f>Greenleaf[[#This Row],[ Unit  price per quantity]]-Greenleaf[[#This Row],[ Unit cost per quantity]]</f>
        <v>49.62</v>
      </c>
      <c r="Q969" s="14">
        <f>Greenleaf[[#This Row],[Quantity Sold]]*Greenleaf[[#This Row],[Unit Price]]</f>
        <v>75</v>
      </c>
    </row>
    <row r="970" spans="1:17" x14ac:dyDescent="0.25">
      <c r="A970" t="s">
        <v>2396</v>
      </c>
      <c r="B970" s="5">
        <v>45645</v>
      </c>
      <c r="C970" s="5" t="str">
        <f>TEXT(Greenleaf[[#This Row],[Order Date]],"MMM")</f>
        <v>Dec</v>
      </c>
      <c r="D970" s="5" t="str">
        <f>TEXT(Greenleaf[[#This Row],[Order Date]],"YYYY")</f>
        <v>2024</v>
      </c>
      <c r="E970" t="s">
        <v>2463</v>
      </c>
      <c r="F970" s="7" t="s">
        <v>1014</v>
      </c>
      <c r="G970" s="9">
        <v>8</v>
      </c>
      <c r="H970" s="11">
        <v>15</v>
      </c>
      <c r="I970" s="13">
        <v>4.0199999999999996</v>
      </c>
      <c r="J970" t="s">
        <v>1119</v>
      </c>
      <c r="K970" t="s">
        <v>2542</v>
      </c>
      <c r="L970" s="7" t="s">
        <v>1414</v>
      </c>
      <c r="M970" s="7" t="s">
        <v>1418</v>
      </c>
      <c r="N970" s="14">
        <f>Greenleaf[[#This Row],[Unit Price]]*Greenleaf[[#This Row],[Quantity Sold]]</f>
        <v>120</v>
      </c>
      <c r="O970" s="13">
        <f>Greenleaf[[#This Row],[Unit Cost]]*Greenleaf[[#This Row],[Quantity Sold]]</f>
        <v>32.159999999999997</v>
      </c>
      <c r="P970" s="13">
        <f>Greenleaf[[#This Row],[ Unit  price per quantity]]-Greenleaf[[#This Row],[ Unit cost per quantity]]</f>
        <v>87.84</v>
      </c>
      <c r="Q970" s="14">
        <f>Greenleaf[[#This Row],[Quantity Sold]]*Greenleaf[[#This Row],[Unit Price]]</f>
        <v>120</v>
      </c>
    </row>
    <row r="971" spans="1:17" x14ac:dyDescent="0.25">
      <c r="A971" t="s">
        <v>2397</v>
      </c>
      <c r="B971" s="5">
        <v>45645</v>
      </c>
      <c r="C971" s="5" t="str">
        <f>TEXT(Greenleaf[[#This Row],[Order Date]],"MMM")</f>
        <v>Dec</v>
      </c>
      <c r="D971" s="5" t="str">
        <f>TEXT(Greenleaf[[#This Row],[Order Date]],"YYYY")</f>
        <v>2024</v>
      </c>
      <c r="E971" t="s">
        <v>2464</v>
      </c>
      <c r="F971" s="7" t="s">
        <v>1012</v>
      </c>
      <c r="G971" s="9">
        <v>6</v>
      </c>
      <c r="H971" s="11">
        <v>40</v>
      </c>
      <c r="I971" s="13">
        <v>8.58</v>
      </c>
      <c r="J971" t="s">
        <v>1018</v>
      </c>
      <c r="K971" t="s">
        <v>2593</v>
      </c>
      <c r="L971" s="7" t="s">
        <v>1416</v>
      </c>
      <c r="M971" s="7" t="s">
        <v>1423</v>
      </c>
      <c r="N971" s="14">
        <f>Greenleaf[[#This Row],[Unit Price]]*Greenleaf[[#This Row],[Quantity Sold]]</f>
        <v>240</v>
      </c>
      <c r="O971" s="13">
        <f>Greenleaf[[#This Row],[Unit Cost]]*Greenleaf[[#This Row],[Quantity Sold]]</f>
        <v>51.480000000000004</v>
      </c>
      <c r="P971" s="13">
        <f>Greenleaf[[#This Row],[ Unit  price per quantity]]-Greenleaf[[#This Row],[ Unit cost per quantity]]</f>
        <v>188.51999999999998</v>
      </c>
      <c r="Q971" s="14">
        <f>Greenleaf[[#This Row],[Quantity Sold]]*Greenleaf[[#This Row],[Unit Price]]</f>
        <v>240</v>
      </c>
    </row>
    <row r="972" spans="1:17" x14ac:dyDescent="0.25">
      <c r="A972" t="s">
        <v>2398</v>
      </c>
      <c r="B972" s="5">
        <v>45645</v>
      </c>
      <c r="C972" s="5" t="str">
        <f>TEXT(Greenleaf[[#This Row],[Order Date]],"MMM")</f>
        <v>Dec</v>
      </c>
      <c r="D972" s="5" t="str">
        <f>TEXT(Greenleaf[[#This Row],[Order Date]],"YYYY")</f>
        <v>2024</v>
      </c>
      <c r="E972" t="s">
        <v>2461</v>
      </c>
      <c r="F972" s="7" t="s">
        <v>1011</v>
      </c>
      <c r="G972" s="9">
        <v>10</v>
      </c>
      <c r="H972" s="11">
        <v>12</v>
      </c>
      <c r="I972" s="13">
        <v>2.78</v>
      </c>
      <c r="J972" t="s">
        <v>1079</v>
      </c>
      <c r="K972" t="s">
        <v>2525</v>
      </c>
      <c r="L972" s="7" t="s">
        <v>1414</v>
      </c>
      <c r="M972" s="7" t="s">
        <v>1421</v>
      </c>
      <c r="N972" s="14">
        <f>Greenleaf[[#This Row],[Unit Price]]*Greenleaf[[#This Row],[Quantity Sold]]</f>
        <v>120</v>
      </c>
      <c r="O972" s="13">
        <f>Greenleaf[[#This Row],[Unit Cost]]*Greenleaf[[#This Row],[Quantity Sold]]</f>
        <v>27.799999999999997</v>
      </c>
      <c r="P972" s="13">
        <f>Greenleaf[[#This Row],[ Unit  price per quantity]]-Greenleaf[[#This Row],[ Unit cost per quantity]]</f>
        <v>92.2</v>
      </c>
      <c r="Q972" s="14">
        <f>Greenleaf[[#This Row],[Quantity Sold]]*Greenleaf[[#This Row],[Unit Price]]</f>
        <v>120</v>
      </c>
    </row>
    <row r="973" spans="1:17" x14ac:dyDescent="0.25">
      <c r="A973" t="s">
        <v>2399</v>
      </c>
      <c r="B973" s="5">
        <v>45646</v>
      </c>
      <c r="C973" s="5" t="str">
        <f>TEXT(Greenleaf[[#This Row],[Order Date]],"MMM")</f>
        <v>Dec</v>
      </c>
      <c r="D973" s="5" t="str">
        <f>TEXT(Greenleaf[[#This Row],[Order Date]],"YYYY")</f>
        <v>2024</v>
      </c>
      <c r="E973" t="s">
        <v>2464</v>
      </c>
      <c r="F973" s="7" t="s">
        <v>1012</v>
      </c>
      <c r="G973" s="9">
        <v>5</v>
      </c>
      <c r="H973" s="11">
        <v>40</v>
      </c>
      <c r="I973" s="13">
        <v>14.51</v>
      </c>
      <c r="J973" t="s">
        <v>1200</v>
      </c>
      <c r="K973" t="s">
        <v>2559</v>
      </c>
      <c r="L973" s="7" t="s">
        <v>1414</v>
      </c>
      <c r="M973" s="7" t="s">
        <v>1418</v>
      </c>
      <c r="N973" s="14">
        <f>Greenleaf[[#This Row],[Unit Price]]*Greenleaf[[#This Row],[Quantity Sold]]</f>
        <v>200</v>
      </c>
      <c r="O973" s="13">
        <f>Greenleaf[[#This Row],[Unit Cost]]*Greenleaf[[#This Row],[Quantity Sold]]</f>
        <v>72.55</v>
      </c>
      <c r="P973" s="13">
        <f>Greenleaf[[#This Row],[ Unit  price per quantity]]-Greenleaf[[#This Row],[ Unit cost per quantity]]</f>
        <v>127.45</v>
      </c>
      <c r="Q973" s="14">
        <f>Greenleaf[[#This Row],[Quantity Sold]]*Greenleaf[[#This Row],[Unit Price]]</f>
        <v>200</v>
      </c>
    </row>
    <row r="974" spans="1:17" x14ac:dyDescent="0.25">
      <c r="A974" t="s">
        <v>2400</v>
      </c>
      <c r="B974" s="5">
        <v>45646</v>
      </c>
      <c r="C974" s="5" t="str">
        <f>TEXT(Greenleaf[[#This Row],[Order Date]],"MMM")</f>
        <v>Dec</v>
      </c>
      <c r="D974" s="5" t="str">
        <f>TEXT(Greenleaf[[#This Row],[Order Date]],"YYYY")</f>
        <v>2024</v>
      </c>
      <c r="E974" t="s">
        <v>2460</v>
      </c>
      <c r="F974" s="7" t="s">
        <v>1015</v>
      </c>
      <c r="G974" s="9">
        <v>9</v>
      </c>
      <c r="H974" s="11">
        <v>10</v>
      </c>
      <c r="I974" s="13">
        <v>3.78</v>
      </c>
      <c r="J974" t="s">
        <v>1085</v>
      </c>
      <c r="K974" t="s">
        <v>2572</v>
      </c>
      <c r="L974" s="7" t="s">
        <v>1417</v>
      </c>
      <c r="M974" s="7" t="s">
        <v>1420</v>
      </c>
      <c r="N974" s="14">
        <f>Greenleaf[[#This Row],[Unit Price]]*Greenleaf[[#This Row],[Quantity Sold]]</f>
        <v>90</v>
      </c>
      <c r="O974" s="13">
        <f>Greenleaf[[#This Row],[Unit Cost]]*Greenleaf[[#This Row],[Quantity Sold]]</f>
        <v>34.019999999999996</v>
      </c>
      <c r="P974" s="13">
        <f>Greenleaf[[#This Row],[ Unit  price per quantity]]-Greenleaf[[#This Row],[ Unit cost per quantity]]</f>
        <v>55.980000000000004</v>
      </c>
      <c r="Q974" s="14">
        <f>Greenleaf[[#This Row],[Quantity Sold]]*Greenleaf[[#This Row],[Unit Price]]</f>
        <v>90</v>
      </c>
    </row>
    <row r="975" spans="1:17" x14ac:dyDescent="0.25">
      <c r="A975" t="s">
        <v>2401</v>
      </c>
      <c r="B975" s="5">
        <v>45646</v>
      </c>
      <c r="C975" s="5" t="str">
        <f>TEXT(Greenleaf[[#This Row],[Order Date]],"MMM")</f>
        <v>Dec</v>
      </c>
      <c r="D975" s="5" t="str">
        <f>TEXT(Greenleaf[[#This Row],[Order Date]],"YYYY")</f>
        <v>2024</v>
      </c>
      <c r="E975" t="s">
        <v>2462</v>
      </c>
      <c r="F975" s="7" t="s">
        <v>1013</v>
      </c>
      <c r="G975" s="9">
        <v>2</v>
      </c>
      <c r="H975" s="11">
        <v>25</v>
      </c>
      <c r="I975" s="13">
        <v>9.3000000000000007</v>
      </c>
      <c r="J975" t="s">
        <v>1019</v>
      </c>
      <c r="K975" t="s">
        <v>2550</v>
      </c>
      <c r="L975" s="7" t="s">
        <v>1415</v>
      </c>
      <c r="M975" s="7" t="s">
        <v>1420</v>
      </c>
      <c r="N975" s="14">
        <f>Greenleaf[[#This Row],[Unit Price]]*Greenleaf[[#This Row],[Quantity Sold]]</f>
        <v>50</v>
      </c>
      <c r="O975" s="13">
        <f>Greenleaf[[#This Row],[Unit Cost]]*Greenleaf[[#This Row],[Quantity Sold]]</f>
        <v>18.600000000000001</v>
      </c>
      <c r="P975" s="13">
        <f>Greenleaf[[#This Row],[ Unit  price per quantity]]-Greenleaf[[#This Row],[ Unit cost per quantity]]</f>
        <v>31.4</v>
      </c>
      <c r="Q975" s="14">
        <f>Greenleaf[[#This Row],[Quantity Sold]]*Greenleaf[[#This Row],[Unit Price]]</f>
        <v>50</v>
      </c>
    </row>
    <row r="976" spans="1:17" x14ac:dyDescent="0.25">
      <c r="A976" t="s">
        <v>2402</v>
      </c>
      <c r="B976" s="5">
        <v>45647</v>
      </c>
      <c r="C976" s="5" t="str">
        <f>TEXT(Greenleaf[[#This Row],[Order Date]],"MMM")</f>
        <v>Dec</v>
      </c>
      <c r="D976" s="5" t="str">
        <f>TEXT(Greenleaf[[#This Row],[Order Date]],"YYYY")</f>
        <v>2024</v>
      </c>
      <c r="E976" t="s">
        <v>2463</v>
      </c>
      <c r="F976" s="7" t="s">
        <v>1014</v>
      </c>
      <c r="G976" s="9">
        <v>9</v>
      </c>
      <c r="H976" s="11">
        <v>15</v>
      </c>
      <c r="I976" s="13">
        <v>4.68</v>
      </c>
      <c r="J976" t="s">
        <v>1069</v>
      </c>
      <c r="K976" t="s">
        <v>2471</v>
      </c>
      <c r="L976" s="7" t="s">
        <v>1415</v>
      </c>
      <c r="M976" s="7" t="s">
        <v>1419</v>
      </c>
      <c r="N976" s="14">
        <f>Greenleaf[[#This Row],[Unit Price]]*Greenleaf[[#This Row],[Quantity Sold]]</f>
        <v>135</v>
      </c>
      <c r="O976" s="13">
        <f>Greenleaf[[#This Row],[Unit Cost]]*Greenleaf[[#This Row],[Quantity Sold]]</f>
        <v>42.12</v>
      </c>
      <c r="P976" s="13">
        <f>Greenleaf[[#This Row],[ Unit  price per quantity]]-Greenleaf[[#This Row],[ Unit cost per quantity]]</f>
        <v>92.88</v>
      </c>
      <c r="Q976" s="14">
        <f>Greenleaf[[#This Row],[Quantity Sold]]*Greenleaf[[#This Row],[Unit Price]]</f>
        <v>135</v>
      </c>
    </row>
    <row r="977" spans="1:17" x14ac:dyDescent="0.25">
      <c r="A977" t="s">
        <v>2403</v>
      </c>
      <c r="B977" s="5">
        <v>45647</v>
      </c>
      <c r="C977" s="5" t="str">
        <f>TEXT(Greenleaf[[#This Row],[Order Date]],"MMM")</f>
        <v>Dec</v>
      </c>
      <c r="D977" s="5" t="str">
        <f>TEXT(Greenleaf[[#This Row],[Order Date]],"YYYY")</f>
        <v>2024</v>
      </c>
      <c r="E977" t="s">
        <v>2464</v>
      </c>
      <c r="F977" s="7" t="s">
        <v>1012</v>
      </c>
      <c r="G977" s="9">
        <v>8</v>
      </c>
      <c r="H977" s="11">
        <v>40</v>
      </c>
      <c r="I977" s="13">
        <v>15.62</v>
      </c>
      <c r="J977" t="s">
        <v>1126</v>
      </c>
      <c r="K977" t="s">
        <v>2499</v>
      </c>
      <c r="L977" s="7" t="s">
        <v>1414</v>
      </c>
      <c r="M977" s="7" t="s">
        <v>1422</v>
      </c>
      <c r="N977" s="14">
        <f>Greenleaf[[#This Row],[Unit Price]]*Greenleaf[[#This Row],[Quantity Sold]]</f>
        <v>320</v>
      </c>
      <c r="O977" s="13">
        <f>Greenleaf[[#This Row],[Unit Cost]]*Greenleaf[[#This Row],[Quantity Sold]]</f>
        <v>124.96</v>
      </c>
      <c r="P977" s="13">
        <f>Greenleaf[[#This Row],[ Unit  price per quantity]]-Greenleaf[[#This Row],[ Unit cost per quantity]]</f>
        <v>195.04000000000002</v>
      </c>
      <c r="Q977" s="14">
        <f>Greenleaf[[#This Row],[Quantity Sold]]*Greenleaf[[#This Row],[Unit Price]]</f>
        <v>320</v>
      </c>
    </row>
    <row r="978" spans="1:17" x14ac:dyDescent="0.25">
      <c r="A978" t="s">
        <v>2404</v>
      </c>
      <c r="B978" s="5">
        <v>45647</v>
      </c>
      <c r="C978" s="5" t="str">
        <f>TEXT(Greenleaf[[#This Row],[Order Date]],"MMM")</f>
        <v>Dec</v>
      </c>
      <c r="D978" s="5" t="str">
        <f>TEXT(Greenleaf[[#This Row],[Order Date]],"YYYY")</f>
        <v>2024</v>
      </c>
      <c r="E978" t="s">
        <v>2460</v>
      </c>
      <c r="F978" s="7" t="s">
        <v>1015</v>
      </c>
      <c r="G978" s="9">
        <v>5</v>
      </c>
      <c r="H978" s="11">
        <v>10</v>
      </c>
      <c r="I978" s="13">
        <v>3.28</v>
      </c>
      <c r="J978" t="s">
        <v>1049</v>
      </c>
      <c r="K978" t="s">
        <v>2546</v>
      </c>
      <c r="L978" s="7" t="s">
        <v>1414</v>
      </c>
      <c r="M978" s="7" t="s">
        <v>1419</v>
      </c>
      <c r="N978" s="14">
        <f>Greenleaf[[#This Row],[Unit Price]]*Greenleaf[[#This Row],[Quantity Sold]]</f>
        <v>50</v>
      </c>
      <c r="O978" s="13">
        <f>Greenleaf[[#This Row],[Unit Cost]]*Greenleaf[[#This Row],[Quantity Sold]]</f>
        <v>16.399999999999999</v>
      </c>
      <c r="P978" s="13">
        <f>Greenleaf[[#This Row],[ Unit  price per quantity]]-Greenleaf[[#This Row],[ Unit cost per quantity]]</f>
        <v>33.6</v>
      </c>
      <c r="Q978" s="14">
        <f>Greenleaf[[#This Row],[Quantity Sold]]*Greenleaf[[#This Row],[Unit Price]]</f>
        <v>50</v>
      </c>
    </row>
    <row r="979" spans="1:17" x14ac:dyDescent="0.25">
      <c r="A979" t="s">
        <v>2405</v>
      </c>
      <c r="B979" s="5">
        <v>45647</v>
      </c>
      <c r="C979" s="5" t="str">
        <f>TEXT(Greenleaf[[#This Row],[Order Date]],"MMM")</f>
        <v>Dec</v>
      </c>
      <c r="D979" s="5" t="str">
        <f>TEXT(Greenleaf[[#This Row],[Order Date]],"YYYY")</f>
        <v>2024</v>
      </c>
      <c r="E979" t="s">
        <v>2460</v>
      </c>
      <c r="F979" s="7" t="s">
        <v>1015</v>
      </c>
      <c r="G979" s="9">
        <v>3</v>
      </c>
      <c r="H979" s="11">
        <v>10</v>
      </c>
      <c r="I979" s="13">
        <v>3.25</v>
      </c>
      <c r="J979" t="s">
        <v>1183</v>
      </c>
      <c r="K979" t="s">
        <v>2501</v>
      </c>
      <c r="L979" s="7" t="s">
        <v>1414</v>
      </c>
      <c r="M979" s="7" t="s">
        <v>1424</v>
      </c>
      <c r="N979" s="14">
        <f>Greenleaf[[#This Row],[Unit Price]]*Greenleaf[[#This Row],[Quantity Sold]]</f>
        <v>30</v>
      </c>
      <c r="O979" s="13">
        <f>Greenleaf[[#This Row],[Unit Cost]]*Greenleaf[[#This Row],[Quantity Sold]]</f>
        <v>9.75</v>
      </c>
      <c r="P979" s="13">
        <f>Greenleaf[[#This Row],[ Unit  price per quantity]]-Greenleaf[[#This Row],[ Unit cost per quantity]]</f>
        <v>20.25</v>
      </c>
      <c r="Q979" s="14">
        <f>Greenleaf[[#This Row],[Quantity Sold]]*Greenleaf[[#This Row],[Unit Price]]</f>
        <v>30</v>
      </c>
    </row>
    <row r="980" spans="1:17" x14ac:dyDescent="0.25">
      <c r="A980" t="s">
        <v>2406</v>
      </c>
      <c r="B980" s="5">
        <v>45648</v>
      </c>
      <c r="C980" s="5" t="str">
        <f>TEXT(Greenleaf[[#This Row],[Order Date]],"MMM")</f>
        <v>Dec</v>
      </c>
      <c r="D980" s="5" t="str">
        <f>TEXT(Greenleaf[[#This Row],[Order Date]],"YYYY")</f>
        <v>2024</v>
      </c>
      <c r="E980" t="s">
        <v>2463</v>
      </c>
      <c r="F980" s="7" t="s">
        <v>1014</v>
      </c>
      <c r="G980" s="9">
        <v>3</v>
      </c>
      <c r="H980" s="11">
        <v>15</v>
      </c>
      <c r="I980" s="13">
        <v>3.77</v>
      </c>
      <c r="J980" t="s">
        <v>1024</v>
      </c>
      <c r="K980" t="s">
        <v>2518</v>
      </c>
      <c r="L980" s="7" t="s">
        <v>1414</v>
      </c>
      <c r="M980" s="7" t="s">
        <v>1423</v>
      </c>
      <c r="N980" s="14">
        <f>Greenleaf[[#This Row],[Unit Price]]*Greenleaf[[#This Row],[Quantity Sold]]</f>
        <v>45</v>
      </c>
      <c r="O980" s="13">
        <f>Greenleaf[[#This Row],[Unit Cost]]*Greenleaf[[#This Row],[Quantity Sold]]</f>
        <v>11.31</v>
      </c>
      <c r="P980" s="13">
        <f>Greenleaf[[#This Row],[ Unit  price per quantity]]-Greenleaf[[#This Row],[ Unit cost per quantity]]</f>
        <v>33.69</v>
      </c>
      <c r="Q980" s="14">
        <f>Greenleaf[[#This Row],[Quantity Sold]]*Greenleaf[[#This Row],[Unit Price]]</f>
        <v>45</v>
      </c>
    </row>
    <row r="981" spans="1:17" x14ac:dyDescent="0.25">
      <c r="A981" t="s">
        <v>2407</v>
      </c>
      <c r="B981" s="5">
        <v>45648</v>
      </c>
      <c r="C981" s="5" t="str">
        <f>TEXT(Greenleaf[[#This Row],[Order Date]],"MMM")</f>
        <v>Dec</v>
      </c>
      <c r="D981" s="5" t="str">
        <f>TEXT(Greenleaf[[#This Row],[Order Date]],"YYYY")</f>
        <v>2024</v>
      </c>
      <c r="E981" t="s">
        <v>2464</v>
      </c>
      <c r="F981" s="7" t="s">
        <v>1012</v>
      </c>
      <c r="G981" s="9">
        <v>1</v>
      </c>
      <c r="H981" s="11">
        <v>40</v>
      </c>
      <c r="I981" s="13">
        <v>14.45</v>
      </c>
      <c r="J981" t="s">
        <v>1178</v>
      </c>
      <c r="K981" t="s">
        <v>2595</v>
      </c>
      <c r="L981" s="7" t="s">
        <v>1416</v>
      </c>
      <c r="M981" s="7" t="s">
        <v>1424</v>
      </c>
      <c r="N981" s="14">
        <f>Greenleaf[[#This Row],[Unit Price]]*Greenleaf[[#This Row],[Quantity Sold]]</f>
        <v>40</v>
      </c>
      <c r="O981" s="13">
        <f>Greenleaf[[#This Row],[Unit Cost]]*Greenleaf[[#This Row],[Quantity Sold]]</f>
        <v>14.45</v>
      </c>
      <c r="P981" s="13">
        <f>Greenleaf[[#This Row],[ Unit  price per quantity]]-Greenleaf[[#This Row],[ Unit cost per quantity]]</f>
        <v>25.55</v>
      </c>
      <c r="Q981" s="14">
        <f>Greenleaf[[#This Row],[Quantity Sold]]*Greenleaf[[#This Row],[Unit Price]]</f>
        <v>40</v>
      </c>
    </row>
    <row r="982" spans="1:17" x14ac:dyDescent="0.25">
      <c r="A982" t="s">
        <v>2408</v>
      </c>
      <c r="B982" s="5">
        <v>45648</v>
      </c>
      <c r="C982" s="5" t="str">
        <f>TEXT(Greenleaf[[#This Row],[Order Date]],"MMM")</f>
        <v>Dec</v>
      </c>
      <c r="D982" s="5" t="str">
        <f>TEXT(Greenleaf[[#This Row],[Order Date]],"YYYY")</f>
        <v>2024</v>
      </c>
      <c r="E982" t="s">
        <v>2461</v>
      </c>
      <c r="F982" s="7" t="s">
        <v>1011</v>
      </c>
      <c r="G982" s="9">
        <v>8</v>
      </c>
      <c r="H982" s="11">
        <v>12</v>
      </c>
      <c r="I982" s="13">
        <v>2.61</v>
      </c>
      <c r="J982" t="s">
        <v>1149</v>
      </c>
      <c r="K982" t="s">
        <v>2505</v>
      </c>
      <c r="L982" s="7" t="s">
        <v>1414</v>
      </c>
      <c r="M982" s="7" t="s">
        <v>1422</v>
      </c>
      <c r="N982" s="14">
        <f>Greenleaf[[#This Row],[Unit Price]]*Greenleaf[[#This Row],[Quantity Sold]]</f>
        <v>96</v>
      </c>
      <c r="O982" s="13">
        <f>Greenleaf[[#This Row],[Unit Cost]]*Greenleaf[[#This Row],[Quantity Sold]]</f>
        <v>20.88</v>
      </c>
      <c r="P982" s="13">
        <f>Greenleaf[[#This Row],[ Unit  price per quantity]]-Greenleaf[[#This Row],[ Unit cost per quantity]]</f>
        <v>75.12</v>
      </c>
      <c r="Q982" s="14">
        <f>Greenleaf[[#This Row],[Quantity Sold]]*Greenleaf[[#This Row],[Unit Price]]</f>
        <v>96</v>
      </c>
    </row>
    <row r="983" spans="1:17" x14ac:dyDescent="0.25">
      <c r="A983" t="s">
        <v>2409</v>
      </c>
      <c r="B983" s="5">
        <v>45648</v>
      </c>
      <c r="C983" s="5" t="str">
        <f>TEXT(Greenleaf[[#This Row],[Order Date]],"MMM")</f>
        <v>Dec</v>
      </c>
      <c r="D983" s="5" t="str">
        <f>TEXT(Greenleaf[[#This Row],[Order Date]],"YYYY")</f>
        <v>2024</v>
      </c>
      <c r="E983" t="s">
        <v>2463</v>
      </c>
      <c r="F983" s="7" t="s">
        <v>1014</v>
      </c>
      <c r="G983" s="9">
        <v>4</v>
      </c>
      <c r="H983" s="11">
        <v>15</v>
      </c>
      <c r="I983" s="13">
        <v>4.01</v>
      </c>
      <c r="J983" t="s">
        <v>1126</v>
      </c>
      <c r="K983" t="s">
        <v>2499</v>
      </c>
      <c r="L983" s="7" t="s">
        <v>1415</v>
      </c>
      <c r="M983" s="7" t="s">
        <v>1420</v>
      </c>
      <c r="N983" s="14">
        <f>Greenleaf[[#This Row],[Unit Price]]*Greenleaf[[#This Row],[Quantity Sold]]</f>
        <v>60</v>
      </c>
      <c r="O983" s="13">
        <f>Greenleaf[[#This Row],[Unit Cost]]*Greenleaf[[#This Row],[Quantity Sold]]</f>
        <v>16.04</v>
      </c>
      <c r="P983" s="13">
        <f>Greenleaf[[#This Row],[ Unit  price per quantity]]-Greenleaf[[#This Row],[ Unit cost per quantity]]</f>
        <v>43.96</v>
      </c>
      <c r="Q983" s="14">
        <f>Greenleaf[[#This Row],[Quantity Sold]]*Greenleaf[[#This Row],[Unit Price]]</f>
        <v>60</v>
      </c>
    </row>
    <row r="984" spans="1:17" x14ac:dyDescent="0.25">
      <c r="A984" t="s">
        <v>2410</v>
      </c>
      <c r="B984" s="5">
        <v>45648</v>
      </c>
      <c r="C984" s="5" t="str">
        <f>TEXT(Greenleaf[[#This Row],[Order Date]],"MMM")</f>
        <v>Dec</v>
      </c>
      <c r="D984" s="5" t="str">
        <f>TEXT(Greenleaf[[#This Row],[Order Date]],"YYYY")</f>
        <v>2024</v>
      </c>
      <c r="E984" t="s">
        <v>2460</v>
      </c>
      <c r="F984" s="7" t="s">
        <v>1015</v>
      </c>
      <c r="G984" s="9">
        <v>10</v>
      </c>
      <c r="H984" s="11">
        <v>10</v>
      </c>
      <c r="I984" s="13">
        <v>2.96</v>
      </c>
      <c r="J984" t="s">
        <v>1164</v>
      </c>
      <c r="K984" t="s">
        <v>2567</v>
      </c>
      <c r="L984" s="7" t="s">
        <v>1416</v>
      </c>
      <c r="M984" s="7" t="s">
        <v>1422</v>
      </c>
      <c r="N984" s="14">
        <f>Greenleaf[[#This Row],[Unit Price]]*Greenleaf[[#This Row],[Quantity Sold]]</f>
        <v>100</v>
      </c>
      <c r="O984" s="13">
        <f>Greenleaf[[#This Row],[Unit Cost]]*Greenleaf[[#This Row],[Quantity Sold]]</f>
        <v>29.6</v>
      </c>
      <c r="P984" s="13">
        <f>Greenleaf[[#This Row],[ Unit  price per quantity]]-Greenleaf[[#This Row],[ Unit cost per quantity]]</f>
        <v>70.400000000000006</v>
      </c>
      <c r="Q984" s="14">
        <f>Greenleaf[[#This Row],[Quantity Sold]]*Greenleaf[[#This Row],[Unit Price]]</f>
        <v>100</v>
      </c>
    </row>
    <row r="985" spans="1:17" x14ac:dyDescent="0.25">
      <c r="A985" t="s">
        <v>2411</v>
      </c>
      <c r="B985" s="5">
        <v>45648</v>
      </c>
      <c r="C985" s="5" t="str">
        <f>TEXT(Greenleaf[[#This Row],[Order Date]],"MMM")</f>
        <v>Dec</v>
      </c>
      <c r="D985" s="5" t="str">
        <f>TEXT(Greenleaf[[#This Row],[Order Date]],"YYYY")</f>
        <v>2024</v>
      </c>
      <c r="E985" t="s">
        <v>2462</v>
      </c>
      <c r="F985" s="7" t="s">
        <v>1013</v>
      </c>
      <c r="G985" s="9">
        <v>2</v>
      </c>
      <c r="H985" s="11">
        <v>25</v>
      </c>
      <c r="I985" s="13">
        <v>9.57</v>
      </c>
      <c r="J985" t="s">
        <v>1154</v>
      </c>
      <c r="K985" t="s">
        <v>2490</v>
      </c>
      <c r="L985" s="7" t="s">
        <v>1416</v>
      </c>
      <c r="M985" s="7" t="s">
        <v>1421</v>
      </c>
      <c r="N985" s="14">
        <f>Greenleaf[[#This Row],[Unit Price]]*Greenleaf[[#This Row],[Quantity Sold]]</f>
        <v>50</v>
      </c>
      <c r="O985" s="13">
        <f>Greenleaf[[#This Row],[Unit Cost]]*Greenleaf[[#This Row],[Quantity Sold]]</f>
        <v>19.14</v>
      </c>
      <c r="P985" s="13">
        <f>Greenleaf[[#This Row],[ Unit  price per quantity]]-Greenleaf[[#This Row],[ Unit cost per quantity]]</f>
        <v>30.86</v>
      </c>
      <c r="Q985" s="14">
        <f>Greenleaf[[#This Row],[Quantity Sold]]*Greenleaf[[#This Row],[Unit Price]]</f>
        <v>50</v>
      </c>
    </row>
    <row r="986" spans="1:17" x14ac:dyDescent="0.25">
      <c r="A986" t="s">
        <v>2412</v>
      </c>
      <c r="B986" s="5">
        <v>45649</v>
      </c>
      <c r="C986" s="5" t="str">
        <f>TEXT(Greenleaf[[#This Row],[Order Date]],"MMM")</f>
        <v>Dec</v>
      </c>
      <c r="D986" s="5" t="str">
        <f>TEXT(Greenleaf[[#This Row],[Order Date]],"YYYY")</f>
        <v>2024</v>
      </c>
      <c r="E986" t="s">
        <v>2463</v>
      </c>
      <c r="F986" s="7" t="s">
        <v>1014</v>
      </c>
      <c r="G986" s="9">
        <v>10</v>
      </c>
      <c r="H986" s="11">
        <v>15</v>
      </c>
      <c r="I986" s="13">
        <v>3.45</v>
      </c>
      <c r="J986" t="s">
        <v>1119</v>
      </c>
      <c r="K986" t="s">
        <v>2542</v>
      </c>
      <c r="L986" s="7" t="s">
        <v>1414</v>
      </c>
      <c r="M986" s="7" t="s">
        <v>1423</v>
      </c>
      <c r="N986" s="14">
        <f>Greenleaf[[#This Row],[Unit Price]]*Greenleaf[[#This Row],[Quantity Sold]]</f>
        <v>150</v>
      </c>
      <c r="O986" s="13">
        <f>Greenleaf[[#This Row],[Unit Cost]]*Greenleaf[[#This Row],[Quantity Sold]]</f>
        <v>34.5</v>
      </c>
      <c r="P986" s="13">
        <f>Greenleaf[[#This Row],[ Unit  price per quantity]]-Greenleaf[[#This Row],[ Unit cost per quantity]]</f>
        <v>115.5</v>
      </c>
      <c r="Q986" s="14">
        <f>Greenleaf[[#This Row],[Quantity Sold]]*Greenleaf[[#This Row],[Unit Price]]</f>
        <v>150</v>
      </c>
    </row>
    <row r="987" spans="1:17" x14ac:dyDescent="0.25">
      <c r="A987" t="s">
        <v>2413</v>
      </c>
      <c r="B987" s="5">
        <v>45650</v>
      </c>
      <c r="C987" s="5" t="str">
        <f>TEXT(Greenleaf[[#This Row],[Order Date]],"MMM")</f>
        <v>Dec</v>
      </c>
      <c r="D987" s="5" t="str">
        <f>TEXT(Greenleaf[[#This Row],[Order Date]],"YYYY")</f>
        <v>2024</v>
      </c>
      <c r="E987" t="s">
        <v>2463</v>
      </c>
      <c r="F987" s="7" t="s">
        <v>1014</v>
      </c>
      <c r="G987" s="9">
        <v>1</v>
      </c>
      <c r="H987" s="11">
        <v>15</v>
      </c>
      <c r="I987" s="13">
        <v>3.86</v>
      </c>
      <c r="J987" t="s">
        <v>1156</v>
      </c>
      <c r="K987" t="s">
        <v>2470</v>
      </c>
      <c r="L987" s="7" t="s">
        <v>1414</v>
      </c>
      <c r="M987" s="7" t="s">
        <v>1425</v>
      </c>
      <c r="N987" s="14">
        <f>Greenleaf[[#This Row],[Unit Price]]*Greenleaf[[#This Row],[Quantity Sold]]</f>
        <v>15</v>
      </c>
      <c r="O987" s="13">
        <f>Greenleaf[[#This Row],[Unit Cost]]*Greenleaf[[#This Row],[Quantity Sold]]</f>
        <v>3.86</v>
      </c>
      <c r="P987" s="13">
        <f>Greenleaf[[#This Row],[ Unit  price per quantity]]-Greenleaf[[#This Row],[ Unit cost per quantity]]</f>
        <v>11.14</v>
      </c>
      <c r="Q987" s="14">
        <f>Greenleaf[[#This Row],[Quantity Sold]]*Greenleaf[[#This Row],[Unit Price]]</f>
        <v>15</v>
      </c>
    </row>
    <row r="988" spans="1:17" x14ac:dyDescent="0.25">
      <c r="A988" t="s">
        <v>2414</v>
      </c>
      <c r="B988" s="5">
        <v>45650</v>
      </c>
      <c r="C988" s="5" t="str">
        <f>TEXT(Greenleaf[[#This Row],[Order Date]],"MMM")</f>
        <v>Dec</v>
      </c>
      <c r="D988" s="5" t="str">
        <f>TEXT(Greenleaf[[#This Row],[Order Date]],"YYYY")</f>
        <v>2024</v>
      </c>
      <c r="E988" t="s">
        <v>2462</v>
      </c>
      <c r="F988" s="7" t="s">
        <v>1013</v>
      </c>
      <c r="G988" s="9">
        <v>8</v>
      </c>
      <c r="H988" s="11">
        <v>25</v>
      </c>
      <c r="I988" s="13">
        <v>8.4499999999999993</v>
      </c>
      <c r="J988" t="s">
        <v>1151</v>
      </c>
      <c r="K988" t="s">
        <v>2568</v>
      </c>
      <c r="L988" s="7" t="s">
        <v>1414</v>
      </c>
      <c r="M988" s="7" t="s">
        <v>1427</v>
      </c>
      <c r="N988" s="14">
        <f>Greenleaf[[#This Row],[Unit Price]]*Greenleaf[[#This Row],[Quantity Sold]]</f>
        <v>200</v>
      </c>
      <c r="O988" s="13">
        <f>Greenleaf[[#This Row],[Unit Cost]]*Greenleaf[[#This Row],[Quantity Sold]]</f>
        <v>67.599999999999994</v>
      </c>
      <c r="P988" s="13">
        <f>Greenleaf[[#This Row],[ Unit  price per quantity]]-Greenleaf[[#This Row],[ Unit cost per quantity]]</f>
        <v>132.4</v>
      </c>
      <c r="Q988" s="14">
        <f>Greenleaf[[#This Row],[Quantity Sold]]*Greenleaf[[#This Row],[Unit Price]]</f>
        <v>200</v>
      </c>
    </row>
    <row r="989" spans="1:17" x14ac:dyDescent="0.25">
      <c r="A989" t="s">
        <v>2415</v>
      </c>
      <c r="B989" s="5">
        <v>45650</v>
      </c>
      <c r="C989" s="5" t="str">
        <f>TEXT(Greenleaf[[#This Row],[Order Date]],"MMM")</f>
        <v>Dec</v>
      </c>
      <c r="D989" s="5" t="str">
        <f>TEXT(Greenleaf[[#This Row],[Order Date]],"YYYY")</f>
        <v>2024</v>
      </c>
      <c r="E989" t="s">
        <v>2463</v>
      </c>
      <c r="F989" s="7" t="s">
        <v>1014</v>
      </c>
      <c r="G989" s="9">
        <v>1</v>
      </c>
      <c r="H989" s="11">
        <v>15</v>
      </c>
      <c r="I989" s="13">
        <v>5.61</v>
      </c>
      <c r="J989" t="s">
        <v>1025</v>
      </c>
      <c r="K989" t="s">
        <v>2471</v>
      </c>
      <c r="L989" s="7" t="s">
        <v>1414</v>
      </c>
      <c r="M989" s="7" t="s">
        <v>1421</v>
      </c>
      <c r="N989" s="14">
        <f>Greenleaf[[#This Row],[Unit Price]]*Greenleaf[[#This Row],[Quantity Sold]]</f>
        <v>15</v>
      </c>
      <c r="O989" s="13">
        <f>Greenleaf[[#This Row],[Unit Cost]]*Greenleaf[[#This Row],[Quantity Sold]]</f>
        <v>5.61</v>
      </c>
      <c r="P989" s="13">
        <f>Greenleaf[[#This Row],[ Unit  price per quantity]]-Greenleaf[[#This Row],[ Unit cost per quantity]]</f>
        <v>9.39</v>
      </c>
      <c r="Q989" s="14">
        <f>Greenleaf[[#This Row],[Quantity Sold]]*Greenleaf[[#This Row],[Unit Price]]</f>
        <v>15</v>
      </c>
    </row>
    <row r="990" spans="1:17" x14ac:dyDescent="0.25">
      <c r="A990" t="s">
        <v>2416</v>
      </c>
      <c r="B990" s="5">
        <v>45650</v>
      </c>
      <c r="C990" s="5" t="str">
        <f>TEXT(Greenleaf[[#This Row],[Order Date]],"MMM")</f>
        <v>Dec</v>
      </c>
      <c r="D990" s="5" t="str">
        <f>TEXT(Greenleaf[[#This Row],[Order Date]],"YYYY")</f>
        <v>2024</v>
      </c>
      <c r="E990" t="s">
        <v>2461</v>
      </c>
      <c r="F990" s="7" t="s">
        <v>1011</v>
      </c>
      <c r="G990" s="9">
        <v>7</v>
      </c>
      <c r="H990" s="11">
        <v>12</v>
      </c>
      <c r="I990" s="13">
        <v>3.23</v>
      </c>
      <c r="J990" t="s">
        <v>1098</v>
      </c>
      <c r="K990" t="s">
        <v>2492</v>
      </c>
      <c r="L990" s="7" t="s">
        <v>1414</v>
      </c>
      <c r="M990" s="7" t="s">
        <v>1424</v>
      </c>
      <c r="N990" s="14">
        <f>Greenleaf[[#This Row],[Unit Price]]*Greenleaf[[#This Row],[Quantity Sold]]</f>
        <v>84</v>
      </c>
      <c r="O990" s="13">
        <f>Greenleaf[[#This Row],[Unit Cost]]*Greenleaf[[#This Row],[Quantity Sold]]</f>
        <v>22.61</v>
      </c>
      <c r="P990" s="13">
        <f>Greenleaf[[#This Row],[ Unit  price per quantity]]-Greenleaf[[#This Row],[ Unit cost per quantity]]</f>
        <v>61.39</v>
      </c>
      <c r="Q990" s="14">
        <f>Greenleaf[[#This Row],[Quantity Sold]]*Greenleaf[[#This Row],[Unit Price]]</f>
        <v>84</v>
      </c>
    </row>
    <row r="991" spans="1:17" x14ac:dyDescent="0.25">
      <c r="A991" t="s">
        <v>2417</v>
      </c>
      <c r="B991" s="5">
        <v>45651</v>
      </c>
      <c r="C991" s="5" t="str">
        <f>TEXT(Greenleaf[[#This Row],[Order Date]],"MMM")</f>
        <v>Dec</v>
      </c>
      <c r="D991" s="5" t="str">
        <f>TEXT(Greenleaf[[#This Row],[Order Date]],"YYYY")</f>
        <v>2024</v>
      </c>
      <c r="E991" t="s">
        <v>2464</v>
      </c>
      <c r="F991" s="7" t="s">
        <v>1012</v>
      </c>
      <c r="G991" s="9">
        <v>8</v>
      </c>
      <c r="H991" s="11">
        <v>40</v>
      </c>
      <c r="I991" s="13">
        <v>12.11</v>
      </c>
      <c r="J991" t="s">
        <v>1117</v>
      </c>
      <c r="K991" t="s">
        <v>2568</v>
      </c>
      <c r="L991" s="7" t="s">
        <v>1414</v>
      </c>
      <c r="M991" s="7" t="s">
        <v>1426</v>
      </c>
      <c r="N991" s="14">
        <f>Greenleaf[[#This Row],[Unit Price]]*Greenleaf[[#This Row],[Quantity Sold]]</f>
        <v>320</v>
      </c>
      <c r="O991" s="13">
        <f>Greenleaf[[#This Row],[Unit Cost]]*Greenleaf[[#This Row],[Quantity Sold]]</f>
        <v>96.88</v>
      </c>
      <c r="P991" s="13">
        <f>Greenleaf[[#This Row],[ Unit  price per quantity]]-Greenleaf[[#This Row],[ Unit cost per quantity]]</f>
        <v>223.12</v>
      </c>
      <c r="Q991" s="14">
        <f>Greenleaf[[#This Row],[Quantity Sold]]*Greenleaf[[#This Row],[Unit Price]]</f>
        <v>320</v>
      </c>
    </row>
    <row r="992" spans="1:17" x14ac:dyDescent="0.25">
      <c r="A992" t="s">
        <v>2418</v>
      </c>
      <c r="B992" s="5">
        <v>45651</v>
      </c>
      <c r="C992" s="5" t="str">
        <f>TEXT(Greenleaf[[#This Row],[Order Date]],"MMM")</f>
        <v>Dec</v>
      </c>
      <c r="D992" s="5" t="str">
        <f>TEXT(Greenleaf[[#This Row],[Order Date]],"YYYY")</f>
        <v>2024</v>
      </c>
      <c r="E992" t="s">
        <v>2462</v>
      </c>
      <c r="F992" s="7" t="s">
        <v>1013</v>
      </c>
      <c r="G992" s="9">
        <v>10</v>
      </c>
      <c r="H992" s="11">
        <v>25</v>
      </c>
      <c r="I992" s="13">
        <v>5.58</v>
      </c>
      <c r="J992" t="s">
        <v>1195</v>
      </c>
      <c r="K992" t="s">
        <v>2584</v>
      </c>
      <c r="L992" s="7" t="s">
        <v>1414</v>
      </c>
      <c r="M992" s="7" t="s">
        <v>1420</v>
      </c>
      <c r="N992" s="14">
        <f>Greenleaf[[#This Row],[Unit Price]]*Greenleaf[[#This Row],[Quantity Sold]]</f>
        <v>250</v>
      </c>
      <c r="O992" s="13">
        <f>Greenleaf[[#This Row],[Unit Cost]]*Greenleaf[[#This Row],[Quantity Sold]]</f>
        <v>55.8</v>
      </c>
      <c r="P992" s="13">
        <f>Greenleaf[[#This Row],[ Unit  price per quantity]]-Greenleaf[[#This Row],[ Unit cost per quantity]]</f>
        <v>194.2</v>
      </c>
      <c r="Q992" s="14">
        <f>Greenleaf[[#This Row],[Quantity Sold]]*Greenleaf[[#This Row],[Unit Price]]</f>
        <v>250</v>
      </c>
    </row>
    <row r="993" spans="1:17" x14ac:dyDescent="0.25">
      <c r="A993" t="s">
        <v>2419</v>
      </c>
      <c r="B993" s="5">
        <v>45651</v>
      </c>
      <c r="C993" s="5" t="str">
        <f>TEXT(Greenleaf[[#This Row],[Order Date]],"MMM")</f>
        <v>Dec</v>
      </c>
      <c r="D993" s="5" t="str">
        <f>TEXT(Greenleaf[[#This Row],[Order Date]],"YYYY")</f>
        <v>2024</v>
      </c>
      <c r="E993" t="s">
        <v>2464</v>
      </c>
      <c r="F993" s="7" t="s">
        <v>1012</v>
      </c>
      <c r="G993" s="9">
        <v>7</v>
      </c>
      <c r="H993" s="11">
        <v>40</v>
      </c>
      <c r="I993" s="13">
        <v>8.07</v>
      </c>
      <c r="J993" t="s">
        <v>1067</v>
      </c>
      <c r="K993" t="s">
        <v>2475</v>
      </c>
      <c r="L993" s="7" t="s">
        <v>1414</v>
      </c>
      <c r="M993" s="7" t="s">
        <v>1424</v>
      </c>
      <c r="N993" s="14">
        <f>Greenleaf[[#This Row],[Unit Price]]*Greenleaf[[#This Row],[Quantity Sold]]</f>
        <v>280</v>
      </c>
      <c r="O993" s="13">
        <f>Greenleaf[[#This Row],[Unit Cost]]*Greenleaf[[#This Row],[Quantity Sold]]</f>
        <v>56.49</v>
      </c>
      <c r="P993" s="13">
        <f>Greenleaf[[#This Row],[ Unit  price per quantity]]-Greenleaf[[#This Row],[ Unit cost per quantity]]</f>
        <v>223.51</v>
      </c>
      <c r="Q993" s="14">
        <f>Greenleaf[[#This Row],[Quantity Sold]]*Greenleaf[[#This Row],[Unit Price]]</f>
        <v>280</v>
      </c>
    </row>
    <row r="994" spans="1:17" x14ac:dyDescent="0.25">
      <c r="A994" t="s">
        <v>2420</v>
      </c>
      <c r="B994" s="5">
        <v>45652</v>
      </c>
      <c r="C994" s="5" t="str">
        <f>TEXT(Greenleaf[[#This Row],[Order Date]],"MMM")</f>
        <v>Dec</v>
      </c>
      <c r="D994" s="5" t="str">
        <f>TEXT(Greenleaf[[#This Row],[Order Date]],"YYYY")</f>
        <v>2024</v>
      </c>
      <c r="E994" t="s">
        <v>2462</v>
      </c>
      <c r="F994" s="7" t="s">
        <v>1013</v>
      </c>
      <c r="G994" s="9">
        <v>1</v>
      </c>
      <c r="H994" s="11">
        <v>25</v>
      </c>
      <c r="I994" s="13">
        <v>7.33</v>
      </c>
      <c r="J994" t="s">
        <v>1146</v>
      </c>
      <c r="K994" t="s">
        <v>2575</v>
      </c>
      <c r="L994" s="7" t="s">
        <v>1416</v>
      </c>
      <c r="M994" s="7" t="s">
        <v>1423</v>
      </c>
      <c r="N994" s="14">
        <f>Greenleaf[[#This Row],[Unit Price]]*Greenleaf[[#This Row],[Quantity Sold]]</f>
        <v>25</v>
      </c>
      <c r="O994" s="13">
        <f>Greenleaf[[#This Row],[Unit Cost]]*Greenleaf[[#This Row],[Quantity Sold]]</f>
        <v>7.33</v>
      </c>
      <c r="P994" s="13">
        <f>Greenleaf[[#This Row],[ Unit  price per quantity]]-Greenleaf[[#This Row],[ Unit cost per quantity]]</f>
        <v>17.670000000000002</v>
      </c>
      <c r="Q994" s="14">
        <f>Greenleaf[[#This Row],[Quantity Sold]]*Greenleaf[[#This Row],[Unit Price]]</f>
        <v>25</v>
      </c>
    </row>
    <row r="995" spans="1:17" x14ac:dyDescent="0.25">
      <c r="A995" t="s">
        <v>2421</v>
      </c>
      <c r="B995" s="5">
        <v>45653</v>
      </c>
      <c r="C995" s="5" t="str">
        <f>TEXT(Greenleaf[[#This Row],[Order Date]],"MMM")</f>
        <v>Dec</v>
      </c>
      <c r="D995" s="5" t="str">
        <f>TEXT(Greenleaf[[#This Row],[Order Date]],"YYYY")</f>
        <v>2024</v>
      </c>
      <c r="E995" t="s">
        <v>2461</v>
      </c>
      <c r="F995" s="7" t="s">
        <v>1011</v>
      </c>
      <c r="G995" s="9">
        <v>5</v>
      </c>
      <c r="H995" s="11">
        <v>12</v>
      </c>
      <c r="I995" s="13">
        <v>4.26</v>
      </c>
      <c r="J995" t="s">
        <v>1124</v>
      </c>
      <c r="K995" t="s">
        <v>2519</v>
      </c>
      <c r="L995" s="7" t="s">
        <v>1414</v>
      </c>
      <c r="M995" s="7" t="s">
        <v>1418</v>
      </c>
      <c r="N995" s="14">
        <f>Greenleaf[[#This Row],[Unit Price]]*Greenleaf[[#This Row],[Quantity Sold]]</f>
        <v>60</v>
      </c>
      <c r="O995" s="13">
        <f>Greenleaf[[#This Row],[Unit Cost]]*Greenleaf[[#This Row],[Quantity Sold]]</f>
        <v>21.299999999999997</v>
      </c>
      <c r="P995" s="13">
        <f>Greenleaf[[#This Row],[ Unit  price per quantity]]-Greenleaf[[#This Row],[ Unit cost per quantity]]</f>
        <v>38.700000000000003</v>
      </c>
      <c r="Q995" s="14">
        <f>Greenleaf[[#This Row],[Quantity Sold]]*Greenleaf[[#This Row],[Unit Price]]</f>
        <v>60</v>
      </c>
    </row>
    <row r="996" spans="1:17" x14ac:dyDescent="0.25">
      <c r="A996" t="s">
        <v>2422</v>
      </c>
      <c r="B996" s="5">
        <v>45653</v>
      </c>
      <c r="C996" s="5" t="str">
        <f>TEXT(Greenleaf[[#This Row],[Order Date]],"MMM")</f>
        <v>Dec</v>
      </c>
      <c r="D996" s="5" t="str">
        <f>TEXT(Greenleaf[[#This Row],[Order Date]],"YYYY")</f>
        <v>2024</v>
      </c>
      <c r="E996" t="s">
        <v>2463</v>
      </c>
      <c r="F996" s="7" t="s">
        <v>1014</v>
      </c>
      <c r="G996" s="9">
        <v>8</v>
      </c>
      <c r="H996" s="11">
        <v>15</v>
      </c>
      <c r="I996" s="13">
        <v>3.68</v>
      </c>
      <c r="J996" t="s">
        <v>1195</v>
      </c>
      <c r="K996" t="s">
        <v>2584</v>
      </c>
      <c r="L996" s="7" t="s">
        <v>1414</v>
      </c>
      <c r="M996" s="7" t="s">
        <v>1418</v>
      </c>
      <c r="N996" s="14">
        <f>Greenleaf[[#This Row],[Unit Price]]*Greenleaf[[#This Row],[Quantity Sold]]</f>
        <v>120</v>
      </c>
      <c r="O996" s="13">
        <f>Greenleaf[[#This Row],[Unit Cost]]*Greenleaf[[#This Row],[Quantity Sold]]</f>
        <v>29.44</v>
      </c>
      <c r="P996" s="13">
        <f>Greenleaf[[#This Row],[ Unit  price per quantity]]-Greenleaf[[#This Row],[ Unit cost per quantity]]</f>
        <v>90.56</v>
      </c>
      <c r="Q996" s="14">
        <f>Greenleaf[[#This Row],[Quantity Sold]]*Greenleaf[[#This Row],[Unit Price]]</f>
        <v>120</v>
      </c>
    </row>
    <row r="997" spans="1:17" x14ac:dyDescent="0.25">
      <c r="A997" t="s">
        <v>2423</v>
      </c>
      <c r="B997" s="5">
        <v>45654</v>
      </c>
      <c r="C997" s="5" t="str">
        <f>TEXT(Greenleaf[[#This Row],[Order Date]],"MMM")</f>
        <v>Dec</v>
      </c>
      <c r="D997" s="5" t="str">
        <f>TEXT(Greenleaf[[#This Row],[Order Date]],"YYYY")</f>
        <v>2024</v>
      </c>
      <c r="E997" t="s">
        <v>2463</v>
      </c>
      <c r="F997" s="7" t="s">
        <v>1014</v>
      </c>
      <c r="G997" s="9">
        <v>1</v>
      </c>
      <c r="H997" s="11">
        <v>15</v>
      </c>
      <c r="I997" s="13">
        <v>3.83</v>
      </c>
      <c r="J997" t="s">
        <v>1055</v>
      </c>
      <c r="K997" t="s">
        <v>2553</v>
      </c>
      <c r="L997" s="7" t="s">
        <v>1417</v>
      </c>
      <c r="M997" s="7" t="s">
        <v>1419</v>
      </c>
      <c r="N997" s="14">
        <f>Greenleaf[[#This Row],[Unit Price]]*Greenleaf[[#This Row],[Quantity Sold]]</f>
        <v>15</v>
      </c>
      <c r="O997" s="13">
        <f>Greenleaf[[#This Row],[Unit Cost]]*Greenleaf[[#This Row],[Quantity Sold]]</f>
        <v>3.83</v>
      </c>
      <c r="P997" s="13">
        <f>Greenleaf[[#This Row],[ Unit  price per quantity]]-Greenleaf[[#This Row],[ Unit cost per quantity]]</f>
        <v>11.17</v>
      </c>
      <c r="Q997" s="14">
        <f>Greenleaf[[#This Row],[Quantity Sold]]*Greenleaf[[#This Row],[Unit Price]]</f>
        <v>15</v>
      </c>
    </row>
    <row r="998" spans="1:17" x14ac:dyDescent="0.25">
      <c r="A998" t="s">
        <v>2424</v>
      </c>
      <c r="B998" s="5">
        <v>45654</v>
      </c>
      <c r="C998" s="5" t="str">
        <f>TEXT(Greenleaf[[#This Row],[Order Date]],"MMM")</f>
        <v>Dec</v>
      </c>
      <c r="D998" s="5" t="str">
        <f>TEXT(Greenleaf[[#This Row],[Order Date]],"YYYY")</f>
        <v>2024</v>
      </c>
      <c r="E998" t="s">
        <v>2463</v>
      </c>
      <c r="F998" s="7" t="s">
        <v>1014</v>
      </c>
      <c r="G998" s="9">
        <v>3</v>
      </c>
      <c r="H998" s="11">
        <v>15</v>
      </c>
      <c r="I998" s="13">
        <v>3.05</v>
      </c>
      <c r="J998" t="s">
        <v>1120</v>
      </c>
      <c r="K998" t="s">
        <v>2481</v>
      </c>
      <c r="L998" s="7" t="s">
        <v>1414</v>
      </c>
      <c r="M998" s="7" t="s">
        <v>1424</v>
      </c>
      <c r="N998" s="14">
        <f>Greenleaf[[#This Row],[Unit Price]]*Greenleaf[[#This Row],[Quantity Sold]]</f>
        <v>45</v>
      </c>
      <c r="O998" s="13">
        <f>Greenleaf[[#This Row],[Unit Cost]]*Greenleaf[[#This Row],[Quantity Sold]]</f>
        <v>9.1499999999999986</v>
      </c>
      <c r="P998" s="13">
        <f>Greenleaf[[#This Row],[ Unit  price per quantity]]-Greenleaf[[#This Row],[ Unit cost per quantity]]</f>
        <v>35.85</v>
      </c>
      <c r="Q998" s="14">
        <f>Greenleaf[[#This Row],[Quantity Sold]]*Greenleaf[[#This Row],[Unit Price]]</f>
        <v>45</v>
      </c>
    </row>
    <row r="999" spans="1:17" x14ac:dyDescent="0.25">
      <c r="A999" t="s">
        <v>2425</v>
      </c>
      <c r="B999" s="5">
        <v>45655</v>
      </c>
      <c r="C999" s="5" t="str">
        <f>TEXT(Greenleaf[[#This Row],[Order Date]],"MMM")</f>
        <v>Dec</v>
      </c>
      <c r="D999" s="5" t="str">
        <f>TEXT(Greenleaf[[#This Row],[Order Date]],"YYYY")</f>
        <v>2024</v>
      </c>
      <c r="E999" t="s">
        <v>2460</v>
      </c>
      <c r="F999" s="7" t="s">
        <v>1015</v>
      </c>
      <c r="G999" s="9">
        <v>1</v>
      </c>
      <c r="H999" s="11">
        <v>10</v>
      </c>
      <c r="I999" s="13">
        <v>3.56</v>
      </c>
      <c r="J999" t="s">
        <v>1101</v>
      </c>
      <c r="K999" t="s">
        <v>2559</v>
      </c>
      <c r="L999" s="7" t="s">
        <v>1416</v>
      </c>
      <c r="M999" s="7" t="s">
        <v>1419</v>
      </c>
      <c r="N999" s="14">
        <f>Greenleaf[[#This Row],[Unit Price]]*Greenleaf[[#This Row],[Quantity Sold]]</f>
        <v>10</v>
      </c>
      <c r="O999" s="13">
        <f>Greenleaf[[#This Row],[Unit Cost]]*Greenleaf[[#This Row],[Quantity Sold]]</f>
        <v>3.56</v>
      </c>
      <c r="P999" s="13">
        <f>Greenleaf[[#This Row],[ Unit  price per quantity]]-Greenleaf[[#This Row],[ Unit cost per quantity]]</f>
        <v>6.4399999999999995</v>
      </c>
      <c r="Q999" s="14">
        <f>Greenleaf[[#This Row],[Quantity Sold]]*Greenleaf[[#This Row],[Unit Price]]</f>
        <v>10</v>
      </c>
    </row>
    <row r="1000" spans="1:17" x14ac:dyDescent="0.25">
      <c r="A1000" t="s">
        <v>2426</v>
      </c>
      <c r="B1000" s="5">
        <v>45656</v>
      </c>
      <c r="C1000" s="5" t="str">
        <f>TEXT(Greenleaf[[#This Row],[Order Date]],"MMM")</f>
        <v>Dec</v>
      </c>
      <c r="D1000" s="5" t="str">
        <f>TEXT(Greenleaf[[#This Row],[Order Date]],"YYYY")</f>
        <v>2024</v>
      </c>
      <c r="E1000" t="s">
        <v>2464</v>
      </c>
      <c r="F1000" s="7" t="s">
        <v>1012</v>
      </c>
      <c r="G1000" s="9">
        <v>3</v>
      </c>
      <c r="H1000" s="11">
        <v>40</v>
      </c>
      <c r="I1000" s="13">
        <v>13.05</v>
      </c>
      <c r="J1000" t="s">
        <v>1150</v>
      </c>
      <c r="K1000" t="s">
        <v>2529</v>
      </c>
      <c r="L1000" s="7" t="s">
        <v>1414</v>
      </c>
      <c r="M1000" s="7" t="s">
        <v>1421</v>
      </c>
      <c r="N1000" s="14">
        <f>Greenleaf[[#This Row],[Unit Price]]*Greenleaf[[#This Row],[Quantity Sold]]</f>
        <v>120</v>
      </c>
      <c r="O1000" s="13">
        <f>Greenleaf[[#This Row],[Unit Cost]]*Greenleaf[[#This Row],[Quantity Sold]]</f>
        <v>39.150000000000006</v>
      </c>
      <c r="P1000" s="13">
        <f>Greenleaf[[#This Row],[ Unit  price per quantity]]-Greenleaf[[#This Row],[ Unit cost per quantity]]</f>
        <v>80.849999999999994</v>
      </c>
      <c r="Q1000" s="14">
        <f>Greenleaf[[#This Row],[Quantity Sold]]*Greenleaf[[#This Row],[Unit Price]]</f>
        <v>120</v>
      </c>
    </row>
    <row r="1001" spans="1:17" x14ac:dyDescent="0.25">
      <c r="A1001" t="s">
        <v>2427</v>
      </c>
      <c r="B1001" s="5">
        <v>45656</v>
      </c>
      <c r="C1001" s="5" t="str">
        <f>TEXT(Greenleaf[[#This Row],[Order Date]],"MMM")</f>
        <v>Dec</v>
      </c>
      <c r="D1001" s="5" t="str">
        <f>TEXT(Greenleaf[[#This Row],[Order Date]],"YYYY")</f>
        <v>2024</v>
      </c>
      <c r="E1001" t="s">
        <v>2463</v>
      </c>
      <c r="F1001" s="7" t="s">
        <v>1014</v>
      </c>
      <c r="G1001" s="9">
        <v>6</v>
      </c>
      <c r="H1001" s="11">
        <v>15</v>
      </c>
      <c r="I1001" s="13">
        <v>5.15</v>
      </c>
      <c r="J1001" t="s">
        <v>1212</v>
      </c>
      <c r="K1001" t="s">
        <v>2592</v>
      </c>
      <c r="L1001" s="7" t="s">
        <v>1414</v>
      </c>
      <c r="M1001" s="7" t="s">
        <v>1424</v>
      </c>
      <c r="N1001" s="14">
        <f>Greenleaf[[#This Row],[Unit Price]]*Greenleaf[[#This Row],[Quantity Sold]]</f>
        <v>90</v>
      </c>
      <c r="O1001" s="13">
        <f>Greenleaf[[#This Row],[Unit Cost]]*Greenleaf[[#This Row],[Quantity Sold]]</f>
        <v>30.900000000000002</v>
      </c>
      <c r="P1001" s="13">
        <f>Greenleaf[[#This Row],[ Unit  price per quantity]]-Greenleaf[[#This Row],[ Unit cost per quantity]]</f>
        <v>59.099999999999994</v>
      </c>
      <c r="Q1001" s="14">
        <f>Greenleaf[[#This Row],[Quantity Sold]]*Greenleaf[[#This Row],[Unit Price]]</f>
        <v>90</v>
      </c>
    </row>
  </sheetData>
  <sortState xmlns:xlrd2="http://schemas.microsoft.com/office/spreadsheetml/2017/richdata2" ref="A2:M1001">
    <sortCondition ref="B1:B1001"/>
  </sortState>
  <phoneticPr fontId="2"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DD072-5466-4434-85E5-5F975A690D1F}">
  <dimension ref="A1:K13"/>
  <sheetViews>
    <sheetView workbookViewId="0">
      <selection activeCell="F2" sqref="F2"/>
    </sheetView>
  </sheetViews>
  <sheetFormatPr defaultRowHeight="15" x14ac:dyDescent="0.25"/>
  <cols>
    <col min="1" max="1" width="23.28515625" customWidth="1"/>
    <col min="2" max="2" width="16.7109375" customWidth="1"/>
    <col min="7" max="7" width="11.140625" bestFit="1" customWidth="1"/>
    <col min="10" max="10" width="33.5703125" bestFit="1" customWidth="1"/>
  </cols>
  <sheetData>
    <row r="1" spans="1:11" x14ac:dyDescent="0.25">
      <c r="A1" s="21" t="s">
        <v>2428</v>
      </c>
      <c r="B1" s="21" t="s">
        <v>2429</v>
      </c>
      <c r="E1" t="s">
        <v>2438</v>
      </c>
      <c r="F1" t="s">
        <v>2440</v>
      </c>
    </row>
    <row r="2" spans="1:11" x14ac:dyDescent="0.25">
      <c r="A2" s="17" t="s">
        <v>2432</v>
      </c>
      <c r="B2" s="17">
        <f>COUNTA(Greenleaf[Order ID])</f>
        <v>1000</v>
      </c>
      <c r="E2" t="s">
        <v>2441</v>
      </c>
      <c r="F2" s="11">
        <f>SUMIFS(Greenleaf[ [ Unit  price per quantity] ],Greenleaf[Month],E2)</f>
        <v>12522</v>
      </c>
      <c r="J2" t="s">
        <v>2596</v>
      </c>
      <c r="K2" s="14">
        <f>SUM(Greenleaf[TOTAL REVENUE])/COUNTA(Greenleaf[Order ID])</f>
        <v>117.27800000000001</v>
      </c>
    </row>
    <row r="3" spans="1:11" x14ac:dyDescent="0.25">
      <c r="A3" s="17" t="s">
        <v>2430</v>
      </c>
      <c r="B3" s="18">
        <f>SUM(Greenleaf[[ Unit  price per quantity]])</f>
        <v>117278</v>
      </c>
      <c r="E3" t="s">
        <v>2442</v>
      </c>
      <c r="F3" s="11">
        <f>SUMIFS(Greenleaf[ [ Unit  price per quantity] ],Greenleaf[Month],E3)</f>
        <v>9126</v>
      </c>
      <c r="J3" t="s">
        <v>2598</v>
      </c>
      <c r="K3" s="14">
        <f>SUM(Greenleaf[TOTAL REVENUE])/COUNTA(Greenleaf[Order ID])/12</f>
        <v>9.7731666666666666</v>
      </c>
    </row>
    <row r="4" spans="1:11" x14ac:dyDescent="0.25">
      <c r="A4" s="17" t="s">
        <v>2431</v>
      </c>
      <c r="B4" s="19">
        <f>AVERAGE(Greenleaf[Unit Price])</f>
        <v>21.402999999999999</v>
      </c>
      <c r="E4" t="s">
        <v>2443</v>
      </c>
      <c r="F4" s="11">
        <f>SUMIFS(Greenleaf[ [ Unit  price per quantity] ],Greenleaf[Month],E4)</f>
        <v>10068</v>
      </c>
    </row>
    <row r="5" spans="1:11" x14ac:dyDescent="0.25">
      <c r="A5" s="17" t="s">
        <v>2435</v>
      </c>
      <c r="B5" s="20">
        <f>SUM(Greenleaf[[ Unit cost per quantity]])</f>
        <v>35424.520000000019</v>
      </c>
      <c r="E5" t="s">
        <v>2444</v>
      </c>
      <c r="F5" s="11">
        <f>SUMIFS(Greenleaf[ [ Unit  price per quantity] ],Greenleaf[Month],E5)</f>
        <v>11214</v>
      </c>
    </row>
    <row r="6" spans="1:11" x14ac:dyDescent="0.25">
      <c r="A6" s="17" t="s">
        <v>2433</v>
      </c>
      <c r="B6" s="20">
        <f>B3-B5</f>
        <v>81853.479999999981</v>
      </c>
      <c r="E6" t="s">
        <v>2445</v>
      </c>
      <c r="F6" s="11">
        <f>SUMIFS(Greenleaf[ [ Unit  price per quantity] ],Greenleaf[Month],E6)</f>
        <v>11006</v>
      </c>
    </row>
    <row r="7" spans="1:11" x14ac:dyDescent="0.25">
      <c r="E7" t="s">
        <v>2446</v>
      </c>
      <c r="F7" s="11">
        <f>SUMIFS(Greenleaf[ [ Unit  price per quantity] ],Greenleaf[Month],E7)</f>
        <v>7062</v>
      </c>
    </row>
    <row r="8" spans="1:11" x14ac:dyDescent="0.25">
      <c r="A8" s="22" t="s">
        <v>2469</v>
      </c>
      <c r="B8" s="23" t="s">
        <v>2453</v>
      </c>
      <c r="E8" t="s">
        <v>2447</v>
      </c>
      <c r="F8" s="11">
        <f>SUMIFS(Greenleaf[ [ Unit  price per quantity] ],Greenleaf[Month],E8)</f>
        <v>9817</v>
      </c>
    </row>
    <row r="9" spans="1:11" x14ac:dyDescent="0.25">
      <c r="A9" s="24" t="s">
        <v>2454</v>
      </c>
      <c r="B9" s="25">
        <f>602/1000*100%</f>
        <v>0.60199999999999998</v>
      </c>
      <c r="E9" t="s">
        <v>2448</v>
      </c>
      <c r="F9" s="11">
        <f>SUMIFS(Greenleaf[ [ Unit  price per quantity] ],Greenleaf[Month],E9)</f>
        <v>9506</v>
      </c>
    </row>
    <row r="10" spans="1:11" x14ac:dyDescent="0.25">
      <c r="A10" s="24" t="s">
        <v>1417</v>
      </c>
      <c r="B10" s="25">
        <f>72/1000*100%</f>
        <v>7.1999999999999995E-2</v>
      </c>
      <c r="E10" t="s">
        <v>2449</v>
      </c>
      <c r="F10" s="11">
        <f>SUMIFS(Greenleaf[ [ Unit  price per quantity] ],Greenleaf[Month],E10)</f>
        <v>7099</v>
      </c>
    </row>
    <row r="11" spans="1:11" x14ac:dyDescent="0.25">
      <c r="A11" s="24" t="s">
        <v>1415</v>
      </c>
      <c r="B11" s="25">
        <f>91/1000*100%</f>
        <v>9.0999999999999998E-2</v>
      </c>
      <c r="E11" t="s">
        <v>2450</v>
      </c>
      <c r="F11" s="11">
        <f>SUMIFS(Greenleaf[ [ Unit  price per quantity] ],Greenleaf[Month],E11)</f>
        <v>11384</v>
      </c>
    </row>
    <row r="12" spans="1:11" x14ac:dyDescent="0.25">
      <c r="A12" s="26" t="s">
        <v>1416</v>
      </c>
      <c r="B12" s="27">
        <f>235/1000*100%</f>
        <v>0.23499999999999999</v>
      </c>
      <c r="E12" t="s">
        <v>2451</v>
      </c>
      <c r="F12" s="11">
        <f>SUMIFS(Greenleaf[ [ Unit  price per quantity] ],Greenleaf[Month],E12)</f>
        <v>8308</v>
      </c>
    </row>
    <row r="13" spans="1:11" x14ac:dyDescent="0.25">
      <c r="E13" t="s">
        <v>2452</v>
      </c>
      <c r="F13" s="11">
        <f>SUMIFS(Greenleaf[ [ Unit  price per quantity] ],Greenleaf[Month],E13)</f>
        <v>10166</v>
      </c>
    </row>
  </sheetData>
  <phoneticPr fontId="2" type="noConversion"/>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9034-62EC-43FA-94AA-C04DAA58CA1D}">
  <dimension ref="A3:V19"/>
  <sheetViews>
    <sheetView workbookViewId="0">
      <selection activeCell="A3" sqref="A3"/>
    </sheetView>
  </sheetViews>
  <sheetFormatPr defaultRowHeight="15" x14ac:dyDescent="0.25"/>
  <cols>
    <col min="1" max="1" width="11.28515625" bestFit="1" customWidth="1"/>
    <col min="2" max="2" width="8.5703125" bestFit="1" customWidth="1"/>
    <col min="3" max="3" width="10.85546875" bestFit="1" customWidth="1"/>
    <col min="5" max="5" width="13.140625" bestFit="1" customWidth="1"/>
    <col min="6" max="6" width="13.28515625" bestFit="1" customWidth="1"/>
    <col min="9" max="9" width="23.5703125" bestFit="1" customWidth="1"/>
    <col min="10" max="10" width="13.28515625" bestFit="1" customWidth="1"/>
    <col min="12" max="12" width="14" bestFit="1" customWidth="1"/>
    <col min="13" max="13" width="8.85546875" bestFit="1" customWidth="1"/>
    <col min="15" max="15" width="27.7109375" bestFit="1" customWidth="1"/>
    <col min="16" max="16" width="8.42578125" bestFit="1" customWidth="1"/>
    <col min="18" max="18" width="14" bestFit="1" customWidth="1"/>
    <col min="19" max="19" width="11.42578125" bestFit="1" customWidth="1"/>
    <col min="20" max="20" width="8.7109375" customWidth="1"/>
    <col min="22" max="22" width="13.28515625" customWidth="1"/>
  </cols>
  <sheetData>
    <row r="3" spans="1:22" x14ac:dyDescent="0.25">
      <c r="A3" s="28" t="s">
        <v>2456</v>
      </c>
      <c r="B3" t="s">
        <v>2457</v>
      </c>
      <c r="E3" s="28" t="s">
        <v>2469</v>
      </c>
      <c r="F3" t="s">
        <v>2468</v>
      </c>
      <c r="I3" s="28" t="s">
        <v>2428</v>
      </c>
      <c r="J3" t="s">
        <v>2467</v>
      </c>
      <c r="L3" s="28" t="s">
        <v>2458</v>
      </c>
      <c r="M3" t="s">
        <v>2459</v>
      </c>
      <c r="O3" s="28" t="s">
        <v>2</v>
      </c>
      <c r="P3" t="s">
        <v>2465</v>
      </c>
      <c r="R3" s="28" t="s">
        <v>2458</v>
      </c>
      <c r="S3" t="s">
        <v>2466</v>
      </c>
    </row>
    <row r="4" spans="1:22" x14ac:dyDescent="0.25">
      <c r="A4" s="29" t="s">
        <v>2441</v>
      </c>
      <c r="B4" s="14">
        <v>12522</v>
      </c>
      <c r="E4" s="29" t="s">
        <v>2454</v>
      </c>
      <c r="F4" s="30">
        <v>0.60199999999999998</v>
      </c>
      <c r="I4" s="29" t="s">
        <v>2431</v>
      </c>
      <c r="J4">
        <v>21.402999999999999</v>
      </c>
      <c r="L4" s="29" t="s">
        <v>1422</v>
      </c>
      <c r="M4" s="14">
        <v>14440</v>
      </c>
      <c r="O4" s="29" t="s">
        <v>2461</v>
      </c>
      <c r="P4" s="9">
        <v>939</v>
      </c>
      <c r="R4" s="29" t="s">
        <v>1427</v>
      </c>
      <c r="S4" s="13">
        <v>7231.4800000000005</v>
      </c>
      <c r="U4" s="29" t="s">
        <v>1422</v>
      </c>
      <c r="V4" s="13">
        <v>10009.210000000003</v>
      </c>
    </row>
    <row r="5" spans="1:22" x14ac:dyDescent="0.25">
      <c r="A5" s="29" t="s">
        <v>2442</v>
      </c>
      <c r="B5" s="14">
        <v>9126</v>
      </c>
      <c r="E5" s="29" t="s">
        <v>1415</v>
      </c>
      <c r="F5" s="30">
        <v>9.0999999999999998E-2</v>
      </c>
      <c r="I5" s="29" t="s">
        <v>2433</v>
      </c>
      <c r="J5">
        <v>81853.479999999981</v>
      </c>
      <c r="L5" s="29" t="s">
        <v>1418</v>
      </c>
      <c r="M5" s="14">
        <v>12594</v>
      </c>
      <c r="O5" s="29" t="s">
        <v>2460</v>
      </c>
      <c r="P5" s="9">
        <v>1032</v>
      </c>
      <c r="R5" s="29" t="s">
        <v>1419</v>
      </c>
      <c r="S5" s="13">
        <v>7601.8199999999979</v>
      </c>
      <c r="U5" s="29" t="s">
        <v>1418</v>
      </c>
      <c r="V5" s="13">
        <v>8796.9600000000028</v>
      </c>
    </row>
    <row r="6" spans="1:22" x14ac:dyDescent="0.25">
      <c r="A6" s="29" t="s">
        <v>2443</v>
      </c>
      <c r="B6" s="14">
        <v>10068</v>
      </c>
      <c r="E6" s="29" t="s">
        <v>1417</v>
      </c>
      <c r="F6" s="30">
        <v>7.1999999999999995E-2</v>
      </c>
      <c r="I6" s="29" t="s">
        <v>2432</v>
      </c>
      <c r="J6">
        <v>1000</v>
      </c>
      <c r="L6" s="29" t="s">
        <v>1425</v>
      </c>
      <c r="M6" s="14">
        <v>12244</v>
      </c>
      <c r="O6" s="29" t="s">
        <v>2463</v>
      </c>
      <c r="P6" s="9">
        <v>1106</v>
      </c>
      <c r="R6" s="29" t="s">
        <v>1426</v>
      </c>
      <c r="S6" s="13">
        <v>7772.19</v>
      </c>
      <c r="U6" s="29" t="s">
        <v>1420</v>
      </c>
      <c r="V6" s="13">
        <v>8577.1799999999967</v>
      </c>
    </row>
    <row r="7" spans="1:22" x14ac:dyDescent="0.25">
      <c r="A7" s="29" t="s">
        <v>2444</v>
      </c>
      <c r="B7" s="14">
        <v>11214</v>
      </c>
      <c r="E7" s="29" t="s">
        <v>1416</v>
      </c>
      <c r="F7" s="30">
        <v>0.23499999999999999</v>
      </c>
      <c r="I7" s="29" t="s">
        <v>2430</v>
      </c>
      <c r="J7">
        <v>117278</v>
      </c>
      <c r="L7" s="29" t="s">
        <v>1420</v>
      </c>
      <c r="M7" s="14">
        <v>12208</v>
      </c>
      <c r="O7" s="29" t="s">
        <v>2462</v>
      </c>
      <c r="P7" s="9">
        <v>1148</v>
      </c>
      <c r="R7" s="29" t="s">
        <v>1425</v>
      </c>
      <c r="S7" s="13">
        <v>8460.3999999999978</v>
      </c>
      <c r="U7" s="29" t="s">
        <v>1425</v>
      </c>
      <c r="V7" s="13">
        <v>8460.3999999999978</v>
      </c>
    </row>
    <row r="8" spans="1:22" x14ac:dyDescent="0.25">
      <c r="A8" s="29" t="s">
        <v>2445</v>
      </c>
      <c r="B8" s="14">
        <v>11006</v>
      </c>
      <c r="E8" s="29" t="s">
        <v>2455</v>
      </c>
      <c r="F8" s="30">
        <v>0.99999999999999989</v>
      </c>
      <c r="I8" s="29" t="s">
        <v>2435</v>
      </c>
      <c r="J8">
        <v>35424.520000000019</v>
      </c>
      <c r="L8" s="29" t="s">
        <v>1421</v>
      </c>
      <c r="M8" s="14">
        <v>11417</v>
      </c>
      <c r="O8" s="29" t="s">
        <v>2464</v>
      </c>
      <c r="P8" s="9">
        <v>1260</v>
      </c>
      <c r="R8" s="29" t="s">
        <v>1418</v>
      </c>
      <c r="S8" s="13">
        <v>8796.9600000000028</v>
      </c>
      <c r="U8" s="29" t="s">
        <v>1421</v>
      </c>
      <c r="V8" s="13">
        <v>8117.8599999999988</v>
      </c>
    </row>
    <row r="9" spans="1:22" x14ac:dyDescent="0.25">
      <c r="A9" s="29" t="s">
        <v>2446</v>
      </c>
      <c r="B9" s="14">
        <v>7062</v>
      </c>
      <c r="I9" s="29" t="s">
        <v>2455</v>
      </c>
      <c r="J9">
        <v>235577.40299999999</v>
      </c>
      <c r="L9" s="29" t="s">
        <v>1424</v>
      </c>
      <c r="M9" s="14">
        <v>11289</v>
      </c>
      <c r="O9" s="29" t="s">
        <v>2455</v>
      </c>
      <c r="P9" s="9">
        <v>5485</v>
      </c>
      <c r="R9" s="29" t="s">
        <v>1423</v>
      </c>
      <c r="S9" s="13">
        <v>7340.3</v>
      </c>
      <c r="U9" s="29" t="s">
        <v>1424</v>
      </c>
      <c r="V9" s="13">
        <v>7946.08</v>
      </c>
    </row>
    <row r="10" spans="1:22" x14ac:dyDescent="0.25">
      <c r="A10" s="29" t="s">
        <v>2447</v>
      </c>
      <c r="B10" s="14">
        <v>9817</v>
      </c>
      <c r="L10" s="29" t="s">
        <v>1426</v>
      </c>
      <c r="M10" s="14">
        <v>11161</v>
      </c>
      <c r="R10" s="29" t="s">
        <v>1420</v>
      </c>
      <c r="S10" s="13">
        <v>8577.1799999999967</v>
      </c>
      <c r="U10" s="29" t="s">
        <v>1426</v>
      </c>
      <c r="V10" s="13">
        <v>7772.19</v>
      </c>
    </row>
    <row r="11" spans="1:22" x14ac:dyDescent="0.25">
      <c r="A11" s="29" t="s">
        <v>2448</v>
      </c>
      <c r="B11" s="14">
        <v>9506</v>
      </c>
      <c r="L11" s="29" t="s">
        <v>1419</v>
      </c>
      <c r="M11" s="14">
        <v>10935</v>
      </c>
      <c r="R11" s="29" t="s">
        <v>1422</v>
      </c>
      <c r="S11" s="13">
        <v>10009.210000000003</v>
      </c>
      <c r="U11" s="29" t="s">
        <v>1419</v>
      </c>
      <c r="V11" s="13">
        <v>7601.8199999999979</v>
      </c>
    </row>
    <row r="12" spans="1:22" x14ac:dyDescent="0.25">
      <c r="A12" s="29" t="s">
        <v>2449</v>
      </c>
      <c r="B12" s="14">
        <v>7099</v>
      </c>
      <c r="L12" s="29" t="s">
        <v>1423</v>
      </c>
      <c r="M12" s="14">
        <v>10540</v>
      </c>
      <c r="R12" s="29" t="s">
        <v>1421</v>
      </c>
      <c r="S12" s="13">
        <v>8117.8599999999988</v>
      </c>
      <c r="U12" s="29" t="s">
        <v>1423</v>
      </c>
      <c r="V12" s="13">
        <v>7340.3</v>
      </c>
    </row>
    <row r="13" spans="1:22" x14ac:dyDescent="0.25">
      <c r="A13" s="29" t="s">
        <v>2450</v>
      </c>
      <c r="B13" s="14">
        <v>11384</v>
      </c>
      <c r="L13" s="29" t="s">
        <v>1427</v>
      </c>
      <c r="M13" s="14">
        <v>10450</v>
      </c>
      <c r="R13" s="29" t="s">
        <v>1424</v>
      </c>
      <c r="S13" s="13">
        <v>7946.08</v>
      </c>
      <c r="U13" s="29" t="s">
        <v>1427</v>
      </c>
      <c r="V13" s="13">
        <v>7231.4800000000005</v>
      </c>
    </row>
    <row r="14" spans="1:22" x14ac:dyDescent="0.25">
      <c r="A14" s="29" t="s">
        <v>2451</v>
      </c>
      <c r="B14" s="14">
        <v>8308</v>
      </c>
      <c r="L14" s="29" t="s">
        <v>2455</v>
      </c>
      <c r="M14" s="14">
        <v>117278</v>
      </c>
      <c r="R14" s="29" t="s">
        <v>2455</v>
      </c>
      <c r="S14" s="13">
        <v>81853.48000000001</v>
      </c>
    </row>
    <row r="15" spans="1:22" x14ac:dyDescent="0.25">
      <c r="A15" s="29" t="s">
        <v>2452</v>
      </c>
      <c r="B15" s="14">
        <v>10166</v>
      </c>
    </row>
    <row r="16" spans="1:22" x14ac:dyDescent="0.25">
      <c r="A16" s="29" t="s">
        <v>2455</v>
      </c>
      <c r="B16" s="14">
        <v>117278</v>
      </c>
    </row>
    <row r="17" spans="6:19" x14ac:dyDescent="0.25">
      <c r="J17" s="33">
        <v>1000</v>
      </c>
    </row>
    <row r="18" spans="6:19" x14ac:dyDescent="0.25">
      <c r="F18" s="34">
        <v>7.1999999999999995E-2</v>
      </c>
    </row>
    <row r="19" spans="6:19" x14ac:dyDescent="0.25">
      <c r="J19" s="32">
        <v>21.402999999999999</v>
      </c>
      <c r="M19" s="32">
        <v>117278</v>
      </c>
      <c r="S19" s="13">
        <v>10009.210000000003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3DA1-831E-4FDE-AE43-A62D47A106AE}">
  <dimension ref="G1"/>
  <sheetViews>
    <sheetView showGridLines="0" showRowColHeaders="0" tabSelected="1" zoomScale="99" zoomScaleNormal="99" workbookViewId="0">
      <selection activeCell="Y36" sqref="Y36"/>
    </sheetView>
  </sheetViews>
  <sheetFormatPr defaultColWidth="8.7109375" defaultRowHeight="15" x14ac:dyDescent="0.25"/>
  <cols>
    <col min="1" max="16384" width="8.7109375" style="31"/>
  </cols>
  <sheetData>
    <row r="1" spans="7:7" x14ac:dyDescent="0.25">
      <c r="G1" s="31" t="e" cm="1">
        <f t="array" aca="1" ref="G1" ca="1">'Pivot table'!M190(" Unit  price per quantity",'Pivot table'!$L$3)</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KPI summary</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PC</dc:creator>
  <cp:lastModifiedBy>Adediran David Adebayo</cp:lastModifiedBy>
  <dcterms:created xsi:type="dcterms:W3CDTF">2025-05-06T09:30:03Z</dcterms:created>
  <dcterms:modified xsi:type="dcterms:W3CDTF">2025-09-19T23:35:03Z</dcterms:modified>
</cp:coreProperties>
</file>